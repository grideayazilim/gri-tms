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codeName="{51196F13-6AD0-C1B8-E2B4-A1F9AE17003E}"/>
  <workbookPr codeName="ThisWorkbook"/>
  <mc:AlternateContent xmlns:mc="http://schemas.openxmlformats.org/markup-compatibility/2006">
    <mc:Choice Requires="x15">
      <x15ac:absPath xmlns:x15ac="http://schemas.microsoft.com/office/spreadsheetml/2010/11/ac" url="C:\Users\AYBU\OneDrive\Desktop\"/>
    </mc:Choice>
  </mc:AlternateContent>
  <bookViews>
    <workbookView xWindow="0" yWindow="0" windowWidth="28800" windowHeight="12315" tabRatio="882" activeTab="5"/>
  </bookViews>
  <sheets>
    <sheet name="VERİLER" sheetId="1" r:id="rId1"/>
    <sheet name="İşçi Bilgileri" sheetId="4" r:id="rId2"/>
    <sheet name="ANA SAYFA" sheetId="2" r:id="rId3"/>
    <sheet name="Hakediş Raporu" sheetId="13" r:id="rId4"/>
    <sheet name="Puantaj" sheetId="11" r:id="rId5"/>
    <sheet name="MAAŞ BORDROSU" sheetId="3" r:id="rId6"/>
    <sheet name="Harcama Pusulası" sheetId="12" r:id="rId7"/>
    <sheet name="Hakediş Raporu GSS" sheetId="20" r:id="rId8"/>
    <sheet name="Harcama Pusulası GSS" sheetId="19" r:id="rId9"/>
    <sheet name="banka listesi son" sheetId="21" r:id="rId10"/>
  </sheets>
  <functionGroups builtInGroupCount="18"/>
  <externalReferences>
    <externalReference r:id="rId11"/>
    <externalReference r:id="rId12"/>
  </externalReferences>
  <definedNames>
    <definedName name="_xlnm._FilterDatabase" localSheetId="9" hidden="1">'banka listesi son'!$G$2:$G$334</definedName>
    <definedName name="_xlnm._FilterDatabase" localSheetId="1" hidden="1">'İşçi Bilgileri'!$A$1:$S$700</definedName>
    <definedName name="_xlnm._FilterDatabase" localSheetId="5" hidden="1">'MAAŞ BORDROSU'!$C$3:$V$454</definedName>
    <definedName name="_xlnm._FilterDatabase" localSheetId="4" hidden="1">Puantaj!$A$8:$AM$277</definedName>
    <definedName name="AGİ" localSheetId="9">#REF!</definedName>
    <definedName name="AGİ" localSheetId="7">#REF!</definedName>
    <definedName name="AGİ">#REF!</definedName>
    <definedName name="Bayram" localSheetId="9">#REF!</definedName>
    <definedName name="Bayram" localSheetId="7">#REF!</definedName>
    <definedName name="Bayram">#REF!</definedName>
    <definedName name="Brüt_Ücret_Tutarı" localSheetId="9">#REF!</definedName>
    <definedName name="Brüt_Ücret_Tutarı" localSheetId="7">#REF!</definedName>
    <definedName name="Brüt_Ücret_Tutarı">#REF!</definedName>
    <definedName name="BT" localSheetId="9">#REF!</definedName>
    <definedName name="BT" localSheetId="7">#REF!</definedName>
    <definedName name="BT">#REF!</definedName>
    <definedName name="DosyaAdi" localSheetId="9">#REF!</definedName>
    <definedName name="DosyaAdi" localSheetId="7">#REF!</definedName>
    <definedName name="DosyaAdi">#REF!</definedName>
    <definedName name="DV" localSheetId="9">#REF!</definedName>
    <definedName name="DV" localSheetId="7">#REF!</definedName>
    <definedName name="DV">#REF!</definedName>
    <definedName name="Fazla_Mesai_Tutarı" localSheetId="9">#REF!</definedName>
    <definedName name="Fazla_Mesai_Tutarı" localSheetId="7">#REF!</definedName>
    <definedName name="Fazla_Mesai_Tutarı">#REF!</definedName>
    <definedName name="FMS" localSheetId="9">#REF!</definedName>
    <definedName name="FMS" localSheetId="7">#REF!</definedName>
    <definedName name="FMS">#REF!</definedName>
    <definedName name="GV" localSheetId="9">#REF!</definedName>
    <definedName name="GV" localSheetId="7">#REF!</definedName>
    <definedName name="GV">#REF!</definedName>
    <definedName name="GVM" localSheetId="9">#REF!</definedName>
    <definedName name="GVM" localSheetId="7">#REF!</definedName>
    <definedName name="GVM">#REF!</definedName>
    <definedName name="Hafta_Tatili" localSheetId="9">#REF!</definedName>
    <definedName name="Hafta_Tatili" localSheetId="7">#REF!</definedName>
    <definedName name="Hafta_Tatili">#REF!</definedName>
    <definedName name="HT" localSheetId="9">#REF!</definedName>
    <definedName name="HT" localSheetId="7">#REF!</definedName>
    <definedName name="HT">#REF!</definedName>
    <definedName name="Kesintiler_Toplamı" localSheetId="9">#REF!</definedName>
    <definedName name="Kesintiler_Toplamı" localSheetId="7">#REF!</definedName>
    <definedName name="Kesintiler_Toplamı">#REF!</definedName>
    <definedName name="MDK" localSheetId="9">#REF!</definedName>
    <definedName name="MDK" localSheetId="7">#REF!</definedName>
    <definedName name="MDK">#REF!</definedName>
    <definedName name="NM" localSheetId="9">#REF!</definedName>
    <definedName name="NM" localSheetId="7">#REF!</definedName>
    <definedName name="NM">#REF!</definedName>
    <definedName name="Normal" localSheetId="9">#REF!</definedName>
    <definedName name="Normal" localSheetId="7">#REF!</definedName>
    <definedName name="Normal">#REF!</definedName>
    <definedName name="Ödemeler_Toplamı" localSheetId="9">#REF!</definedName>
    <definedName name="Ödemeler_Toplamı" localSheetId="7">#REF!</definedName>
    <definedName name="Ödemeler_Toplamı">#REF!</definedName>
    <definedName name="SPEAK" localSheetId="9">#REF!</definedName>
    <definedName name="SPEAK" localSheetId="7">#REF!</definedName>
    <definedName name="SPEAK">#REF!</definedName>
    <definedName name="SSK_İşsizlik_Primi" localSheetId="9">#REF!</definedName>
    <definedName name="SSK_İşsizlik_Primi" localSheetId="7">#REF!</definedName>
    <definedName name="SSK_İşsizlik_Primi">#REF!</definedName>
    <definedName name="SSK_Primi" localSheetId="9">#REF!</definedName>
    <definedName name="SSK_Primi" localSheetId="7">#REF!</definedName>
    <definedName name="SSK_Primi">#REF!</definedName>
    <definedName name="_xlnm.Print_Area" localSheetId="2">'ANA SAYFA'!$A$1:$H$36</definedName>
    <definedName name="_xlnm.Print_Area" localSheetId="3">'Hakediş Raporu'!$A$1:$D$36</definedName>
    <definedName name="_xlnm.Print_Area" localSheetId="7">'Hakediş Raporu GSS'!$A$1:$D$36</definedName>
    <definedName name="_xlnm.Print_Area" localSheetId="6">'Harcama Pusulası'!$A$1:$I$42</definedName>
    <definedName name="_xlnm.Print_Area" localSheetId="8">'Harcama Pusulası GSS'!$A$1:$I$42</definedName>
    <definedName name="_xlnm.Print_Area" localSheetId="1">'İşçi Bilgileri'!$A$1:$V$670</definedName>
    <definedName name="_xlnm.Print_Area" localSheetId="5">'MAAŞ BORDROSU'!$A$1:$V$461</definedName>
    <definedName name="_xlnm.Print_Area" localSheetId="4">Puantaj!$A$1:$AK$462</definedName>
    <definedName name="Yevmiye" localSheetId="9">#REF!</definedName>
    <definedName name="Yevmiye" localSheetId="7">#REF!</definedName>
    <definedName name="Yevmiye">#REF!</definedName>
    <definedName name="Z_78FE0CAC_51E5_4C61_A88D_7FAD500C2464_.wvu.Cols" localSheetId="1" hidden="1">'İşçi Bilgileri'!$P:$S</definedName>
    <definedName name="Z_78FE0CAC_51E5_4C61_A88D_7FAD500C2464_.wvu.FilterData" localSheetId="5" hidden="1">'MAAŞ BORDROSU'!$A$1:$V$128</definedName>
    <definedName name="Z_78FE0CAC_51E5_4C61_A88D_7FAD500C2464_.wvu.PrintArea" localSheetId="2" hidden="1">'ANA SAYFA'!$A$1:$H$36</definedName>
    <definedName name="Z_78FE0CAC_51E5_4C61_A88D_7FAD500C2464_.wvu.PrintArea" localSheetId="5" hidden="1">'MAAŞ BORDROSU'!$A$1:$V$128</definedName>
  </definedNames>
  <calcPr calcId="162913"/>
  <customWorkbookViews>
    <customWorkbookView name="ISKUR - Kişisel Görünüm" guid="{78FE0CAC-51E5-4C61-A88D-7FAD500C2464}" mergeInterval="0" personalView="1" maximized="1" windowWidth="1020" windowHeight="563" tabRatio="882" activeSheetId="1"/>
  </customWorkbookViews>
</workbook>
</file>

<file path=xl/calcChain.xml><?xml version="1.0" encoding="utf-8"?>
<calcChain xmlns="http://schemas.openxmlformats.org/spreadsheetml/2006/main">
  <c r="V5" i="3" l="1"/>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29" i="3"/>
  <c r="V230" i="3"/>
  <c r="V231" i="3"/>
  <c r="V232" i="3"/>
  <c r="V233" i="3"/>
  <c r="V234" i="3"/>
  <c r="V235" i="3"/>
  <c r="V236" i="3"/>
  <c r="V237" i="3"/>
  <c r="V238" i="3"/>
  <c r="V239" i="3"/>
  <c r="V240" i="3"/>
  <c r="V241" i="3"/>
  <c r="V24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281" i="3"/>
  <c r="V282" i="3"/>
  <c r="V283" i="3"/>
  <c r="V284" i="3"/>
  <c r="V285" i="3"/>
  <c r="V286" i="3"/>
  <c r="V287" i="3"/>
  <c r="V288" i="3"/>
  <c r="V289" i="3"/>
  <c r="V290" i="3"/>
  <c r="V291" i="3"/>
  <c r="V292" i="3"/>
  <c r="V293" i="3"/>
  <c r="V294" i="3"/>
  <c r="V295" i="3"/>
  <c r="V296" i="3"/>
  <c r="V297" i="3"/>
  <c r="V298" i="3"/>
  <c r="V299" i="3"/>
  <c r="V300" i="3"/>
  <c r="V301" i="3"/>
  <c r="V302" i="3"/>
  <c r="V303" i="3"/>
  <c r="V304" i="3"/>
  <c r="V305" i="3"/>
  <c r="V306" i="3"/>
  <c r="V307" i="3"/>
  <c r="V308" i="3"/>
  <c r="V309" i="3"/>
  <c r="V310" i="3"/>
  <c r="V311" i="3"/>
  <c r="V312" i="3"/>
  <c r="V313" i="3"/>
  <c r="V314" i="3"/>
  <c r="V315" i="3"/>
  <c r="V316" i="3"/>
  <c r="V317" i="3"/>
  <c r="V318" i="3"/>
  <c r="V319" i="3"/>
  <c r="V320" i="3"/>
  <c r="V321" i="3"/>
  <c r="V322" i="3"/>
  <c r="V323" i="3"/>
  <c r="V324" i="3"/>
  <c r="V325" i="3"/>
  <c r="V326" i="3"/>
  <c r="V327" i="3"/>
  <c r="V328" i="3"/>
  <c r="V329" i="3"/>
  <c r="V330" i="3"/>
  <c r="V331" i="3"/>
  <c r="V332" i="3"/>
  <c r="V333" i="3"/>
  <c r="V334" i="3"/>
  <c r="V335" i="3"/>
  <c r="V336" i="3"/>
  <c r="V337" i="3"/>
  <c r="V338" i="3"/>
  <c r="V339" i="3"/>
  <c r="V340" i="3"/>
  <c r="V341" i="3"/>
  <c r="V342" i="3"/>
  <c r="V343" i="3"/>
  <c r="V344" i="3"/>
  <c r="V345" i="3"/>
  <c r="V346" i="3"/>
  <c r="V347" i="3"/>
  <c r="V348" i="3"/>
  <c r="V349" i="3"/>
  <c r="V350" i="3"/>
  <c r="V351" i="3"/>
  <c r="V352" i="3"/>
  <c r="V353" i="3"/>
  <c r="V354" i="3"/>
  <c r="V355" i="3"/>
  <c r="V356" i="3"/>
  <c r="V357" i="3"/>
  <c r="V358" i="3"/>
  <c r="V359" i="3"/>
  <c r="V360" i="3"/>
  <c r="V361" i="3"/>
  <c r="V362" i="3"/>
  <c r="V363" i="3"/>
  <c r="V364" i="3"/>
  <c r="V365" i="3"/>
  <c r="V366" i="3"/>
  <c r="V367" i="3"/>
  <c r="V368" i="3"/>
  <c r="V369" i="3"/>
  <c r="V370" i="3"/>
  <c r="V371" i="3"/>
  <c r="V372" i="3"/>
  <c r="V373" i="3"/>
  <c r="V374" i="3"/>
  <c r="V375" i="3"/>
  <c r="V376" i="3"/>
  <c r="V377" i="3"/>
  <c r="V378" i="3"/>
  <c r="V379" i="3"/>
  <c r="V380" i="3"/>
  <c r="V381" i="3"/>
  <c r="V382" i="3"/>
  <c r="V383" i="3"/>
  <c r="V384" i="3"/>
  <c r="V385" i="3"/>
  <c r="V386" i="3"/>
  <c r="V387" i="3"/>
  <c r="V388" i="3"/>
  <c r="V389" i="3"/>
  <c r="V390" i="3"/>
  <c r="V391" i="3"/>
  <c r="V392" i="3"/>
  <c r="V393" i="3"/>
  <c r="V394" i="3"/>
  <c r="V395" i="3"/>
  <c r="V396" i="3"/>
  <c r="V397" i="3"/>
  <c r="V398" i="3"/>
  <c r="V399" i="3"/>
  <c r="V400" i="3"/>
  <c r="V401" i="3"/>
  <c r="V402" i="3"/>
  <c r="V403" i="3"/>
  <c r="V404" i="3"/>
  <c r="V405" i="3"/>
  <c r="V406" i="3"/>
  <c r="V407" i="3"/>
  <c r="V408" i="3"/>
  <c r="V409" i="3"/>
  <c r="V410" i="3"/>
  <c r="V411" i="3"/>
  <c r="V412" i="3"/>
  <c r="V413" i="3"/>
  <c r="V414" i="3"/>
  <c r="V415" i="3"/>
  <c r="V416" i="3"/>
  <c r="V417" i="3"/>
  <c r="V418" i="3"/>
  <c r="V419" i="3"/>
  <c r="V420" i="3"/>
  <c r="V421" i="3"/>
  <c r="V422" i="3"/>
  <c r="V423" i="3"/>
  <c r="V424" i="3"/>
  <c r="V425" i="3"/>
  <c r="V426" i="3"/>
  <c r="V427" i="3"/>
  <c r="V428" i="3"/>
  <c r="V429" i="3"/>
  <c r="V430" i="3"/>
  <c r="V431" i="3"/>
  <c r="V432" i="3"/>
  <c r="V433" i="3"/>
  <c r="V434" i="3"/>
  <c r="V435" i="3"/>
  <c r="V436" i="3"/>
  <c r="V437" i="3"/>
  <c r="V438" i="3"/>
  <c r="V439" i="3"/>
  <c r="V440" i="3"/>
  <c r="V441" i="3"/>
  <c r="V442" i="3"/>
  <c r="V443" i="3"/>
  <c r="V444" i="3"/>
  <c r="V445" i="3"/>
  <c r="V446" i="3"/>
  <c r="V447" i="3"/>
  <c r="V448" i="3"/>
  <c r="V449" i="3"/>
  <c r="V450" i="3"/>
  <c r="V451" i="3"/>
  <c r="V452" i="3"/>
  <c r="A5" i="3"/>
  <c r="B5" i="3"/>
  <c r="C5" i="3"/>
  <c r="D5" i="3"/>
  <c r="F5" i="3" s="1"/>
  <c r="S5" i="3" s="1"/>
  <c r="E5" i="3"/>
  <c r="K5" i="3"/>
  <c r="L5" i="3"/>
  <c r="A6" i="3"/>
  <c r="B6" i="3"/>
  <c r="C6" i="3"/>
  <c r="D6" i="3"/>
  <c r="F6" i="3" s="1"/>
  <c r="E6" i="3"/>
  <c r="K6" i="3"/>
  <c r="L6" i="3"/>
  <c r="M6" i="3"/>
  <c r="A7" i="3"/>
  <c r="B7" i="3"/>
  <c r="C7" i="3"/>
  <c r="D7" i="3"/>
  <c r="E7" i="3"/>
  <c r="F7" i="3"/>
  <c r="K7" i="3"/>
  <c r="L7" i="3"/>
  <c r="M7" i="3"/>
  <c r="A8" i="3"/>
  <c r="B8" i="3"/>
  <c r="C8" i="3"/>
  <c r="D8" i="3"/>
  <c r="E8" i="3"/>
  <c r="F8" i="3"/>
  <c r="T8" i="3" s="1"/>
  <c r="H8" i="3"/>
  <c r="I8" i="3"/>
  <c r="J8" i="3"/>
  <c r="K8" i="3"/>
  <c r="L8" i="3" s="1"/>
  <c r="M8" i="3"/>
  <c r="N8" i="3"/>
  <c r="S8" i="3"/>
  <c r="U8" i="3"/>
  <c r="A9" i="3"/>
  <c r="B9" i="3"/>
  <c r="C9" i="3"/>
  <c r="D9" i="3"/>
  <c r="F9" i="3" s="1"/>
  <c r="E9" i="3"/>
  <c r="K9" i="3"/>
  <c r="L9" i="3" s="1"/>
  <c r="M9" i="3"/>
  <c r="A10" i="3"/>
  <c r="B10" i="3"/>
  <c r="C10" i="3"/>
  <c r="D10" i="3"/>
  <c r="F10" i="3" s="1"/>
  <c r="E10" i="3"/>
  <c r="J10" i="3"/>
  <c r="K10" i="3"/>
  <c r="L10" i="3" s="1"/>
  <c r="M10" i="3"/>
  <c r="A11" i="3"/>
  <c r="B11" i="3"/>
  <c r="C11" i="3"/>
  <c r="D11" i="3"/>
  <c r="E11" i="3"/>
  <c r="F11" i="3" s="1"/>
  <c r="K11" i="3"/>
  <c r="L11" i="3"/>
  <c r="M11" i="3"/>
  <c r="A12" i="3"/>
  <c r="B12" i="3"/>
  <c r="C12" i="3"/>
  <c r="D12" i="3"/>
  <c r="E12" i="3"/>
  <c r="F12" i="3"/>
  <c r="J12" i="3"/>
  <c r="K12" i="3"/>
  <c r="L12" i="3"/>
  <c r="A13" i="3"/>
  <c r="B13" i="3"/>
  <c r="C13" i="3"/>
  <c r="D13" i="3"/>
  <c r="F13" i="3" s="1"/>
  <c r="E13" i="3"/>
  <c r="K13" i="3"/>
  <c r="L13" i="3"/>
  <c r="M13" i="3" s="1"/>
  <c r="A14" i="3"/>
  <c r="B14" i="3"/>
  <c r="C14" i="3"/>
  <c r="D14" i="3"/>
  <c r="F14" i="3" s="1"/>
  <c r="E14" i="3"/>
  <c r="K14" i="3"/>
  <c r="L14" i="3"/>
  <c r="M14" i="3"/>
  <c r="A15" i="3"/>
  <c r="B15" i="3"/>
  <c r="C15" i="3"/>
  <c r="D15" i="3"/>
  <c r="E15" i="3"/>
  <c r="F15" i="3"/>
  <c r="I15" i="3"/>
  <c r="J15" i="3"/>
  <c r="K15" i="3"/>
  <c r="L15" i="3" s="1"/>
  <c r="N15" i="3"/>
  <c r="O15" i="3"/>
  <c r="A16" i="3"/>
  <c r="B16" i="3"/>
  <c r="C16" i="3"/>
  <c r="D16" i="3"/>
  <c r="E16" i="3"/>
  <c r="F16" i="3"/>
  <c r="K16" i="3"/>
  <c r="L16" i="3"/>
  <c r="N16" i="3"/>
  <c r="A17" i="3"/>
  <c r="B17" i="3"/>
  <c r="C17" i="3"/>
  <c r="D17" i="3"/>
  <c r="E17" i="3"/>
  <c r="F17" i="3"/>
  <c r="K17" i="3"/>
  <c r="L17" i="3" s="1"/>
  <c r="M17" i="3"/>
  <c r="A18" i="3"/>
  <c r="B18" i="3"/>
  <c r="C18" i="3"/>
  <c r="D18" i="3"/>
  <c r="E18" i="3"/>
  <c r="K18" i="3"/>
  <c r="L18" i="3"/>
  <c r="M18" i="3"/>
  <c r="A19" i="3"/>
  <c r="B19" i="3"/>
  <c r="C19" i="3"/>
  <c r="D19" i="3"/>
  <c r="E19" i="3"/>
  <c r="F19" i="3"/>
  <c r="K19" i="3"/>
  <c r="L19" i="3"/>
  <c r="A20" i="3"/>
  <c r="B20" i="3"/>
  <c r="C20" i="3"/>
  <c r="D20" i="3"/>
  <c r="E20" i="3"/>
  <c r="K20" i="3"/>
  <c r="L20" i="3"/>
  <c r="A21" i="3"/>
  <c r="B21" i="3"/>
  <c r="C21" i="3"/>
  <c r="D21" i="3"/>
  <c r="E21" i="3"/>
  <c r="F21" i="3" s="1"/>
  <c r="K21" i="3"/>
  <c r="L21" i="3"/>
  <c r="A22" i="3"/>
  <c r="B22" i="3"/>
  <c r="C22" i="3"/>
  <c r="D22" i="3"/>
  <c r="E22" i="3"/>
  <c r="F22" i="3"/>
  <c r="J22" i="3"/>
  <c r="K22" i="3"/>
  <c r="L22" i="3"/>
  <c r="M22" i="3"/>
  <c r="A23" i="3"/>
  <c r="B23" i="3"/>
  <c r="C23" i="3"/>
  <c r="D23" i="3"/>
  <c r="F23" i="3" s="1"/>
  <c r="T23" i="3" s="1"/>
  <c r="E23" i="3"/>
  <c r="I23" i="3"/>
  <c r="J23" i="3"/>
  <c r="K23" i="3"/>
  <c r="L23" i="3"/>
  <c r="N23" i="3"/>
  <c r="O23" i="3"/>
  <c r="P23" i="3"/>
  <c r="S23" i="3"/>
  <c r="U23" i="3"/>
  <c r="A24" i="3"/>
  <c r="B24" i="3"/>
  <c r="C24" i="3"/>
  <c r="D24" i="3"/>
  <c r="E24" i="3"/>
  <c r="F24" i="3"/>
  <c r="K24" i="3"/>
  <c r="L24" i="3"/>
  <c r="M24" i="3"/>
  <c r="A25" i="3"/>
  <c r="B25" i="3"/>
  <c r="C25" i="3"/>
  <c r="D25" i="3"/>
  <c r="E25" i="3"/>
  <c r="F25" i="3"/>
  <c r="J25" i="3" s="1"/>
  <c r="K25" i="3"/>
  <c r="L25" i="3"/>
  <c r="A26" i="3"/>
  <c r="B26" i="3"/>
  <c r="C26" i="3"/>
  <c r="D26" i="3"/>
  <c r="F26" i="3" s="1"/>
  <c r="E26" i="3"/>
  <c r="K26" i="3"/>
  <c r="L26" i="3"/>
  <c r="A27" i="3"/>
  <c r="B27" i="3"/>
  <c r="C27" i="3"/>
  <c r="D27" i="3"/>
  <c r="F27" i="3" s="1"/>
  <c r="E27" i="3"/>
  <c r="K27" i="3"/>
  <c r="L27" i="3" s="1"/>
  <c r="M27" i="3"/>
  <c r="A28" i="3"/>
  <c r="B28" i="3"/>
  <c r="C28" i="3"/>
  <c r="D28" i="3"/>
  <c r="E28" i="3"/>
  <c r="F28" i="3" s="1"/>
  <c r="I28" i="3"/>
  <c r="J28" i="3"/>
  <c r="K28" i="3"/>
  <c r="L28" i="3" s="1"/>
  <c r="M28" i="3"/>
  <c r="A29" i="3"/>
  <c r="B29" i="3"/>
  <c r="C29" i="3"/>
  <c r="D29" i="3"/>
  <c r="E29" i="3"/>
  <c r="F29" i="3"/>
  <c r="J29" i="3"/>
  <c r="K29" i="3"/>
  <c r="S29" i="3"/>
  <c r="A30" i="3"/>
  <c r="B30" i="3"/>
  <c r="C30" i="3"/>
  <c r="D30" i="3"/>
  <c r="F30" i="3" s="1"/>
  <c r="E30" i="3"/>
  <c r="K30" i="3"/>
  <c r="L30" i="3"/>
  <c r="M30" i="3"/>
  <c r="N30" i="3"/>
  <c r="O30" i="3"/>
  <c r="P30" i="3" s="1"/>
  <c r="A31" i="3"/>
  <c r="B31" i="3"/>
  <c r="C31" i="3"/>
  <c r="D31" i="3"/>
  <c r="E31" i="3"/>
  <c r="F31" i="3"/>
  <c r="J31" i="3" s="1"/>
  <c r="K31" i="3"/>
  <c r="A32" i="3"/>
  <c r="B32" i="3"/>
  <c r="C32" i="3"/>
  <c r="D32" i="3"/>
  <c r="E32" i="3"/>
  <c r="F32" i="3" s="1"/>
  <c r="K32" i="3"/>
  <c r="A33" i="3"/>
  <c r="B33" i="3"/>
  <c r="C33" i="3"/>
  <c r="D33" i="3"/>
  <c r="E33" i="3"/>
  <c r="K33" i="3"/>
  <c r="L33" i="3"/>
  <c r="M33" i="3"/>
  <c r="A34" i="3"/>
  <c r="B34" i="3"/>
  <c r="C34" i="3"/>
  <c r="D34" i="3"/>
  <c r="E34" i="3"/>
  <c r="K34" i="3"/>
  <c r="L34" i="3"/>
  <c r="M34" i="3" s="1"/>
  <c r="A35" i="3"/>
  <c r="B35" i="3"/>
  <c r="C35" i="3"/>
  <c r="D35" i="3"/>
  <c r="E35" i="3"/>
  <c r="F35" i="3" s="1"/>
  <c r="K35" i="3"/>
  <c r="L35" i="3" s="1"/>
  <c r="M35" i="3"/>
  <c r="A36" i="3"/>
  <c r="B36" i="3"/>
  <c r="C36" i="3"/>
  <c r="D36" i="3"/>
  <c r="E36" i="3"/>
  <c r="F36" i="3"/>
  <c r="K36" i="3"/>
  <c r="A37" i="3"/>
  <c r="B37" i="3"/>
  <c r="C37" i="3"/>
  <c r="D37" i="3"/>
  <c r="E37" i="3"/>
  <c r="F37" i="3"/>
  <c r="I37" i="3"/>
  <c r="K37" i="3"/>
  <c r="L37" i="3" s="1"/>
  <c r="M37" i="3"/>
  <c r="S37" i="3"/>
  <c r="A38" i="3"/>
  <c r="B38" i="3"/>
  <c r="C38" i="3"/>
  <c r="D38" i="3"/>
  <c r="E38" i="3"/>
  <c r="K38" i="3"/>
  <c r="A39" i="3"/>
  <c r="B39" i="3"/>
  <c r="C39" i="3"/>
  <c r="D39" i="3"/>
  <c r="E39" i="3"/>
  <c r="F39" i="3"/>
  <c r="I39" i="3"/>
  <c r="J39" i="3"/>
  <c r="K39" i="3"/>
  <c r="L39" i="3" s="1"/>
  <c r="M39" i="3"/>
  <c r="A40" i="3"/>
  <c r="B40" i="3"/>
  <c r="C40" i="3"/>
  <c r="D40" i="3"/>
  <c r="F40" i="3" s="1"/>
  <c r="E40" i="3"/>
  <c r="K40" i="3"/>
  <c r="L40" i="3"/>
  <c r="M40" i="3"/>
  <c r="A41" i="3"/>
  <c r="B41" i="3"/>
  <c r="C41" i="3"/>
  <c r="D41" i="3"/>
  <c r="E41" i="3"/>
  <c r="F41" i="3"/>
  <c r="K41" i="3"/>
  <c r="L41" i="3"/>
  <c r="M41" i="3" s="1"/>
  <c r="A42" i="3"/>
  <c r="B42" i="3"/>
  <c r="C42" i="3"/>
  <c r="D42" i="3"/>
  <c r="E42" i="3"/>
  <c r="K42" i="3"/>
  <c r="M42" i="3" s="1"/>
  <c r="L42" i="3"/>
  <c r="A43" i="3"/>
  <c r="B43" i="3"/>
  <c r="C43" i="3"/>
  <c r="D43" i="3"/>
  <c r="F43" i="3" s="1"/>
  <c r="E43" i="3"/>
  <c r="K43" i="3"/>
  <c r="N43" i="3"/>
  <c r="O43" i="3" s="1"/>
  <c r="P43" i="3"/>
  <c r="A44" i="3"/>
  <c r="B44" i="3"/>
  <c r="C44" i="3"/>
  <c r="D44" i="3"/>
  <c r="E44" i="3"/>
  <c r="F44" i="3" s="1"/>
  <c r="K44" i="3"/>
  <c r="L44" i="3" s="1"/>
  <c r="A45" i="3"/>
  <c r="B45" i="3"/>
  <c r="C45" i="3"/>
  <c r="D45" i="3"/>
  <c r="E45" i="3"/>
  <c r="F45" i="3" s="1"/>
  <c r="K45" i="3"/>
  <c r="L45" i="3"/>
  <c r="M45" i="3"/>
  <c r="A46" i="3"/>
  <c r="B46" i="3"/>
  <c r="C46" i="3"/>
  <c r="D46" i="3"/>
  <c r="F46" i="3" s="1"/>
  <c r="E46" i="3"/>
  <c r="K46" i="3"/>
  <c r="L46" i="3" s="1"/>
  <c r="A47" i="3"/>
  <c r="B47" i="3"/>
  <c r="C47" i="3"/>
  <c r="D47" i="3"/>
  <c r="F47" i="3" s="1"/>
  <c r="E47" i="3"/>
  <c r="K47" i="3"/>
  <c r="L47" i="3"/>
  <c r="M47" i="3"/>
  <c r="N47" i="3"/>
  <c r="A48" i="3"/>
  <c r="B48" i="3"/>
  <c r="C48" i="3"/>
  <c r="D48" i="3"/>
  <c r="E48" i="3"/>
  <c r="F48" i="3"/>
  <c r="J48" i="3" s="1"/>
  <c r="K48" i="3"/>
  <c r="A49" i="3"/>
  <c r="B49" i="3"/>
  <c r="C49" i="3"/>
  <c r="D49" i="3"/>
  <c r="E49" i="3"/>
  <c r="F49" i="3"/>
  <c r="K49" i="3"/>
  <c r="N49" i="3"/>
  <c r="A50" i="3"/>
  <c r="B50" i="3"/>
  <c r="C50" i="3"/>
  <c r="D50" i="3"/>
  <c r="F50" i="3" s="1"/>
  <c r="E50" i="3"/>
  <c r="J50" i="3"/>
  <c r="K50" i="3"/>
  <c r="L50" i="3"/>
  <c r="M50" i="3" s="1"/>
  <c r="N50" i="3"/>
  <c r="S50" i="3"/>
  <c r="A51" i="3"/>
  <c r="B51" i="3"/>
  <c r="C51" i="3"/>
  <c r="D51" i="3"/>
  <c r="E51" i="3"/>
  <c r="F51" i="3"/>
  <c r="K51" i="3"/>
  <c r="L51" i="3" s="1"/>
  <c r="M51" i="3"/>
  <c r="A52" i="3"/>
  <c r="B52" i="3"/>
  <c r="C52" i="3"/>
  <c r="D52" i="3"/>
  <c r="E52" i="3"/>
  <c r="F52" i="3"/>
  <c r="K52" i="3"/>
  <c r="L52" i="3"/>
  <c r="N52" i="3"/>
  <c r="O52" i="3" s="1"/>
  <c r="P52" i="3"/>
  <c r="A53" i="3"/>
  <c r="B53" i="3"/>
  <c r="C53" i="3"/>
  <c r="D53" i="3"/>
  <c r="F53" i="3" s="1"/>
  <c r="E53" i="3"/>
  <c r="K53" i="3"/>
  <c r="L53" i="3"/>
  <c r="A54" i="3"/>
  <c r="B54" i="3"/>
  <c r="C54" i="3"/>
  <c r="D54" i="3"/>
  <c r="E54" i="3"/>
  <c r="F54" i="3"/>
  <c r="I54" i="3"/>
  <c r="K54" i="3"/>
  <c r="L54" i="3"/>
  <c r="M54" i="3" s="1"/>
  <c r="A55" i="3"/>
  <c r="B55" i="3"/>
  <c r="C55" i="3"/>
  <c r="D55" i="3"/>
  <c r="E55" i="3"/>
  <c r="F55" i="3" s="1"/>
  <c r="K55" i="3"/>
  <c r="S55" i="3"/>
  <c r="A56" i="3"/>
  <c r="B56" i="3"/>
  <c r="C56" i="3"/>
  <c r="D56" i="3"/>
  <c r="E56" i="3"/>
  <c r="F56" i="3" s="1"/>
  <c r="K56" i="3"/>
  <c r="L56" i="3"/>
  <c r="A57" i="3"/>
  <c r="B57" i="3"/>
  <c r="C57" i="3"/>
  <c r="D57" i="3"/>
  <c r="E57" i="3"/>
  <c r="K57" i="3"/>
  <c r="L57" i="3"/>
  <c r="A58" i="3"/>
  <c r="B58" i="3"/>
  <c r="C58" i="3"/>
  <c r="D58" i="3"/>
  <c r="E58" i="3"/>
  <c r="K58" i="3"/>
  <c r="L58" i="3"/>
  <c r="M58" i="3" s="1"/>
  <c r="A59" i="3"/>
  <c r="B59" i="3"/>
  <c r="C59" i="3"/>
  <c r="D59" i="3"/>
  <c r="E59" i="3"/>
  <c r="F59" i="3"/>
  <c r="K59" i="3"/>
  <c r="L59" i="3"/>
  <c r="M59" i="3" s="1"/>
  <c r="S59" i="3"/>
  <c r="A60" i="3"/>
  <c r="B60" i="3"/>
  <c r="C60" i="3"/>
  <c r="D60" i="3"/>
  <c r="F60" i="3" s="1"/>
  <c r="E60" i="3"/>
  <c r="K60" i="3"/>
  <c r="A61" i="3"/>
  <c r="B61" i="3"/>
  <c r="C61" i="3"/>
  <c r="D61" i="3"/>
  <c r="F61" i="3" s="1"/>
  <c r="E61" i="3"/>
  <c r="I61" i="3"/>
  <c r="K61" i="3"/>
  <c r="A62" i="3"/>
  <c r="B62" i="3"/>
  <c r="C62" i="3"/>
  <c r="D62" i="3"/>
  <c r="E62" i="3"/>
  <c r="F62" i="3" s="1"/>
  <c r="K62" i="3"/>
  <c r="L62" i="3"/>
  <c r="N62" i="3"/>
  <c r="A63" i="3"/>
  <c r="B63" i="3"/>
  <c r="C63" i="3"/>
  <c r="D63" i="3"/>
  <c r="E63" i="3"/>
  <c r="F63" i="3"/>
  <c r="I63" i="3"/>
  <c r="J63" i="3"/>
  <c r="K63" i="3"/>
  <c r="L63" i="3"/>
  <c r="M63" i="3"/>
  <c r="S63" i="3"/>
  <c r="A64" i="3"/>
  <c r="B64" i="3"/>
  <c r="C64" i="3"/>
  <c r="D64" i="3"/>
  <c r="E64" i="3"/>
  <c r="K64" i="3"/>
  <c r="L64" i="3"/>
  <c r="M64" i="3"/>
  <c r="A65" i="3"/>
  <c r="B65" i="3"/>
  <c r="C65" i="3"/>
  <c r="D65" i="3"/>
  <c r="E65" i="3"/>
  <c r="F65" i="3"/>
  <c r="K65" i="3"/>
  <c r="L65" i="3"/>
  <c r="M65" i="3"/>
  <c r="A66" i="3"/>
  <c r="B66" i="3"/>
  <c r="C66" i="3"/>
  <c r="D66" i="3"/>
  <c r="F66" i="3" s="1"/>
  <c r="E66" i="3"/>
  <c r="K66" i="3"/>
  <c r="L66" i="3"/>
  <c r="A67" i="3"/>
  <c r="B67" i="3"/>
  <c r="C67" i="3"/>
  <c r="D67" i="3"/>
  <c r="F67" i="3" s="1"/>
  <c r="E67" i="3"/>
  <c r="I67" i="3"/>
  <c r="K67" i="3"/>
  <c r="L67" i="3" s="1"/>
  <c r="M67" i="3"/>
  <c r="N67" i="3"/>
  <c r="S67" i="3"/>
  <c r="A68" i="3"/>
  <c r="B68" i="3"/>
  <c r="C68" i="3"/>
  <c r="D68" i="3"/>
  <c r="E68" i="3"/>
  <c r="F68" i="3"/>
  <c r="I68" i="3"/>
  <c r="K68" i="3"/>
  <c r="L68" i="3"/>
  <c r="M68" i="3"/>
  <c r="A69" i="3"/>
  <c r="B69" i="3"/>
  <c r="C69" i="3"/>
  <c r="D69" i="3"/>
  <c r="F69" i="3" s="1"/>
  <c r="E69" i="3"/>
  <c r="K69" i="3"/>
  <c r="L69" i="3"/>
  <c r="A70" i="3"/>
  <c r="B70" i="3"/>
  <c r="C70" i="3"/>
  <c r="D70" i="3"/>
  <c r="E70" i="3"/>
  <c r="K70" i="3"/>
  <c r="A71" i="3"/>
  <c r="B71" i="3"/>
  <c r="C71" i="3"/>
  <c r="D71" i="3"/>
  <c r="F71" i="3" s="1"/>
  <c r="E71" i="3"/>
  <c r="K71" i="3"/>
  <c r="L71" i="3"/>
  <c r="A72" i="3"/>
  <c r="B72" i="3"/>
  <c r="C72" i="3"/>
  <c r="D72" i="3"/>
  <c r="E72" i="3"/>
  <c r="F72" i="3"/>
  <c r="K72" i="3"/>
  <c r="N72" i="3"/>
  <c r="A73" i="3"/>
  <c r="B73" i="3"/>
  <c r="C73" i="3"/>
  <c r="D73" i="3"/>
  <c r="E73" i="3"/>
  <c r="K73" i="3"/>
  <c r="L73" i="3" s="1"/>
  <c r="M73" i="3"/>
  <c r="A74" i="3"/>
  <c r="B74" i="3"/>
  <c r="C74" i="3"/>
  <c r="D74" i="3"/>
  <c r="F74" i="3" s="1"/>
  <c r="E74" i="3"/>
  <c r="K74" i="3"/>
  <c r="L74" i="3"/>
  <c r="M74" i="3"/>
  <c r="A75" i="3"/>
  <c r="B75" i="3"/>
  <c r="C75" i="3"/>
  <c r="D75" i="3"/>
  <c r="F75" i="3" s="1"/>
  <c r="E75" i="3"/>
  <c r="K75" i="3"/>
  <c r="S75" i="3"/>
  <c r="A76" i="3"/>
  <c r="B76" i="3"/>
  <c r="C76" i="3"/>
  <c r="D76" i="3"/>
  <c r="E76" i="3"/>
  <c r="K76" i="3"/>
  <c r="L76" i="3"/>
  <c r="A77" i="3"/>
  <c r="B77" i="3"/>
  <c r="C77" i="3"/>
  <c r="D77" i="3"/>
  <c r="E77" i="3"/>
  <c r="F77" i="3" s="1"/>
  <c r="K77" i="3"/>
  <c r="L77" i="3"/>
  <c r="M77" i="3" s="1"/>
  <c r="S77" i="3"/>
  <c r="A78" i="3"/>
  <c r="B78" i="3"/>
  <c r="C78" i="3"/>
  <c r="D78" i="3"/>
  <c r="F78" i="3" s="1"/>
  <c r="E78" i="3"/>
  <c r="I78" i="3"/>
  <c r="K78" i="3"/>
  <c r="L78" i="3" s="1"/>
  <c r="N78" i="3"/>
  <c r="S78" i="3"/>
  <c r="A79" i="3"/>
  <c r="B79" i="3"/>
  <c r="C79" i="3"/>
  <c r="D79" i="3"/>
  <c r="E79" i="3"/>
  <c r="K79" i="3"/>
  <c r="A80" i="3"/>
  <c r="B80" i="3"/>
  <c r="C80" i="3"/>
  <c r="D80" i="3"/>
  <c r="F80" i="3" s="1"/>
  <c r="E80" i="3"/>
  <c r="I80" i="3"/>
  <c r="J80" i="3"/>
  <c r="K80" i="3"/>
  <c r="L80" i="3"/>
  <c r="M80" i="3"/>
  <c r="A81" i="3"/>
  <c r="B81" i="3"/>
  <c r="C81" i="3"/>
  <c r="D81" i="3"/>
  <c r="E81" i="3"/>
  <c r="F81" i="3"/>
  <c r="I81" i="3" s="1"/>
  <c r="J81" i="3"/>
  <c r="K81" i="3"/>
  <c r="A82" i="3"/>
  <c r="B82" i="3"/>
  <c r="C82" i="3"/>
  <c r="D82" i="3"/>
  <c r="E82" i="3"/>
  <c r="F82" i="3"/>
  <c r="I82" i="3"/>
  <c r="K82" i="3"/>
  <c r="L82" i="3"/>
  <c r="N82" i="3"/>
  <c r="O82" i="3"/>
  <c r="P82" i="3" s="1"/>
  <c r="A83" i="3"/>
  <c r="B83" i="3"/>
  <c r="C83" i="3"/>
  <c r="D83" i="3"/>
  <c r="F83" i="3" s="1"/>
  <c r="S83" i="3" s="1"/>
  <c r="E83" i="3"/>
  <c r="I83" i="3"/>
  <c r="K83" i="3"/>
  <c r="A84" i="3"/>
  <c r="B84" i="3"/>
  <c r="C84" i="3"/>
  <c r="D84" i="3"/>
  <c r="E84" i="3"/>
  <c r="K84" i="3"/>
  <c r="A85" i="3"/>
  <c r="B85" i="3"/>
  <c r="C85" i="3"/>
  <c r="D85" i="3"/>
  <c r="E85" i="3"/>
  <c r="K85" i="3"/>
  <c r="L85" i="3"/>
  <c r="A86" i="3"/>
  <c r="B86" i="3"/>
  <c r="C86" i="3"/>
  <c r="D86" i="3"/>
  <c r="F86" i="3" s="1"/>
  <c r="E86" i="3"/>
  <c r="K86" i="3"/>
  <c r="L86" i="3"/>
  <c r="M86" i="3"/>
  <c r="N86" i="3"/>
  <c r="O86" i="3"/>
  <c r="S86" i="3"/>
  <c r="A87" i="3"/>
  <c r="B87" i="3"/>
  <c r="C87" i="3"/>
  <c r="D87" i="3"/>
  <c r="E87" i="3"/>
  <c r="F87" i="3"/>
  <c r="K87" i="3"/>
  <c r="M87" i="3" s="1"/>
  <c r="L87" i="3"/>
  <c r="N87" i="3"/>
  <c r="A88" i="3"/>
  <c r="B88" i="3"/>
  <c r="C88" i="3"/>
  <c r="D88" i="3"/>
  <c r="E88" i="3"/>
  <c r="F88" i="3" s="1"/>
  <c r="N88" i="3" s="1"/>
  <c r="I88" i="3"/>
  <c r="K88" i="3"/>
  <c r="A89" i="3"/>
  <c r="B89" i="3"/>
  <c r="C89" i="3"/>
  <c r="D89" i="3"/>
  <c r="F89" i="3" s="1"/>
  <c r="E89" i="3"/>
  <c r="I89" i="3"/>
  <c r="K89" i="3"/>
  <c r="N89" i="3"/>
  <c r="O89" i="3" s="1"/>
  <c r="P89" i="3"/>
  <c r="A90" i="3"/>
  <c r="B90" i="3"/>
  <c r="C90" i="3"/>
  <c r="D90" i="3"/>
  <c r="F90" i="3" s="1"/>
  <c r="E90" i="3"/>
  <c r="K90" i="3"/>
  <c r="L90" i="3" s="1"/>
  <c r="M90" i="3"/>
  <c r="N90" i="3"/>
  <c r="A91" i="3"/>
  <c r="B91" i="3"/>
  <c r="C91" i="3"/>
  <c r="D91" i="3"/>
  <c r="E91" i="3"/>
  <c r="K91" i="3"/>
  <c r="L91" i="3"/>
  <c r="M91" i="3" s="1"/>
  <c r="A92" i="3"/>
  <c r="B92" i="3"/>
  <c r="C92" i="3"/>
  <c r="D92" i="3"/>
  <c r="E92" i="3"/>
  <c r="K92" i="3"/>
  <c r="L92" i="3"/>
  <c r="M92" i="3" s="1"/>
  <c r="A93" i="3"/>
  <c r="B93" i="3"/>
  <c r="C93" i="3"/>
  <c r="D93" i="3"/>
  <c r="F93" i="3" s="1"/>
  <c r="E93" i="3"/>
  <c r="J93" i="3"/>
  <c r="K93" i="3"/>
  <c r="N93" i="3"/>
  <c r="O93" i="3" s="1"/>
  <c r="P93" i="3"/>
  <c r="S93" i="3"/>
  <c r="A94" i="3"/>
  <c r="B94" i="3"/>
  <c r="C94" i="3"/>
  <c r="D94" i="3"/>
  <c r="F94" i="3" s="1"/>
  <c r="E94" i="3"/>
  <c r="I94" i="3"/>
  <c r="K94" i="3"/>
  <c r="L94" i="3"/>
  <c r="M94" i="3"/>
  <c r="N94" i="3"/>
  <c r="A95" i="3"/>
  <c r="B95" i="3"/>
  <c r="C95" i="3"/>
  <c r="D95" i="3"/>
  <c r="E95" i="3"/>
  <c r="K95" i="3"/>
  <c r="A96" i="3"/>
  <c r="B96" i="3"/>
  <c r="C96" i="3"/>
  <c r="D96" i="3"/>
  <c r="F96" i="3" s="1"/>
  <c r="E96" i="3"/>
  <c r="H96" i="3"/>
  <c r="I96" i="3"/>
  <c r="J96" i="3"/>
  <c r="K96" i="3"/>
  <c r="N96" i="3"/>
  <c r="S96" i="3"/>
  <c r="T96" i="3"/>
  <c r="U96" i="3"/>
  <c r="A97" i="3"/>
  <c r="B97" i="3"/>
  <c r="C97" i="3"/>
  <c r="D97" i="3"/>
  <c r="E97" i="3"/>
  <c r="K97" i="3"/>
  <c r="L97" i="3" s="1"/>
  <c r="M97" i="3"/>
  <c r="A98" i="3"/>
  <c r="B98" i="3"/>
  <c r="C98" i="3"/>
  <c r="D98" i="3"/>
  <c r="E98" i="3"/>
  <c r="K98" i="3"/>
  <c r="L98" i="3"/>
  <c r="M98" i="3"/>
  <c r="A99" i="3"/>
  <c r="B99" i="3"/>
  <c r="C99" i="3"/>
  <c r="D99" i="3"/>
  <c r="F99" i="3" s="1"/>
  <c r="S99" i="3" s="1"/>
  <c r="E99" i="3"/>
  <c r="K99" i="3"/>
  <c r="L99" i="3"/>
  <c r="N99" i="3"/>
  <c r="A100" i="3"/>
  <c r="B100" i="3"/>
  <c r="C100" i="3"/>
  <c r="D100" i="3"/>
  <c r="F100" i="3" s="1"/>
  <c r="E100" i="3"/>
  <c r="K100" i="3"/>
  <c r="L100" i="3"/>
  <c r="M100" i="3"/>
  <c r="A101" i="3"/>
  <c r="B101" i="3"/>
  <c r="C101" i="3"/>
  <c r="D101" i="3"/>
  <c r="E101" i="3"/>
  <c r="K101" i="3"/>
  <c r="A102" i="3"/>
  <c r="B102" i="3"/>
  <c r="C102" i="3"/>
  <c r="D102" i="3"/>
  <c r="F102" i="3" s="1"/>
  <c r="S102" i="3" s="1"/>
  <c r="E102" i="3"/>
  <c r="I102" i="3"/>
  <c r="J102" i="3"/>
  <c r="K102" i="3"/>
  <c r="N102" i="3"/>
  <c r="T102" i="3"/>
  <c r="A103" i="3"/>
  <c r="B103" i="3"/>
  <c r="C103" i="3"/>
  <c r="D103" i="3"/>
  <c r="F103" i="3" s="1"/>
  <c r="E103" i="3"/>
  <c r="K103" i="3"/>
  <c r="L103" i="3" s="1"/>
  <c r="M103" i="3"/>
  <c r="A104" i="3"/>
  <c r="B104" i="3"/>
  <c r="C104" i="3"/>
  <c r="D104" i="3"/>
  <c r="F104" i="3" s="1"/>
  <c r="E104" i="3"/>
  <c r="K104" i="3"/>
  <c r="L104" i="3" s="1"/>
  <c r="S104" i="3"/>
  <c r="A105" i="3"/>
  <c r="B105" i="3"/>
  <c r="C105" i="3"/>
  <c r="D105" i="3"/>
  <c r="F105" i="3" s="1"/>
  <c r="E105" i="3"/>
  <c r="I105" i="3"/>
  <c r="K105" i="3"/>
  <c r="L105" i="3" s="1"/>
  <c r="M105" i="3"/>
  <c r="N105" i="3"/>
  <c r="A106" i="3"/>
  <c r="B106" i="3"/>
  <c r="C106" i="3"/>
  <c r="D106" i="3"/>
  <c r="E106" i="3"/>
  <c r="K106" i="3"/>
  <c r="L106" i="3"/>
  <c r="M106" i="3" s="1"/>
  <c r="A107" i="3"/>
  <c r="B107" i="3"/>
  <c r="C107" i="3"/>
  <c r="D107" i="3"/>
  <c r="F107" i="3" s="1"/>
  <c r="E107" i="3"/>
  <c r="K107" i="3"/>
  <c r="L107" i="3"/>
  <c r="A108" i="3"/>
  <c r="B108" i="3"/>
  <c r="C108" i="3"/>
  <c r="D108" i="3"/>
  <c r="F108" i="3" s="1"/>
  <c r="E108" i="3"/>
  <c r="J108" i="3"/>
  <c r="K108" i="3"/>
  <c r="L108" i="3"/>
  <c r="N108" i="3"/>
  <c r="O108" i="3"/>
  <c r="S108" i="3"/>
  <c r="A109" i="3"/>
  <c r="B109" i="3"/>
  <c r="C109" i="3"/>
  <c r="D109" i="3"/>
  <c r="E109" i="3"/>
  <c r="K109" i="3"/>
  <c r="L109" i="3"/>
  <c r="M109" i="3"/>
  <c r="A110" i="3"/>
  <c r="B110" i="3"/>
  <c r="C110" i="3"/>
  <c r="D110" i="3"/>
  <c r="F110" i="3" s="1"/>
  <c r="E110" i="3"/>
  <c r="I110" i="3"/>
  <c r="J110" i="3"/>
  <c r="K110" i="3"/>
  <c r="L110" i="3"/>
  <c r="T110" i="3"/>
  <c r="A111" i="3"/>
  <c r="B111" i="3"/>
  <c r="C111" i="3"/>
  <c r="D111" i="3"/>
  <c r="E111" i="3"/>
  <c r="K111" i="3"/>
  <c r="L111" i="3"/>
  <c r="A112" i="3"/>
  <c r="B112" i="3"/>
  <c r="C112" i="3"/>
  <c r="D112" i="3"/>
  <c r="F112" i="3" s="1"/>
  <c r="T112" i="3" s="1"/>
  <c r="E112" i="3"/>
  <c r="K112" i="3"/>
  <c r="L112" i="3"/>
  <c r="M112" i="3"/>
  <c r="S112" i="3"/>
  <c r="A113" i="3"/>
  <c r="B113" i="3"/>
  <c r="C113" i="3"/>
  <c r="D113" i="3"/>
  <c r="E113" i="3"/>
  <c r="K113" i="3"/>
  <c r="A114" i="3"/>
  <c r="B114" i="3"/>
  <c r="C114" i="3"/>
  <c r="D114" i="3"/>
  <c r="F114" i="3" s="1"/>
  <c r="E114" i="3"/>
  <c r="I114" i="3"/>
  <c r="K114" i="3"/>
  <c r="L114" i="3"/>
  <c r="A115" i="3"/>
  <c r="B115" i="3"/>
  <c r="C115" i="3"/>
  <c r="D115" i="3"/>
  <c r="E115" i="3"/>
  <c r="K115" i="3"/>
  <c r="L115" i="3"/>
  <c r="M115" i="3"/>
  <c r="A116" i="3"/>
  <c r="B116" i="3"/>
  <c r="C116" i="3"/>
  <c r="D116" i="3"/>
  <c r="F116" i="3" s="1"/>
  <c r="S116" i="3" s="1"/>
  <c r="E116" i="3"/>
  <c r="H116" i="3"/>
  <c r="I116" i="3"/>
  <c r="J116" i="3"/>
  <c r="K116" i="3"/>
  <c r="L116" i="3"/>
  <c r="N116" i="3"/>
  <c r="T116" i="3"/>
  <c r="U116" i="3" s="1"/>
  <c r="A117" i="3"/>
  <c r="B117" i="3"/>
  <c r="C117" i="3"/>
  <c r="D117" i="3"/>
  <c r="E117" i="3"/>
  <c r="K117" i="3"/>
  <c r="L117" i="3"/>
  <c r="A118" i="3"/>
  <c r="B118" i="3"/>
  <c r="C118" i="3"/>
  <c r="D118" i="3"/>
  <c r="F118" i="3" s="1"/>
  <c r="E118" i="3"/>
  <c r="K118" i="3"/>
  <c r="A119" i="3"/>
  <c r="B119" i="3"/>
  <c r="C119" i="3"/>
  <c r="D119" i="3"/>
  <c r="E119" i="3"/>
  <c r="K119" i="3"/>
  <c r="L119" i="3"/>
  <c r="M119" i="3" s="1"/>
  <c r="A120" i="3"/>
  <c r="B120" i="3"/>
  <c r="C120" i="3"/>
  <c r="D120" i="3"/>
  <c r="F120" i="3" s="1"/>
  <c r="E120" i="3"/>
  <c r="K120" i="3"/>
  <c r="L120" i="3"/>
  <c r="M120" i="3" s="1"/>
  <c r="A121" i="3"/>
  <c r="B121" i="3"/>
  <c r="C121" i="3"/>
  <c r="D121" i="3"/>
  <c r="E121" i="3"/>
  <c r="K121" i="3"/>
  <c r="L121" i="3" s="1"/>
  <c r="M121" i="3"/>
  <c r="A122" i="3"/>
  <c r="B122" i="3"/>
  <c r="C122" i="3"/>
  <c r="D122" i="3"/>
  <c r="E122" i="3"/>
  <c r="K122" i="3"/>
  <c r="A123" i="3"/>
  <c r="B123" i="3"/>
  <c r="C123" i="3"/>
  <c r="D123" i="3"/>
  <c r="E123" i="3"/>
  <c r="F123" i="3"/>
  <c r="H123" i="3"/>
  <c r="J123" i="3"/>
  <c r="K123" i="3"/>
  <c r="L123" i="3"/>
  <c r="N123" i="3"/>
  <c r="O123" i="3"/>
  <c r="T123" i="3"/>
  <c r="A124" i="3"/>
  <c r="B124" i="3"/>
  <c r="C124" i="3"/>
  <c r="D124" i="3"/>
  <c r="F124" i="3" s="1"/>
  <c r="E124" i="3"/>
  <c r="I124" i="3"/>
  <c r="K124" i="3"/>
  <c r="N124" i="3"/>
  <c r="O124" i="3"/>
  <c r="P124" i="3"/>
  <c r="T124" i="3"/>
  <c r="U124" i="3"/>
  <c r="A125" i="3"/>
  <c r="B125" i="3"/>
  <c r="C125" i="3"/>
  <c r="D125" i="3"/>
  <c r="E125" i="3"/>
  <c r="F125" i="3"/>
  <c r="I125" i="3"/>
  <c r="K125" i="3"/>
  <c r="L125" i="3"/>
  <c r="S125" i="3"/>
  <c r="T125" i="3"/>
  <c r="U125" i="3"/>
  <c r="A126" i="3"/>
  <c r="B126" i="3"/>
  <c r="C126" i="3"/>
  <c r="D126" i="3"/>
  <c r="E126" i="3"/>
  <c r="F126" i="3"/>
  <c r="K126" i="3"/>
  <c r="A127" i="3"/>
  <c r="B127" i="3"/>
  <c r="C127" i="3"/>
  <c r="D127" i="3"/>
  <c r="E127" i="3"/>
  <c r="F127" i="3" s="1"/>
  <c r="K127" i="3"/>
  <c r="A128" i="3"/>
  <c r="B128" i="3"/>
  <c r="C128" i="3"/>
  <c r="D128" i="3"/>
  <c r="E128" i="3"/>
  <c r="F128" i="3"/>
  <c r="K128" i="3"/>
  <c r="L128" i="3"/>
  <c r="A129" i="3"/>
  <c r="B129" i="3"/>
  <c r="C129" i="3"/>
  <c r="D129" i="3"/>
  <c r="E129" i="3"/>
  <c r="F129" i="3"/>
  <c r="K129" i="3"/>
  <c r="A130" i="3"/>
  <c r="B130" i="3"/>
  <c r="C130" i="3"/>
  <c r="D130" i="3"/>
  <c r="F130" i="3" s="1"/>
  <c r="J130" i="3" s="1"/>
  <c r="E130" i="3"/>
  <c r="K130" i="3"/>
  <c r="L130" i="3"/>
  <c r="A131" i="3"/>
  <c r="B131" i="3"/>
  <c r="C131" i="3"/>
  <c r="D131" i="3"/>
  <c r="E131" i="3"/>
  <c r="F131" i="3"/>
  <c r="K131" i="3"/>
  <c r="L131" i="3"/>
  <c r="A132" i="3"/>
  <c r="B132" i="3"/>
  <c r="C132" i="3"/>
  <c r="D132" i="3"/>
  <c r="E132" i="3"/>
  <c r="F132" i="3"/>
  <c r="J132" i="3" s="1"/>
  <c r="I132" i="3"/>
  <c r="K132" i="3"/>
  <c r="A133" i="3"/>
  <c r="B133" i="3"/>
  <c r="C133" i="3"/>
  <c r="D133" i="3"/>
  <c r="E133" i="3"/>
  <c r="F133" i="3"/>
  <c r="K133" i="3"/>
  <c r="A134" i="3"/>
  <c r="B134" i="3"/>
  <c r="C134" i="3"/>
  <c r="D134" i="3"/>
  <c r="F134" i="3" s="1"/>
  <c r="E134" i="3"/>
  <c r="K134" i="3"/>
  <c r="L134" i="3"/>
  <c r="A135" i="3"/>
  <c r="B135" i="3"/>
  <c r="C135" i="3"/>
  <c r="D135" i="3"/>
  <c r="F135" i="3" s="1"/>
  <c r="E135" i="3"/>
  <c r="I135" i="3"/>
  <c r="J135" i="3"/>
  <c r="K135" i="3"/>
  <c r="L135" i="3"/>
  <c r="N135" i="3"/>
  <c r="A136" i="3"/>
  <c r="B136" i="3"/>
  <c r="C136" i="3"/>
  <c r="D136" i="3"/>
  <c r="F136" i="3" s="1"/>
  <c r="E136" i="3"/>
  <c r="K136" i="3"/>
  <c r="L136" i="3"/>
  <c r="M136" i="3"/>
  <c r="A137" i="3"/>
  <c r="B137" i="3"/>
  <c r="C137" i="3"/>
  <c r="D137" i="3"/>
  <c r="E137" i="3"/>
  <c r="K137" i="3"/>
  <c r="A138" i="3"/>
  <c r="B138" i="3"/>
  <c r="C138" i="3"/>
  <c r="D138" i="3"/>
  <c r="F138" i="3" s="1"/>
  <c r="E138" i="3"/>
  <c r="K138" i="3"/>
  <c r="A139" i="3"/>
  <c r="B139" i="3"/>
  <c r="C139" i="3"/>
  <c r="D139" i="3"/>
  <c r="E139" i="3"/>
  <c r="F139" i="3" s="1"/>
  <c r="J139" i="3"/>
  <c r="K139" i="3"/>
  <c r="A140" i="3"/>
  <c r="B140" i="3"/>
  <c r="C140" i="3"/>
  <c r="D140" i="3"/>
  <c r="F140" i="3" s="1"/>
  <c r="E140" i="3"/>
  <c r="K140" i="3"/>
  <c r="N140" i="3"/>
  <c r="O140" i="3"/>
  <c r="S140" i="3"/>
  <c r="A141" i="3"/>
  <c r="B141" i="3"/>
  <c r="C141" i="3"/>
  <c r="D141" i="3"/>
  <c r="E141" i="3"/>
  <c r="K141" i="3"/>
  <c r="L141" i="3" s="1"/>
  <c r="M141" i="3"/>
  <c r="A142" i="3"/>
  <c r="B142" i="3"/>
  <c r="C142" i="3"/>
  <c r="D142" i="3"/>
  <c r="E142" i="3"/>
  <c r="F142" i="3" s="1"/>
  <c r="K142" i="3"/>
  <c r="L142" i="3"/>
  <c r="A143" i="3"/>
  <c r="B143" i="3"/>
  <c r="C143" i="3"/>
  <c r="D143" i="3"/>
  <c r="F143" i="3" s="1"/>
  <c r="E143" i="3"/>
  <c r="K143" i="3"/>
  <c r="L143" i="3" s="1"/>
  <c r="A144" i="3"/>
  <c r="B144" i="3"/>
  <c r="C144" i="3"/>
  <c r="D144" i="3"/>
  <c r="E144" i="3"/>
  <c r="F144" i="3"/>
  <c r="K144" i="3"/>
  <c r="L144" i="3"/>
  <c r="M144" i="3"/>
  <c r="S144" i="3"/>
  <c r="A145" i="3"/>
  <c r="B145" i="3"/>
  <c r="C145" i="3"/>
  <c r="D145" i="3"/>
  <c r="E145" i="3"/>
  <c r="F145" i="3"/>
  <c r="J145" i="3"/>
  <c r="K145" i="3"/>
  <c r="L145" i="3" s="1"/>
  <c r="M145" i="3"/>
  <c r="A146" i="3"/>
  <c r="B146" i="3"/>
  <c r="C146" i="3"/>
  <c r="D146" i="3"/>
  <c r="E146" i="3"/>
  <c r="F146" i="3"/>
  <c r="J146" i="3" s="1"/>
  <c r="K146" i="3"/>
  <c r="L146" i="3"/>
  <c r="T146" i="3"/>
  <c r="A147" i="3"/>
  <c r="B147" i="3"/>
  <c r="C147" i="3"/>
  <c r="D147" i="3"/>
  <c r="E147" i="3"/>
  <c r="K147" i="3"/>
  <c r="L147" i="3" s="1"/>
  <c r="A148" i="3"/>
  <c r="B148" i="3"/>
  <c r="C148" i="3"/>
  <c r="D148" i="3"/>
  <c r="E148" i="3"/>
  <c r="K148" i="3"/>
  <c r="L148" i="3" s="1"/>
  <c r="M148" i="3"/>
  <c r="A149" i="3"/>
  <c r="B149" i="3"/>
  <c r="C149" i="3"/>
  <c r="D149" i="3"/>
  <c r="E149" i="3"/>
  <c r="F149" i="3" s="1"/>
  <c r="K149" i="3"/>
  <c r="L149" i="3"/>
  <c r="A150" i="3"/>
  <c r="B150" i="3"/>
  <c r="C150" i="3"/>
  <c r="D150" i="3"/>
  <c r="E150" i="3"/>
  <c r="F150" i="3"/>
  <c r="S150" i="3" s="1"/>
  <c r="H150" i="3"/>
  <c r="R150" i="3" s="1"/>
  <c r="I150" i="3"/>
  <c r="J150" i="3"/>
  <c r="K150" i="3"/>
  <c r="L150" i="3"/>
  <c r="N150" i="3"/>
  <c r="T150" i="3"/>
  <c r="A151" i="3"/>
  <c r="B151" i="3"/>
  <c r="C151" i="3"/>
  <c r="D151" i="3"/>
  <c r="E151" i="3"/>
  <c r="K151" i="3"/>
  <c r="A152" i="3"/>
  <c r="B152" i="3"/>
  <c r="C152" i="3"/>
  <c r="D152" i="3"/>
  <c r="E152" i="3"/>
  <c r="F152" i="3" s="1"/>
  <c r="I152" i="3"/>
  <c r="K152" i="3"/>
  <c r="S152" i="3"/>
  <c r="T152" i="3"/>
  <c r="A153" i="3"/>
  <c r="B153" i="3"/>
  <c r="C153" i="3"/>
  <c r="D153" i="3"/>
  <c r="F153" i="3" s="1"/>
  <c r="E153" i="3"/>
  <c r="K153" i="3"/>
  <c r="A154" i="3"/>
  <c r="B154" i="3"/>
  <c r="C154" i="3"/>
  <c r="D154" i="3"/>
  <c r="F154" i="3" s="1"/>
  <c r="N154" i="3" s="1"/>
  <c r="O154" i="3" s="1"/>
  <c r="E154" i="3"/>
  <c r="I154" i="3"/>
  <c r="K154" i="3"/>
  <c r="L154" i="3"/>
  <c r="M154" i="3"/>
  <c r="P154" i="3"/>
  <c r="T154" i="3"/>
  <c r="A155" i="3"/>
  <c r="B155" i="3"/>
  <c r="C155" i="3"/>
  <c r="D155" i="3"/>
  <c r="F155" i="3" s="1"/>
  <c r="E155" i="3"/>
  <c r="J155" i="3"/>
  <c r="K155" i="3"/>
  <c r="L155" i="3"/>
  <c r="M155" i="3" s="1"/>
  <c r="N155" i="3"/>
  <c r="O155" i="3"/>
  <c r="P155" i="3" s="1"/>
  <c r="S155" i="3"/>
  <c r="A156" i="3"/>
  <c r="B156" i="3"/>
  <c r="C156" i="3"/>
  <c r="D156" i="3"/>
  <c r="F156" i="3" s="1"/>
  <c r="E156" i="3"/>
  <c r="K156" i="3"/>
  <c r="L156" i="3" s="1"/>
  <c r="M156" i="3"/>
  <c r="S156" i="3"/>
  <c r="A157" i="3"/>
  <c r="B157" i="3"/>
  <c r="C157" i="3"/>
  <c r="D157" i="3"/>
  <c r="F157" i="3" s="1"/>
  <c r="E157" i="3"/>
  <c r="K157" i="3"/>
  <c r="A158" i="3"/>
  <c r="B158" i="3"/>
  <c r="C158" i="3"/>
  <c r="D158" i="3"/>
  <c r="E158" i="3"/>
  <c r="F158" i="3"/>
  <c r="N158" i="3" s="1"/>
  <c r="O158" i="3" s="1"/>
  <c r="H158" i="3"/>
  <c r="R158" i="3" s="1"/>
  <c r="I158" i="3"/>
  <c r="J158" i="3"/>
  <c r="K158" i="3"/>
  <c r="L158" i="3"/>
  <c r="P158" i="3"/>
  <c r="S158" i="3"/>
  <c r="T158" i="3"/>
  <c r="U158" i="3"/>
  <c r="A159" i="3"/>
  <c r="B159" i="3"/>
  <c r="C159" i="3"/>
  <c r="D159" i="3"/>
  <c r="F159" i="3" s="1"/>
  <c r="S159" i="3" s="1"/>
  <c r="E159" i="3"/>
  <c r="K159" i="3"/>
  <c r="N159" i="3"/>
  <c r="O159" i="3"/>
  <c r="A160" i="3"/>
  <c r="B160" i="3"/>
  <c r="C160" i="3"/>
  <c r="D160" i="3"/>
  <c r="E160" i="3"/>
  <c r="K160" i="3"/>
  <c r="L160" i="3" s="1"/>
  <c r="M160" i="3"/>
  <c r="A161" i="3"/>
  <c r="B161" i="3"/>
  <c r="C161" i="3"/>
  <c r="D161" i="3"/>
  <c r="E161" i="3"/>
  <c r="K161" i="3"/>
  <c r="L161" i="3"/>
  <c r="M161" i="3" s="1"/>
  <c r="A162" i="3"/>
  <c r="B162" i="3"/>
  <c r="C162" i="3"/>
  <c r="D162" i="3"/>
  <c r="F162" i="3" s="1"/>
  <c r="E162" i="3"/>
  <c r="K162" i="3"/>
  <c r="L162" i="3"/>
  <c r="M162" i="3" s="1"/>
  <c r="N162" i="3"/>
  <c r="A163" i="3"/>
  <c r="B163" i="3"/>
  <c r="C163" i="3"/>
  <c r="D163" i="3"/>
  <c r="F163" i="3" s="1"/>
  <c r="E163" i="3"/>
  <c r="K163" i="3"/>
  <c r="L163" i="3"/>
  <c r="M163" i="3"/>
  <c r="S163" i="3"/>
  <c r="T163" i="3"/>
  <c r="U163" i="3"/>
  <c r="A164" i="3"/>
  <c r="B164" i="3"/>
  <c r="C164" i="3"/>
  <c r="D164" i="3"/>
  <c r="E164" i="3"/>
  <c r="F164" i="3"/>
  <c r="K164" i="3"/>
  <c r="L164" i="3"/>
  <c r="M164" i="3" s="1"/>
  <c r="S164" i="3"/>
  <c r="A165" i="3"/>
  <c r="B165" i="3"/>
  <c r="C165" i="3"/>
  <c r="D165" i="3"/>
  <c r="E165" i="3"/>
  <c r="F165" i="3" s="1"/>
  <c r="J165" i="3"/>
  <c r="K165" i="3"/>
  <c r="L165" i="3"/>
  <c r="M165" i="3" s="1"/>
  <c r="S165" i="3"/>
  <c r="T165" i="3"/>
  <c r="U165" i="3"/>
  <c r="A166" i="3"/>
  <c r="B166" i="3"/>
  <c r="C166" i="3"/>
  <c r="D166" i="3"/>
  <c r="E166" i="3"/>
  <c r="F166" i="3" s="1"/>
  <c r="J166" i="3" s="1"/>
  <c r="K166" i="3"/>
  <c r="L166" i="3"/>
  <c r="M166" i="3" s="1"/>
  <c r="S166" i="3"/>
  <c r="A167" i="3"/>
  <c r="B167" i="3"/>
  <c r="C167" i="3"/>
  <c r="D167" i="3"/>
  <c r="E167" i="3"/>
  <c r="F167" i="3"/>
  <c r="K167" i="3"/>
  <c r="L167" i="3"/>
  <c r="M167" i="3" s="1"/>
  <c r="A168" i="3"/>
  <c r="B168" i="3"/>
  <c r="C168" i="3"/>
  <c r="D168" i="3"/>
  <c r="E168" i="3"/>
  <c r="F168" i="3" s="1"/>
  <c r="I168" i="3"/>
  <c r="K168" i="3"/>
  <c r="L168" i="3"/>
  <c r="M168" i="3"/>
  <c r="N168" i="3"/>
  <c r="O168" i="3" s="1"/>
  <c r="T168" i="3"/>
  <c r="U168" i="3"/>
  <c r="A169" i="3"/>
  <c r="B169" i="3"/>
  <c r="C169" i="3"/>
  <c r="D169" i="3"/>
  <c r="E169" i="3"/>
  <c r="F169" i="3" s="1"/>
  <c r="K169" i="3"/>
  <c r="L169" i="3"/>
  <c r="M169" i="3"/>
  <c r="A170" i="3"/>
  <c r="B170" i="3"/>
  <c r="C170" i="3"/>
  <c r="D170" i="3"/>
  <c r="E170" i="3"/>
  <c r="F170" i="3"/>
  <c r="J170" i="3"/>
  <c r="K170" i="3"/>
  <c r="L170" i="3"/>
  <c r="M170" i="3"/>
  <c r="A171" i="3"/>
  <c r="B171" i="3"/>
  <c r="C171" i="3"/>
  <c r="D171" i="3"/>
  <c r="E171" i="3"/>
  <c r="F171" i="3" s="1"/>
  <c r="J171" i="3" s="1"/>
  <c r="I171" i="3"/>
  <c r="K171" i="3"/>
  <c r="L171" i="3"/>
  <c r="M171" i="3" s="1"/>
  <c r="T171" i="3"/>
  <c r="A172" i="3"/>
  <c r="B172" i="3"/>
  <c r="C172" i="3"/>
  <c r="D172" i="3"/>
  <c r="E172" i="3"/>
  <c r="F172" i="3"/>
  <c r="N172" i="3" s="1"/>
  <c r="H172" i="3"/>
  <c r="I172" i="3"/>
  <c r="J172" i="3"/>
  <c r="K172" i="3"/>
  <c r="L172" i="3"/>
  <c r="M172" i="3"/>
  <c r="O172" i="3"/>
  <c r="P172" i="3"/>
  <c r="R172" i="3"/>
  <c r="S172" i="3"/>
  <c r="T172" i="3"/>
  <c r="U172" i="3"/>
  <c r="A173" i="3"/>
  <c r="B173" i="3"/>
  <c r="C173" i="3"/>
  <c r="D173" i="3"/>
  <c r="E173" i="3"/>
  <c r="F173" i="3"/>
  <c r="K173" i="3"/>
  <c r="L173" i="3"/>
  <c r="M173" i="3" s="1"/>
  <c r="A174" i="3"/>
  <c r="B174" i="3"/>
  <c r="C174" i="3"/>
  <c r="D174" i="3"/>
  <c r="E174" i="3"/>
  <c r="F174" i="3"/>
  <c r="T174" i="3" s="1"/>
  <c r="K174" i="3"/>
  <c r="L174" i="3"/>
  <c r="M174" i="3"/>
  <c r="S174" i="3"/>
  <c r="A175" i="3"/>
  <c r="B175" i="3"/>
  <c r="C175" i="3"/>
  <c r="D175" i="3"/>
  <c r="E175" i="3"/>
  <c r="F175" i="3" s="1"/>
  <c r="K175" i="3"/>
  <c r="L175" i="3"/>
  <c r="M175" i="3"/>
  <c r="A176" i="3"/>
  <c r="B176" i="3"/>
  <c r="C176" i="3"/>
  <c r="D176" i="3"/>
  <c r="E176" i="3"/>
  <c r="F176" i="3"/>
  <c r="I176" i="3"/>
  <c r="K176" i="3"/>
  <c r="L176" i="3"/>
  <c r="M176" i="3" s="1"/>
  <c r="A177" i="3"/>
  <c r="B177" i="3"/>
  <c r="C177" i="3"/>
  <c r="D177" i="3"/>
  <c r="E177" i="3"/>
  <c r="F177" i="3"/>
  <c r="I177" i="3"/>
  <c r="J177" i="3"/>
  <c r="K177" i="3"/>
  <c r="L177" i="3"/>
  <c r="M177" i="3" s="1"/>
  <c r="N177" i="3"/>
  <c r="A178" i="3"/>
  <c r="B178" i="3"/>
  <c r="C178" i="3"/>
  <c r="D178" i="3"/>
  <c r="E178" i="3"/>
  <c r="F178" i="3" s="1"/>
  <c r="T178" i="3" s="1"/>
  <c r="I178" i="3"/>
  <c r="J178" i="3"/>
  <c r="K178" i="3"/>
  <c r="L178" i="3"/>
  <c r="M178" i="3" s="1"/>
  <c r="N178" i="3"/>
  <c r="O178" i="3" s="1"/>
  <c r="S178" i="3"/>
  <c r="A179" i="3"/>
  <c r="B179" i="3"/>
  <c r="C179" i="3"/>
  <c r="D179" i="3"/>
  <c r="E179" i="3"/>
  <c r="F179" i="3"/>
  <c r="K179" i="3"/>
  <c r="L179" i="3"/>
  <c r="M179" i="3"/>
  <c r="N179" i="3"/>
  <c r="O179" i="3"/>
  <c r="T179" i="3"/>
  <c r="U179" i="3"/>
  <c r="A180" i="3"/>
  <c r="B180" i="3"/>
  <c r="C180" i="3"/>
  <c r="D180" i="3"/>
  <c r="E180" i="3"/>
  <c r="F180" i="3"/>
  <c r="J180" i="3"/>
  <c r="K180" i="3"/>
  <c r="L180" i="3"/>
  <c r="M180" i="3"/>
  <c r="A181" i="3"/>
  <c r="B181" i="3"/>
  <c r="C181" i="3"/>
  <c r="D181" i="3"/>
  <c r="E181" i="3"/>
  <c r="F181" i="3"/>
  <c r="K181" i="3"/>
  <c r="L181" i="3"/>
  <c r="M181" i="3" s="1"/>
  <c r="A182" i="3"/>
  <c r="B182" i="3"/>
  <c r="C182" i="3"/>
  <c r="D182" i="3"/>
  <c r="E182" i="3"/>
  <c r="F182" i="3" s="1"/>
  <c r="J182" i="3"/>
  <c r="K182" i="3"/>
  <c r="L182" i="3"/>
  <c r="M182" i="3"/>
  <c r="N182" i="3"/>
  <c r="O182" i="3"/>
  <c r="S182" i="3"/>
  <c r="A183" i="3"/>
  <c r="B183" i="3"/>
  <c r="C183" i="3"/>
  <c r="D183" i="3"/>
  <c r="E183" i="3"/>
  <c r="F183" i="3" s="1"/>
  <c r="I183" i="3" s="1"/>
  <c r="K183" i="3"/>
  <c r="L183" i="3"/>
  <c r="M183" i="3"/>
  <c r="A184" i="3"/>
  <c r="B184" i="3"/>
  <c r="C184" i="3"/>
  <c r="D184" i="3"/>
  <c r="E184" i="3"/>
  <c r="F184" i="3"/>
  <c r="K184" i="3"/>
  <c r="L184" i="3"/>
  <c r="M184" i="3" s="1"/>
  <c r="A185" i="3"/>
  <c r="B185" i="3"/>
  <c r="C185" i="3"/>
  <c r="D185" i="3"/>
  <c r="E185" i="3"/>
  <c r="F185" i="3" s="1"/>
  <c r="H185" i="3"/>
  <c r="R185" i="3" s="1"/>
  <c r="I185" i="3"/>
  <c r="J185" i="3"/>
  <c r="K185" i="3"/>
  <c r="L185" i="3"/>
  <c r="M185" i="3"/>
  <c r="T185" i="3"/>
  <c r="U185" i="3"/>
  <c r="A186" i="3"/>
  <c r="B186" i="3"/>
  <c r="C186" i="3"/>
  <c r="D186" i="3"/>
  <c r="E186" i="3"/>
  <c r="F186" i="3" s="1"/>
  <c r="J186" i="3" s="1"/>
  <c r="K186" i="3"/>
  <c r="L186" i="3"/>
  <c r="M186" i="3" s="1"/>
  <c r="S186" i="3"/>
  <c r="T186" i="3"/>
  <c r="U186" i="3"/>
  <c r="A187" i="3"/>
  <c r="B187" i="3"/>
  <c r="C187" i="3"/>
  <c r="D187" i="3"/>
  <c r="E187" i="3"/>
  <c r="F187" i="3" s="1"/>
  <c r="K187" i="3"/>
  <c r="L187" i="3"/>
  <c r="M187" i="3"/>
  <c r="A188" i="3"/>
  <c r="B188" i="3"/>
  <c r="C188" i="3"/>
  <c r="D188" i="3"/>
  <c r="E188" i="3"/>
  <c r="F188" i="3"/>
  <c r="N188" i="3" s="1"/>
  <c r="I188" i="3"/>
  <c r="K188" i="3"/>
  <c r="L188" i="3"/>
  <c r="M188" i="3"/>
  <c r="S188" i="3"/>
  <c r="A189" i="3"/>
  <c r="B189" i="3"/>
  <c r="C189" i="3"/>
  <c r="D189" i="3"/>
  <c r="E189" i="3"/>
  <c r="F189" i="3"/>
  <c r="I189" i="3" s="1"/>
  <c r="K189" i="3"/>
  <c r="L189" i="3"/>
  <c r="M189" i="3" s="1"/>
  <c r="A190" i="3"/>
  <c r="B190" i="3"/>
  <c r="C190" i="3"/>
  <c r="D190" i="3"/>
  <c r="E190" i="3"/>
  <c r="F190" i="3"/>
  <c r="K190" i="3"/>
  <c r="L190" i="3"/>
  <c r="M190" i="3"/>
  <c r="A191" i="3"/>
  <c r="B191" i="3"/>
  <c r="C191" i="3"/>
  <c r="D191" i="3"/>
  <c r="E191" i="3"/>
  <c r="F191" i="3" s="1"/>
  <c r="J191" i="3" s="1"/>
  <c r="I191" i="3"/>
  <c r="K191" i="3"/>
  <c r="L191" i="3"/>
  <c r="M191" i="3" s="1"/>
  <c r="N191" i="3"/>
  <c r="O191" i="3"/>
  <c r="S191" i="3"/>
  <c r="T191" i="3"/>
  <c r="A192" i="3"/>
  <c r="B192" i="3"/>
  <c r="C192" i="3"/>
  <c r="D192" i="3"/>
  <c r="E192" i="3"/>
  <c r="F192" i="3"/>
  <c r="K192" i="3"/>
  <c r="L192" i="3"/>
  <c r="M192" i="3"/>
  <c r="A193" i="3"/>
  <c r="B193" i="3"/>
  <c r="C193" i="3"/>
  <c r="D193" i="3"/>
  <c r="E193" i="3"/>
  <c r="F193" i="3"/>
  <c r="K193" i="3"/>
  <c r="L193" i="3"/>
  <c r="M193" i="3"/>
  <c r="N193" i="3"/>
  <c r="A194" i="3"/>
  <c r="B194" i="3"/>
  <c r="C194" i="3"/>
  <c r="D194" i="3"/>
  <c r="E194" i="3"/>
  <c r="F194" i="3"/>
  <c r="K194" i="3"/>
  <c r="L194" i="3"/>
  <c r="M194" i="3"/>
  <c r="A195" i="3"/>
  <c r="B195" i="3"/>
  <c r="C195" i="3"/>
  <c r="D195" i="3"/>
  <c r="E195" i="3"/>
  <c r="F195" i="3" s="1"/>
  <c r="J195" i="3" s="1"/>
  <c r="H195" i="3"/>
  <c r="I195" i="3"/>
  <c r="K195" i="3"/>
  <c r="L195" i="3"/>
  <c r="M195" i="3" s="1"/>
  <c r="N195" i="3"/>
  <c r="S195" i="3"/>
  <c r="T195" i="3"/>
  <c r="U195" i="3"/>
  <c r="A196" i="3"/>
  <c r="B196" i="3"/>
  <c r="C196" i="3"/>
  <c r="D196" i="3"/>
  <c r="E196" i="3"/>
  <c r="F196" i="3" s="1"/>
  <c r="K196" i="3"/>
  <c r="L196" i="3"/>
  <c r="M196" i="3" s="1"/>
  <c r="A197" i="3"/>
  <c r="B197" i="3"/>
  <c r="C197" i="3"/>
  <c r="D197" i="3"/>
  <c r="E197" i="3"/>
  <c r="F197" i="3"/>
  <c r="I197" i="3"/>
  <c r="K197" i="3"/>
  <c r="L197" i="3"/>
  <c r="M197" i="3" s="1"/>
  <c r="A198" i="3"/>
  <c r="B198" i="3"/>
  <c r="C198" i="3"/>
  <c r="D198" i="3"/>
  <c r="E198" i="3"/>
  <c r="F198" i="3" s="1"/>
  <c r="J198" i="3"/>
  <c r="K198" i="3"/>
  <c r="L198" i="3"/>
  <c r="M198" i="3" s="1"/>
  <c r="T198" i="3"/>
  <c r="A199" i="3"/>
  <c r="B199" i="3"/>
  <c r="C199" i="3"/>
  <c r="D199" i="3"/>
  <c r="E199" i="3"/>
  <c r="F199" i="3"/>
  <c r="J199" i="3"/>
  <c r="K199" i="3"/>
  <c r="L199" i="3"/>
  <c r="M199" i="3"/>
  <c r="S199" i="3"/>
  <c r="T199" i="3"/>
  <c r="U199" i="3"/>
  <c r="A200" i="3"/>
  <c r="B200" i="3"/>
  <c r="C200" i="3"/>
  <c r="D200" i="3"/>
  <c r="E200" i="3"/>
  <c r="F200" i="3" s="1"/>
  <c r="K200" i="3"/>
  <c r="L200" i="3"/>
  <c r="M200" i="3" s="1"/>
  <c r="A201" i="3"/>
  <c r="B201" i="3"/>
  <c r="C201" i="3"/>
  <c r="D201" i="3"/>
  <c r="E201" i="3"/>
  <c r="F201" i="3"/>
  <c r="I201" i="3"/>
  <c r="K201" i="3"/>
  <c r="L201" i="3"/>
  <c r="M201" i="3"/>
  <c r="S201" i="3"/>
  <c r="T201" i="3"/>
  <c r="U201" i="3"/>
  <c r="A202" i="3"/>
  <c r="B202" i="3"/>
  <c r="C202" i="3"/>
  <c r="D202" i="3"/>
  <c r="E202" i="3"/>
  <c r="F202" i="3"/>
  <c r="N202" i="3" s="1"/>
  <c r="O202" i="3" s="1"/>
  <c r="K202" i="3"/>
  <c r="L202" i="3"/>
  <c r="M202" i="3"/>
  <c r="A203" i="3"/>
  <c r="B203" i="3"/>
  <c r="C203" i="3"/>
  <c r="D203" i="3"/>
  <c r="E203" i="3"/>
  <c r="F203" i="3" s="1"/>
  <c r="K203" i="3"/>
  <c r="L203" i="3"/>
  <c r="M203" i="3" s="1"/>
  <c r="N203" i="3"/>
  <c r="T203" i="3"/>
  <c r="A204" i="3"/>
  <c r="B204" i="3"/>
  <c r="C204" i="3"/>
  <c r="D204" i="3"/>
  <c r="E204" i="3"/>
  <c r="F204" i="3"/>
  <c r="I204" i="3"/>
  <c r="J204" i="3"/>
  <c r="K204" i="3"/>
  <c r="L204" i="3"/>
  <c r="M204" i="3" s="1"/>
  <c r="S204" i="3"/>
  <c r="A205" i="3"/>
  <c r="B205" i="3"/>
  <c r="C205" i="3"/>
  <c r="D205" i="3"/>
  <c r="E205" i="3"/>
  <c r="F205" i="3" s="1"/>
  <c r="H205" i="3"/>
  <c r="K205" i="3"/>
  <c r="L205" i="3"/>
  <c r="M205" i="3"/>
  <c r="T205" i="3"/>
  <c r="U205" i="3" s="1"/>
  <c r="A206" i="3"/>
  <c r="B206" i="3"/>
  <c r="C206" i="3"/>
  <c r="D206" i="3"/>
  <c r="E206" i="3"/>
  <c r="F206" i="3"/>
  <c r="S206" i="3" s="1"/>
  <c r="I206" i="3"/>
  <c r="J206" i="3"/>
  <c r="K206" i="3"/>
  <c r="L206" i="3"/>
  <c r="M206" i="3" s="1"/>
  <c r="N206" i="3"/>
  <c r="O206" i="3"/>
  <c r="T206" i="3"/>
  <c r="U206" i="3"/>
  <c r="A207" i="3"/>
  <c r="B207" i="3"/>
  <c r="C207" i="3"/>
  <c r="D207" i="3"/>
  <c r="E207" i="3"/>
  <c r="F207" i="3"/>
  <c r="K207" i="3"/>
  <c r="L207" i="3"/>
  <c r="M207" i="3"/>
  <c r="N207" i="3"/>
  <c r="S207" i="3"/>
  <c r="T207" i="3"/>
  <c r="A208" i="3"/>
  <c r="B208" i="3"/>
  <c r="C208" i="3"/>
  <c r="D208" i="3"/>
  <c r="E208" i="3"/>
  <c r="F208" i="3" s="1"/>
  <c r="K208" i="3"/>
  <c r="L208" i="3"/>
  <c r="M208" i="3" s="1"/>
  <c r="N208" i="3"/>
  <c r="O208" i="3"/>
  <c r="A209" i="3"/>
  <c r="B209" i="3"/>
  <c r="C209" i="3"/>
  <c r="D209" i="3"/>
  <c r="E209" i="3"/>
  <c r="F209" i="3" s="1"/>
  <c r="N209" i="3" s="1"/>
  <c r="I209" i="3"/>
  <c r="J209" i="3"/>
  <c r="K209" i="3"/>
  <c r="L209" i="3"/>
  <c r="M209" i="3" s="1"/>
  <c r="O209" i="3"/>
  <c r="P209" i="3"/>
  <c r="S209" i="3"/>
  <c r="A210" i="3"/>
  <c r="B210" i="3"/>
  <c r="C210" i="3"/>
  <c r="D210" i="3"/>
  <c r="E210" i="3"/>
  <c r="F210" i="3"/>
  <c r="K210" i="3"/>
  <c r="L210" i="3"/>
  <c r="M210" i="3"/>
  <c r="N210" i="3"/>
  <c r="O210" i="3" s="1"/>
  <c r="S210" i="3"/>
  <c r="A211" i="3"/>
  <c r="B211" i="3"/>
  <c r="C211" i="3"/>
  <c r="D211" i="3"/>
  <c r="E211" i="3"/>
  <c r="F211" i="3" s="1"/>
  <c r="K211" i="3"/>
  <c r="L211" i="3"/>
  <c r="M211" i="3" s="1"/>
  <c r="A212" i="3"/>
  <c r="B212" i="3"/>
  <c r="C212" i="3"/>
  <c r="D212" i="3"/>
  <c r="E212" i="3"/>
  <c r="F212" i="3"/>
  <c r="K212" i="3"/>
  <c r="L212" i="3"/>
  <c r="M212" i="3" s="1"/>
  <c r="A213" i="3"/>
  <c r="B213" i="3"/>
  <c r="C213" i="3"/>
  <c r="D213" i="3"/>
  <c r="E213" i="3"/>
  <c r="F213" i="3"/>
  <c r="H213" i="3"/>
  <c r="K213" i="3"/>
  <c r="L213" i="3"/>
  <c r="M213" i="3" s="1"/>
  <c r="T213" i="3"/>
  <c r="U213" i="3"/>
  <c r="A214" i="3"/>
  <c r="B214" i="3"/>
  <c r="C214" i="3"/>
  <c r="D214" i="3"/>
  <c r="E214" i="3"/>
  <c r="F214" i="3"/>
  <c r="K214" i="3"/>
  <c r="L214" i="3"/>
  <c r="M214" i="3" s="1"/>
  <c r="A215" i="3"/>
  <c r="B215" i="3"/>
  <c r="C215" i="3"/>
  <c r="D215" i="3"/>
  <c r="E215" i="3"/>
  <c r="F215" i="3"/>
  <c r="J215" i="3"/>
  <c r="K215" i="3"/>
  <c r="L215" i="3"/>
  <c r="M215" i="3"/>
  <c r="N215" i="3"/>
  <c r="A216" i="3"/>
  <c r="B216" i="3"/>
  <c r="C216" i="3"/>
  <c r="D216" i="3"/>
  <c r="E216" i="3"/>
  <c r="F216" i="3"/>
  <c r="J216" i="3"/>
  <c r="K216" i="3"/>
  <c r="L216" i="3"/>
  <c r="M216" i="3"/>
  <c r="N216" i="3"/>
  <c r="O216" i="3" s="1"/>
  <c r="P216" i="3"/>
  <c r="T216" i="3"/>
  <c r="A217" i="3"/>
  <c r="B217" i="3"/>
  <c r="C217" i="3"/>
  <c r="D217" i="3"/>
  <c r="E217" i="3"/>
  <c r="F217" i="3" s="1"/>
  <c r="K217" i="3"/>
  <c r="L217" i="3"/>
  <c r="M217" i="3" s="1"/>
  <c r="A218" i="3"/>
  <c r="B218" i="3"/>
  <c r="C218" i="3"/>
  <c r="D218" i="3"/>
  <c r="E218" i="3"/>
  <c r="F218" i="3" s="1"/>
  <c r="N218" i="3" s="1"/>
  <c r="K218" i="3"/>
  <c r="L218" i="3"/>
  <c r="M218" i="3"/>
  <c r="S218" i="3"/>
  <c r="T218" i="3"/>
  <c r="A219" i="3"/>
  <c r="B219" i="3"/>
  <c r="C219" i="3"/>
  <c r="D219" i="3"/>
  <c r="E219" i="3"/>
  <c r="F219" i="3"/>
  <c r="H219" i="3"/>
  <c r="J219" i="3"/>
  <c r="K219" i="3"/>
  <c r="L219" i="3"/>
  <c r="M219" i="3"/>
  <c r="T219" i="3"/>
  <c r="A220" i="3"/>
  <c r="B220" i="3"/>
  <c r="C220" i="3"/>
  <c r="D220" i="3"/>
  <c r="E220" i="3"/>
  <c r="F220" i="3"/>
  <c r="I220" i="3"/>
  <c r="K220" i="3"/>
  <c r="L220" i="3"/>
  <c r="M220" i="3" s="1"/>
  <c r="A221" i="3"/>
  <c r="B221" i="3"/>
  <c r="C221" i="3"/>
  <c r="D221" i="3"/>
  <c r="E221" i="3"/>
  <c r="F221" i="3" s="1"/>
  <c r="I221" i="3"/>
  <c r="J221" i="3"/>
  <c r="K221" i="3"/>
  <c r="L221" i="3"/>
  <c r="M221" i="3" s="1"/>
  <c r="S221" i="3"/>
  <c r="A222" i="3"/>
  <c r="B222" i="3"/>
  <c r="C222" i="3"/>
  <c r="D222" i="3"/>
  <c r="E222" i="3"/>
  <c r="F222" i="3" s="1"/>
  <c r="J222" i="3" s="1"/>
  <c r="K222" i="3"/>
  <c r="L222" i="3"/>
  <c r="M222" i="3"/>
  <c r="N222" i="3"/>
  <c r="S222" i="3"/>
  <c r="T222" i="3"/>
  <c r="A223" i="3"/>
  <c r="B223" i="3"/>
  <c r="C223" i="3"/>
  <c r="D223" i="3"/>
  <c r="E223" i="3"/>
  <c r="F223" i="3" s="1"/>
  <c r="K223" i="3"/>
  <c r="L223" i="3"/>
  <c r="M223" i="3" s="1"/>
  <c r="T223" i="3"/>
  <c r="U223" i="3"/>
  <c r="A224" i="3"/>
  <c r="B224" i="3"/>
  <c r="C224" i="3"/>
  <c r="D224" i="3"/>
  <c r="E224" i="3"/>
  <c r="F224" i="3"/>
  <c r="K224" i="3"/>
  <c r="L224" i="3"/>
  <c r="M224" i="3"/>
  <c r="T224" i="3"/>
  <c r="A225" i="3"/>
  <c r="B225" i="3"/>
  <c r="C225" i="3"/>
  <c r="D225" i="3"/>
  <c r="E225" i="3"/>
  <c r="F225" i="3" s="1"/>
  <c r="I225" i="3"/>
  <c r="J225" i="3"/>
  <c r="K225" i="3"/>
  <c r="L225" i="3"/>
  <c r="M225" i="3"/>
  <c r="S225" i="3"/>
  <c r="A226" i="3"/>
  <c r="B226" i="3"/>
  <c r="C226" i="3"/>
  <c r="D226" i="3"/>
  <c r="E226" i="3"/>
  <c r="F226" i="3"/>
  <c r="I226" i="3"/>
  <c r="K226" i="3"/>
  <c r="L226" i="3"/>
  <c r="M226" i="3" s="1"/>
  <c r="A227" i="3"/>
  <c r="B227" i="3"/>
  <c r="C227" i="3"/>
  <c r="D227" i="3"/>
  <c r="E227" i="3"/>
  <c r="F227" i="3"/>
  <c r="K227" i="3"/>
  <c r="L227" i="3"/>
  <c r="M227" i="3" s="1"/>
  <c r="N227" i="3"/>
  <c r="O227" i="3"/>
  <c r="S227" i="3"/>
  <c r="A228" i="3"/>
  <c r="B228" i="3"/>
  <c r="C228" i="3"/>
  <c r="D228" i="3"/>
  <c r="E228" i="3"/>
  <c r="F228" i="3" s="1"/>
  <c r="K228" i="3"/>
  <c r="L228" i="3"/>
  <c r="M228" i="3"/>
  <c r="A229" i="3"/>
  <c r="B229" i="3"/>
  <c r="C229" i="3"/>
  <c r="D229" i="3"/>
  <c r="E229" i="3"/>
  <c r="F229" i="3"/>
  <c r="T229" i="3" s="1"/>
  <c r="H229" i="3" s="1"/>
  <c r="I229" i="3"/>
  <c r="R229" i="3" s="1"/>
  <c r="J229" i="3"/>
  <c r="K229" i="3"/>
  <c r="L229" i="3"/>
  <c r="M229" i="3" s="1"/>
  <c r="N229" i="3"/>
  <c r="O229" i="3"/>
  <c r="S229" i="3"/>
  <c r="U229" i="3"/>
  <c r="A230" i="3"/>
  <c r="B230" i="3"/>
  <c r="C230" i="3"/>
  <c r="D230" i="3"/>
  <c r="E230" i="3"/>
  <c r="F230" i="3" s="1"/>
  <c r="K230" i="3"/>
  <c r="L230" i="3"/>
  <c r="M230" i="3"/>
  <c r="A231" i="3"/>
  <c r="B231" i="3"/>
  <c r="C231" i="3"/>
  <c r="D231" i="3"/>
  <c r="E231" i="3"/>
  <c r="F231" i="3"/>
  <c r="I231" i="3"/>
  <c r="J231" i="3"/>
  <c r="K231" i="3"/>
  <c r="L231" i="3"/>
  <c r="M231" i="3" s="1"/>
  <c r="T231" i="3"/>
  <c r="A232" i="3"/>
  <c r="B232" i="3"/>
  <c r="C232" i="3"/>
  <c r="D232" i="3"/>
  <c r="E232" i="3"/>
  <c r="F232" i="3" s="1"/>
  <c r="K232" i="3"/>
  <c r="L232" i="3"/>
  <c r="M232" i="3" s="1"/>
  <c r="A233" i="3"/>
  <c r="B233" i="3"/>
  <c r="C233" i="3"/>
  <c r="D233" i="3"/>
  <c r="E233" i="3"/>
  <c r="F233" i="3"/>
  <c r="K233" i="3"/>
  <c r="L233" i="3"/>
  <c r="M233" i="3"/>
  <c r="N233" i="3"/>
  <c r="A234" i="3"/>
  <c r="B234" i="3"/>
  <c r="C234" i="3"/>
  <c r="D234" i="3"/>
  <c r="E234" i="3"/>
  <c r="F234" i="3" s="1"/>
  <c r="H234" i="3"/>
  <c r="J234" i="3"/>
  <c r="K234" i="3"/>
  <c r="L234" i="3"/>
  <c r="M234" i="3"/>
  <c r="T234" i="3"/>
  <c r="U234" i="3"/>
  <c r="A235" i="3"/>
  <c r="B235" i="3"/>
  <c r="C235" i="3"/>
  <c r="D235" i="3"/>
  <c r="E235" i="3"/>
  <c r="F235" i="3" s="1"/>
  <c r="J235" i="3"/>
  <c r="K235" i="3"/>
  <c r="L235" i="3"/>
  <c r="M235" i="3" s="1"/>
  <c r="S235" i="3"/>
  <c r="A236" i="3"/>
  <c r="B236" i="3"/>
  <c r="C236" i="3"/>
  <c r="D236" i="3"/>
  <c r="E236" i="3"/>
  <c r="F236" i="3" s="1"/>
  <c r="K236" i="3"/>
  <c r="L236" i="3"/>
  <c r="M236" i="3"/>
  <c r="A237" i="3"/>
  <c r="B237" i="3"/>
  <c r="C237" i="3"/>
  <c r="D237" i="3"/>
  <c r="E237" i="3"/>
  <c r="F237" i="3" s="1"/>
  <c r="K237" i="3"/>
  <c r="L237" i="3"/>
  <c r="M237" i="3" s="1"/>
  <c r="A238" i="3"/>
  <c r="B238" i="3"/>
  <c r="C238" i="3"/>
  <c r="D238" i="3"/>
  <c r="E238" i="3"/>
  <c r="F238" i="3" s="1"/>
  <c r="K238" i="3"/>
  <c r="L238" i="3"/>
  <c r="M238" i="3" s="1"/>
  <c r="A239" i="3"/>
  <c r="B239" i="3"/>
  <c r="C239" i="3"/>
  <c r="D239" i="3"/>
  <c r="E239" i="3"/>
  <c r="F239" i="3"/>
  <c r="N239" i="3" s="1"/>
  <c r="I239" i="3"/>
  <c r="K239" i="3"/>
  <c r="L239" i="3"/>
  <c r="M239" i="3"/>
  <c r="S239" i="3"/>
  <c r="T239" i="3"/>
  <c r="U239" i="3"/>
  <c r="A240" i="3"/>
  <c r="B240" i="3"/>
  <c r="C240" i="3"/>
  <c r="D240" i="3"/>
  <c r="E240" i="3"/>
  <c r="F240" i="3" s="1"/>
  <c r="K240" i="3"/>
  <c r="L240" i="3"/>
  <c r="M240" i="3" s="1"/>
  <c r="A241" i="3"/>
  <c r="B241" i="3"/>
  <c r="C241" i="3"/>
  <c r="D241" i="3"/>
  <c r="E241" i="3"/>
  <c r="F241" i="3"/>
  <c r="T241" i="3" s="1"/>
  <c r="H241" i="3"/>
  <c r="I241" i="3"/>
  <c r="J241" i="3"/>
  <c r="K241" i="3"/>
  <c r="L241" i="3"/>
  <c r="M241" i="3"/>
  <c r="N241" i="3"/>
  <c r="O241" i="3" s="1"/>
  <c r="P241" i="3"/>
  <c r="R241" i="3"/>
  <c r="S241" i="3"/>
  <c r="U241" i="3"/>
  <c r="A242" i="3"/>
  <c r="B242" i="3"/>
  <c r="C242" i="3"/>
  <c r="D242" i="3"/>
  <c r="E242" i="3"/>
  <c r="F242" i="3" s="1"/>
  <c r="H242" i="3"/>
  <c r="K242" i="3"/>
  <c r="L242" i="3"/>
  <c r="M242" i="3" s="1"/>
  <c r="T242" i="3"/>
  <c r="A243" i="3"/>
  <c r="B243" i="3"/>
  <c r="C243" i="3"/>
  <c r="D243" i="3"/>
  <c r="E243" i="3"/>
  <c r="F243" i="3"/>
  <c r="I243" i="3"/>
  <c r="J243" i="3"/>
  <c r="K243" i="3"/>
  <c r="L243" i="3"/>
  <c r="M243" i="3" s="1"/>
  <c r="N243" i="3"/>
  <c r="O243" i="3"/>
  <c r="A244" i="3"/>
  <c r="B244" i="3"/>
  <c r="C244" i="3"/>
  <c r="D244" i="3"/>
  <c r="E244" i="3"/>
  <c r="F244" i="3"/>
  <c r="H244" i="3"/>
  <c r="J244" i="3"/>
  <c r="K244" i="3"/>
  <c r="L244" i="3"/>
  <c r="M244" i="3" s="1"/>
  <c r="S244" i="3"/>
  <c r="T244" i="3"/>
  <c r="A245" i="3"/>
  <c r="B245" i="3"/>
  <c r="C245" i="3"/>
  <c r="D245" i="3"/>
  <c r="E245" i="3"/>
  <c r="F245" i="3" s="1"/>
  <c r="I245" i="3" s="1"/>
  <c r="J245" i="3"/>
  <c r="K245" i="3"/>
  <c r="L245" i="3"/>
  <c r="M245" i="3" s="1"/>
  <c r="N245" i="3"/>
  <c r="S245" i="3"/>
  <c r="T245" i="3"/>
  <c r="U245" i="3"/>
  <c r="A246" i="3"/>
  <c r="B246" i="3"/>
  <c r="C246" i="3"/>
  <c r="D246" i="3"/>
  <c r="E246" i="3"/>
  <c r="F246" i="3"/>
  <c r="I246" i="3"/>
  <c r="J246" i="3"/>
  <c r="K246" i="3"/>
  <c r="L246" i="3"/>
  <c r="M246" i="3" s="1"/>
  <c r="A247" i="3"/>
  <c r="B247" i="3"/>
  <c r="C247" i="3"/>
  <c r="D247" i="3"/>
  <c r="E247" i="3"/>
  <c r="F247" i="3" s="1"/>
  <c r="I247" i="3" s="1"/>
  <c r="H247" i="3"/>
  <c r="R247" i="3" s="1"/>
  <c r="J247" i="3"/>
  <c r="K247" i="3"/>
  <c r="L247" i="3"/>
  <c r="M247" i="3"/>
  <c r="N247" i="3"/>
  <c r="O247" i="3" s="1"/>
  <c r="P247" i="3"/>
  <c r="S247" i="3"/>
  <c r="T247" i="3"/>
  <c r="U247" i="3" s="1"/>
  <c r="A248" i="3"/>
  <c r="B248" i="3"/>
  <c r="C248" i="3"/>
  <c r="D248" i="3"/>
  <c r="E248" i="3"/>
  <c r="F248" i="3"/>
  <c r="K248" i="3"/>
  <c r="L248" i="3"/>
  <c r="M248" i="3"/>
  <c r="N248" i="3"/>
  <c r="O248" i="3" s="1"/>
  <c r="P248" i="3"/>
  <c r="S248" i="3"/>
  <c r="T248" i="3"/>
  <c r="A249" i="3"/>
  <c r="B249" i="3"/>
  <c r="C249" i="3"/>
  <c r="D249" i="3"/>
  <c r="E249" i="3"/>
  <c r="F249" i="3"/>
  <c r="K249" i="3"/>
  <c r="L249" i="3"/>
  <c r="M249" i="3"/>
  <c r="T249" i="3"/>
  <c r="A250" i="3"/>
  <c r="B250" i="3"/>
  <c r="C250" i="3"/>
  <c r="D250" i="3"/>
  <c r="E250" i="3"/>
  <c r="F250" i="3" s="1"/>
  <c r="I250" i="3"/>
  <c r="K250" i="3"/>
  <c r="L250" i="3"/>
  <c r="M250" i="3"/>
  <c r="A251" i="3"/>
  <c r="B251" i="3"/>
  <c r="C251" i="3"/>
  <c r="D251" i="3"/>
  <c r="E251" i="3"/>
  <c r="F251" i="3" s="1"/>
  <c r="K251" i="3"/>
  <c r="L251" i="3"/>
  <c r="M251" i="3" s="1"/>
  <c r="A252" i="3"/>
  <c r="B252" i="3"/>
  <c r="C252" i="3"/>
  <c r="D252" i="3"/>
  <c r="E252" i="3"/>
  <c r="F252" i="3"/>
  <c r="I252" i="3" s="1"/>
  <c r="J252" i="3"/>
  <c r="K252" i="3"/>
  <c r="L252" i="3"/>
  <c r="M252" i="3"/>
  <c r="T252" i="3"/>
  <c r="U252" i="3"/>
  <c r="A253" i="3"/>
  <c r="B253" i="3"/>
  <c r="C253" i="3"/>
  <c r="D253" i="3"/>
  <c r="E253" i="3"/>
  <c r="F253" i="3" s="1"/>
  <c r="S253" i="3" s="1"/>
  <c r="I253" i="3"/>
  <c r="J253" i="3"/>
  <c r="K253" i="3"/>
  <c r="L253" i="3"/>
  <c r="M253" i="3"/>
  <c r="N253" i="3"/>
  <c r="O253" i="3" s="1"/>
  <c r="P253" i="3"/>
  <c r="T253" i="3"/>
  <c r="A254" i="3"/>
  <c r="B254" i="3"/>
  <c r="C254" i="3"/>
  <c r="D254" i="3"/>
  <c r="E254" i="3"/>
  <c r="F254" i="3"/>
  <c r="H254" i="3"/>
  <c r="R254" i="3" s="1"/>
  <c r="I254" i="3"/>
  <c r="J254" i="3"/>
  <c r="K254" i="3"/>
  <c r="L254" i="3"/>
  <c r="M254" i="3"/>
  <c r="N254" i="3"/>
  <c r="S254" i="3"/>
  <c r="T254" i="3"/>
  <c r="A255" i="3"/>
  <c r="B255" i="3"/>
  <c r="C255" i="3"/>
  <c r="D255" i="3"/>
  <c r="E255" i="3"/>
  <c r="F255" i="3" s="1"/>
  <c r="K255" i="3"/>
  <c r="L255" i="3"/>
  <c r="M255" i="3"/>
  <c r="T255" i="3"/>
  <c r="U255" i="3"/>
  <c r="A256" i="3"/>
  <c r="B256" i="3"/>
  <c r="C256" i="3"/>
  <c r="D256" i="3"/>
  <c r="E256" i="3"/>
  <c r="F256" i="3" s="1"/>
  <c r="I256" i="3"/>
  <c r="K256" i="3"/>
  <c r="L256" i="3"/>
  <c r="M256" i="3"/>
  <c r="T256" i="3"/>
  <c r="U256" i="3"/>
  <c r="A257" i="3"/>
  <c r="B257" i="3"/>
  <c r="C257" i="3"/>
  <c r="D257" i="3"/>
  <c r="E257" i="3"/>
  <c r="F257" i="3"/>
  <c r="I257" i="3"/>
  <c r="K257" i="3"/>
  <c r="L257" i="3"/>
  <c r="M257" i="3"/>
  <c r="A258" i="3"/>
  <c r="B258" i="3"/>
  <c r="C258" i="3"/>
  <c r="D258" i="3"/>
  <c r="E258" i="3"/>
  <c r="F258" i="3" s="1"/>
  <c r="K258" i="3"/>
  <c r="L258" i="3"/>
  <c r="M258" i="3" s="1"/>
  <c r="A259" i="3"/>
  <c r="B259" i="3"/>
  <c r="C259" i="3"/>
  <c r="D259" i="3"/>
  <c r="E259" i="3"/>
  <c r="F259" i="3"/>
  <c r="K259" i="3"/>
  <c r="L259" i="3"/>
  <c r="M259" i="3"/>
  <c r="A260" i="3"/>
  <c r="B260" i="3"/>
  <c r="C260" i="3"/>
  <c r="D260" i="3"/>
  <c r="E260" i="3"/>
  <c r="F260" i="3"/>
  <c r="I260" i="3" s="1"/>
  <c r="K260" i="3"/>
  <c r="L260" i="3"/>
  <c r="M260" i="3"/>
  <c r="N260" i="3"/>
  <c r="S260" i="3"/>
  <c r="A261" i="3"/>
  <c r="B261" i="3"/>
  <c r="C261" i="3"/>
  <c r="D261" i="3"/>
  <c r="E261" i="3"/>
  <c r="F261" i="3"/>
  <c r="S261" i="3" s="1"/>
  <c r="I261" i="3"/>
  <c r="J261" i="3"/>
  <c r="K261" i="3"/>
  <c r="L261" i="3"/>
  <c r="M261" i="3" s="1"/>
  <c r="N261" i="3"/>
  <c r="O261" i="3" s="1"/>
  <c r="P261" i="3" s="1"/>
  <c r="T261" i="3"/>
  <c r="U261" i="3"/>
  <c r="A262" i="3"/>
  <c r="B262" i="3"/>
  <c r="C262" i="3"/>
  <c r="D262" i="3"/>
  <c r="E262" i="3"/>
  <c r="F262" i="3" s="1"/>
  <c r="K262" i="3"/>
  <c r="L262" i="3"/>
  <c r="M262" i="3"/>
  <c r="S262" i="3"/>
  <c r="A263" i="3"/>
  <c r="B263" i="3"/>
  <c r="C263" i="3"/>
  <c r="D263" i="3"/>
  <c r="E263" i="3"/>
  <c r="F263" i="3" s="1"/>
  <c r="I263" i="3"/>
  <c r="J263" i="3"/>
  <c r="K263" i="3"/>
  <c r="L263" i="3"/>
  <c r="M263" i="3" s="1"/>
  <c r="S263" i="3"/>
  <c r="A264" i="3"/>
  <c r="B264" i="3"/>
  <c r="C264" i="3"/>
  <c r="D264" i="3"/>
  <c r="E264" i="3"/>
  <c r="F264" i="3"/>
  <c r="K264" i="3"/>
  <c r="L264" i="3"/>
  <c r="M264" i="3" s="1"/>
  <c r="A265" i="3"/>
  <c r="B265" i="3"/>
  <c r="C265" i="3"/>
  <c r="D265" i="3"/>
  <c r="E265" i="3"/>
  <c r="F265" i="3" s="1"/>
  <c r="T265" i="3" s="1"/>
  <c r="I265" i="3"/>
  <c r="J265" i="3"/>
  <c r="K265" i="3"/>
  <c r="L265" i="3"/>
  <c r="M265" i="3" s="1"/>
  <c r="N265" i="3"/>
  <c r="O265" i="3"/>
  <c r="S265" i="3"/>
  <c r="U265" i="3"/>
  <c r="A266" i="3"/>
  <c r="B266" i="3"/>
  <c r="C266" i="3"/>
  <c r="D266" i="3"/>
  <c r="E266" i="3"/>
  <c r="F266" i="3" s="1"/>
  <c r="J266" i="3"/>
  <c r="K266" i="3"/>
  <c r="L266" i="3"/>
  <c r="M266" i="3" s="1"/>
  <c r="A267" i="3"/>
  <c r="B267" i="3"/>
  <c r="C267" i="3"/>
  <c r="D267" i="3"/>
  <c r="E267" i="3"/>
  <c r="F267" i="3"/>
  <c r="J267" i="3" s="1"/>
  <c r="K267" i="3"/>
  <c r="L267" i="3"/>
  <c r="M267" i="3" s="1"/>
  <c r="A268" i="3"/>
  <c r="B268" i="3"/>
  <c r="C268" i="3"/>
  <c r="D268" i="3"/>
  <c r="E268" i="3"/>
  <c r="F268" i="3"/>
  <c r="I268" i="3"/>
  <c r="K268" i="3"/>
  <c r="L268" i="3"/>
  <c r="M268" i="3"/>
  <c r="N268" i="3"/>
  <c r="O268" i="3"/>
  <c r="P268" i="3"/>
  <c r="A269" i="3"/>
  <c r="B269" i="3"/>
  <c r="C269" i="3"/>
  <c r="D269" i="3"/>
  <c r="E269" i="3"/>
  <c r="F269" i="3" s="1"/>
  <c r="T269" i="3" s="1"/>
  <c r="K269" i="3"/>
  <c r="L269" i="3"/>
  <c r="M269" i="3" s="1"/>
  <c r="U269" i="3"/>
  <c r="A270" i="3"/>
  <c r="B270" i="3"/>
  <c r="C270" i="3"/>
  <c r="D270" i="3"/>
  <c r="E270" i="3"/>
  <c r="F270" i="3"/>
  <c r="I270" i="3"/>
  <c r="J270" i="3"/>
  <c r="K270" i="3"/>
  <c r="L270" i="3"/>
  <c r="M270" i="3"/>
  <c r="A271" i="3"/>
  <c r="B271" i="3"/>
  <c r="C271" i="3"/>
  <c r="D271" i="3"/>
  <c r="E271" i="3"/>
  <c r="F271" i="3" s="1"/>
  <c r="K271" i="3"/>
  <c r="L271" i="3"/>
  <c r="M271" i="3" s="1"/>
  <c r="N271" i="3"/>
  <c r="O271" i="3" s="1"/>
  <c r="P271" i="3"/>
  <c r="S271" i="3"/>
  <c r="T271" i="3"/>
  <c r="A272" i="3"/>
  <c r="B272" i="3"/>
  <c r="C272" i="3"/>
  <c r="D272" i="3"/>
  <c r="E272" i="3"/>
  <c r="F272" i="3" s="1"/>
  <c r="I272" i="3" s="1"/>
  <c r="K272" i="3"/>
  <c r="L272" i="3"/>
  <c r="M272" i="3"/>
  <c r="S272" i="3"/>
  <c r="T272" i="3"/>
  <c r="A273" i="3"/>
  <c r="B273" i="3"/>
  <c r="C273" i="3"/>
  <c r="D273" i="3"/>
  <c r="E273" i="3"/>
  <c r="F273" i="3" s="1"/>
  <c r="J273" i="3"/>
  <c r="K273" i="3"/>
  <c r="L273" i="3"/>
  <c r="M273" i="3" s="1"/>
  <c r="A274" i="3"/>
  <c r="B274" i="3"/>
  <c r="C274" i="3"/>
  <c r="D274" i="3"/>
  <c r="E274" i="3"/>
  <c r="F274" i="3"/>
  <c r="K274" i="3"/>
  <c r="L274" i="3"/>
  <c r="M274" i="3" s="1"/>
  <c r="A275" i="3"/>
  <c r="B275" i="3"/>
  <c r="C275" i="3"/>
  <c r="D275" i="3"/>
  <c r="E275" i="3"/>
  <c r="F275" i="3"/>
  <c r="K275" i="3"/>
  <c r="L275" i="3"/>
  <c r="M275" i="3" s="1"/>
  <c r="N275" i="3"/>
  <c r="O275" i="3"/>
  <c r="A276" i="3"/>
  <c r="B276" i="3"/>
  <c r="C276" i="3"/>
  <c r="D276" i="3"/>
  <c r="E276" i="3"/>
  <c r="F276" i="3" s="1"/>
  <c r="I276" i="3"/>
  <c r="K276" i="3"/>
  <c r="L276" i="3"/>
  <c r="M276" i="3"/>
  <c r="N276" i="3"/>
  <c r="T276" i="3"/>
  <c r="U276" i="3" s="1"/>
  <c r="A277" i="3"/>
  <c r="B277" i="3"/>
  <c r="C277" i="3"/>
  <c r="D277" i="3"/>
  <c r="E277" i="3"/>
  <c r="F277" i="3" s="1"/>
  <c r="K277" i="3"/>
  <c r="L277" i="3"/>
  <c r="M277" i="3" s="1"/>
  <c r="A278" i="3"/>
  <c r="B278" i="3"/>
  <c r="C278" i="3"/>
  <c r="D278" i="3"/>
  <c r="E278" i="3"/>
  <c r="F278" i="3"/>
  <c r="J278" i="3" s="1"/>
  <c r="I278" i="3"/>
  <c r="K278" i="3"/>
  <c r="L278" i="3"/>
  <c r="M278" i="3" s="1"/>
  <c r="A279" i="3"/>
  <c r="B279" i="3"/>
  <c r="C279" i="3"/>
  <c r="D279" i="3"/>
  <c r="E279" i="3"/>
  <c r="F279" i="3"/>
  <c r="I279" i="3"/>
  <c r="J279" i="3"/>
  <c r="K279" i="3"/>
  <c r="L279" i="3"/>
  <c r="M279" i="3" s="1"/>
  <c r="N279" i="3"/>
  <c r="O279" i="3"/>
  <c r="A280" i="3"/>
  <c r="B280" i="3"/>
  <c r="C280" i="3"/>
  <c r="D280" i="3"/>
  <c r="E280" i="3"/>
  <c r="F280" i="3"/>
  <c r="T280" i="3" s="1"/>
  <c r="H280" i="3"/>
  <c r="I280" i="3"/>
  <c r="J280" i="3"/>
  <c r="K280" i="3"/>
  <c r="L280" i="3"/>
  <c r="M280" i="3"/>
  <c r="S280" i="3"/>
  <c r="A281" i="3"/>
  <c r="B281" i="3"/>
  <c r="C281" i="3"/>
  <c r="D281" i="3"/>
  <c r="E281" i="3"/>
  <c r="F281" i="3"/>
  <c r="N281" i="3" s="1"/>
  <c r="K281" i="3"/>
  <c r="L281" i="3"/>
  <c r="M281" i="3" s="1"/>
  <c r="A282" i="3"/>
  <c r="B282" i="3"/>
  <c r="C282" i="3"/>
  <c r="D282" i="3"/>
  <c r="E282" i="3"/>
  <c r="F282" i="3" s="1"/>
  <c r="K282" i="3"/>
  <c r="L282" i="3"/>
  <c r="M282" i="3" s="1"/>
  <c r="A283" i="3"/>
  <c r="B283" i="3"/>
  <c r="C283" i="3"/>
  <c r="D283" i="3"/>
  <c r="E283" i="3"/>
  <c r="F283" i="3" s="1"/>
  <c r="J283" i="3" s="1"/>
  <c r="I283" i="3"/>
  <c r="K283" i="3"/>
  <c r="L283" i="3"/>
  <c r="M283" i="3"/>
  <c r="N283" i="3"/>
  <c r="O283" i="3" s="1"/>
  <c r="P283" i="3"/>
  <c r="S283" i="3"/>
  <c r="T283" i="3"/>
  <c r="A284" i="3"/>
  <c r="B284" i="3"/>
  <c r="C284" i="3"/>
  <c r="D284" i="3"/>
  <c r="E284" i="3"/>
  <c r="F284" i="3"/>
  <c r="K284" i="3"/>
  <c r="L284" i="3"/>
  <c r="M284" i="3" s="1"/>
  <c r="N284" i="3"/>
  <c r="S284" i="3"/>
  <c r="T284" i="3"/>
  <c r="U284" i="3"/>
  <c r="A285" i="3"/>
  <c r="B285" i="3"/>
  <c r="C285" i="3"/>
  <c r="D285" i="3"/>
  <c r="E285" i="3"/>
  <c r="F285" i="3" s="1"/>
  <c r="I285" i="3"/>
  <c r="J285" i="3"/>
  <c r="K285" i="3"/>
  <c r="L285" i="3"/>
  <c r="M285" i="3" s="1"/>
  <c r="A286" i="3"/>
  <c r="B286" i="3"/>
  <c r="C286" i="3"/>
  <c r="D286" i="3"/>
  <c r="E286" i="3"/>
  <c r="F286" i="3" s="1"/>
  <c r="I286" i="3"/>
  <c r="K286" i="3"/>
  <c r="L286" i="3"/>
  <c r="M286" i="3"/>
  <c r="N286" i="3"/>
  <c r="O286" i="3"/>
  <c r="P286" i="3"/>
  <c r="A287" i="3"/>
  <c r="B287" i="3"/>
  <c r="C287" i="3"/>
  <c r="D287" i="3"/>
  <c r="E287" i="3"/>
  <c r="F287" i="3"/>
  <c r="I287" i="3" s="1"/>
  <c r="K287" i="3"/>
  <c r="L287" i="3"/>
  <c r="M287" i="3"/>
  <c r="N287" i="3"/>
  <c r="O287" i="3" s="1"/>
  <c r="P287" i="3"/>
  <c r="S287" i="3"/>
  <c r="T287" i="3"/>
  <c r="A288" i="3"/>
  <c r="B288" i="3"/>
  <c r="C288" i="3"/>
  <c r="D288" i="3"/>
  <c r="E288" i="3"/>
  <c r="F288" i="3" s="1"/>
  <c r="I288" i="3"/>
  <c r="K288" i="3"/>
  <c r="L288" i="3"/>
  <c r="M288" i="3"/>
  <c r="A289" i="3"/>
  <c r="B289" i="3"/>
  <c r="C289" i="3"/>
  <c r="D289" i="3"/>
  <c r="E289" i="3"/>
  <c r="F289" i="3"/>
  <c r="N289" i="3" s="1"/>
  <c r="K289" i="3"/>
  <c r="L289" i="3"/>
  <c r="M289" i="3" s="1"/>
  <c r="A290" i="3"/>
  <c r="B290" i="3"/>
  <c r="C290" i="3"/>
  <c r="D290" i="3"/>
  <c r="E290" i="3"/>
  <c r="F290" i="3" s="1"/>
  <c r="K290" i="3"/>
  <c r="L290" i="3"/>
  <c r="M290" i="3"/>
  <c r="N290" i="3"/>
  <c r="A291" i="3"/>
  <c r="B291" i="3"/>
  <c r="C291" i="3"/>
  <c r="D291" i="3"/>
  <c r="E291" i="3"/>
  <c r="F291" i="3" s="1"/>
  <c r="I291" i="3"/>
  <c r="J291" i="3"/>
  <c r="K291" i="3"/>
  <c r="L291" i="3"/>
  <c r="M291" i="3" s="1"/>
  <c r="A292" i="3"/>
  <c r="B292" i="3"/>
  <c r="C292" i="3"/>
  <c r="D292" i="3"/>
  <c r="E292" i="3"/>
  <c r="F292" i="3"/>
  <c r="I292" i="3" s="1"/>
  <c r="J292" i="3"/>
  <c r="K292" i="3"/>
  <c r="L292" i="3"/>
  <c r="M292" i="3" s="1"/>
  <c r="A293" i="3"/>
  <c r="B293" i="3"/>
  <c r="C293" i="3"/>
  <c r="D293" i="3"/>
  <c r="E293" i="3"/>
  <c r="F293" i="3" s="1"/>
  <c r="K293" i="3"/>
  <c r="L293" i="3"/>
  <c r="M293" i="3" s="1"/>
  <c r="A294" i="3"/>
  <c r="B294" i="3"/>
  <c r="C294" i="3"/>
  <c r="D294" i="3"/>
  <c r="E294" i="3"/>
  <c r="F294" i="3" s="1"/>
  <c r="J294" i="3"/>
  <c r="K294" i="3"/>
  <c r="L294" i="3"/>
  <c r="M294" i="3" s="1"/>
  <c r="S294" i="3"/>
  <c r="T294" i="3"/>
  <c r="U294" i="3"/>
  <c r="A295" i="3"/>
  <c r="B295" i="3"/>
  <c r="C295" i="3"/>
  <c r="D295" i="3"/>
  <c r="E295" i="3"/>
  <c r="F295" i="3"/>
  <c r="I295" i="3"/>
  <c r="K295" i="3"/>
  <c r="L295" i="3"/>
  <c r="M295" i="3"/>
  <c r="N295" i="3"/>
  <c r="O295" i="3"/>
  <c r="A296" i="3"/>
  <c r="B296" i="3"/>
  <c r="C296" i="3"/>
  <c r="D296" i="3"/>
  <c r="E296" i="3"/>
  <c r="F296" i="3" s="1"/>
  <c r="S296" i="3" s="1"/>
  <c r="J296" i="3"/>
  <c r="K296" i="3"/>
  <c r="L296" i="3"/>
  <c r="M296" i="3" s="1"/>
  <c r="N296" i="3"/>
  <c r="T296" i="3"/>
  <c r="U296" i="3"/>
  <c r="A297" i="3"/>
  <c r="B297" i="3"/>
  <c r="C297" i="3"/>
  <c r="D297" i="3"/>
  <c r="E297" i="3"/>
  <c r="F297" i="3" s="1"/>
  <c r="J297" i="3"/>
  <c r="K297" i="3"/>
  <c r="L297" i="3"/>
  <c r="M297" i="3"/>
  <c r="N297" i="3"/>
  <c r="A298" i="3"/>
  <c r="B298" i="3"/>
  <c r="C298" i="3"/>
  <c r="D298" i="3"/>
  <c r="E298" i="3"/>
  <c r="F298" i="3"/>
  <c r="I298" i="3"/>
  <c r="K298" i="3"/>
  <c r="L298" i="3"/>
  <c r="M298" i="3" s="1"/>
  <c r="A299" i="3"/>
  <c r="B299" i="3"/>
  <c r="C299" i="3"/>
  <c r="D299" i="3"/>
  <c r="E299" i="3"/>
  <c r="F299" i="3"/>
  <c r="I299" i="3"/>
  <c r="J299" i="3"/>
  <c r="K299" i="3"/>
  <c r="L299" i="3"/>
  <c r="M299" i="3" s="1"/>
  <c r="N299" i="3"/>
  <c r="O299" i="3"/>
  <c r="P299" i="3"/>
  <c r="A300" i="3"/>
  <c r="B300" i="3"/>
  <c r="C300" i="3"/>
  <c r="D300" i="3"/>
  <c r="E300" i="3"/>
  <c r="F300" i="3"/>
  <c r="K300" i="3"/>
  <c r="L300" i="3"/>
  <c r="M300" i="3"/>
  <c r="A301" i="3"/>
  <c r="B301" i="3"/>
  <c r="C301" i="3"/>
  <c r="D301" i="3"/>
  <c r="E301" i="3"/>
  <c r="F301" i="3" s="1"/>
  <c r="I301" i="3"/>
  <c r="J301" i="3"/>
  <c r="K301" i="3"/>
  <c r="L301" i="3"/>
  <c r="M301" i="3" s="1"/>
  <c r="A302" i="3"/>
  <c r="B302" i="3"/>
  <c r="C302" i="3"/>
  <c r="D302" i="3"/>
  <c r="E302" i="3"/>
  <c r="F302" i="3"/>
  <c r="I302" i="3"/>
  <c r="K302" i="3"/>
  <c r="L302" i="3"/>
  <c r="M302" i="3"/>
  <c r="N302" i="3"/>
  <c r="O302" i="3"/>
  <c r="S302" i="3"/>
  <c r="A303" i="3"/>
  <c r="B303" i="3"/>
  <c r="C303" i="3"/>
  <c r="D303" i="3"/>
  <c r="E303" i="3"/>
  <c r="F303" i="3" s="1"/>
  <c r="J303" i="3"/>
  <c r="K303" i="3"/>
  <c r="L303" i="3"/>
  <c r="M303" i="3" s="1"/>
  <c r="S303" i="3"/>
  <c r="T303" i="3"/>
  <c r="U303" i="3"/>
  <c r="A304" i="3"/>
  <c r="B304" i="3"/>
  <c r="C304" i="3"/>
  <c r="D304" i="3"/>
  <c r="E304" i="3"/>
  <c r="F304" i="3"/>
  <c r="K304" i="3"/>
  <c r="L304" i="3"/>
  <c r="M304" i="3" s="1"/>
  <c r="N304" i="3"/>
  <c r="O304" i="3" s="1"/>
  <c r="P304" i="3"/>
  <c r="T304" i="3"/>
  <c r="U304" i="3"/>
  <c r="A305" i="3"/>
  <c r="B305" i="3"/>
  <c r="C305" i="3"/>
  <c r="D305" i="3"/>
  <c r="E305" i="3"/>
  <c r="F305" i="3" s="1"/>
  <c r="I305" i="3"/>
  <c r="J305" i="3"/>
  <c r="K305" i="3"/>
  <c r="L305" i="3"/>
  <c r="M305" i="3" s="1"/>
  <c r="T305" i="3"/>
  <c r="A306" i="3"/>
  <c r="B306" i="3"/>
  <c r="C306" i="3"/>
  <c r="D306" i="3"/>
  <c r="E306" i="3"/>
  <c r="F306" i="3" s="1"/>
  <c r="S306" i="3" s="1"/>
  <c r="I306" i="3"/>
  <c r="J306" i="3"/>
  <c r="K306" i="3"/>
  <c r="L306" i="3"/>
  <c r="M306" i="3" s="1"/>
  <c r="N306" i="3"/>
  <c r="O306" i="3"/>
  <c r="T306" i="3"/>
  <c r="U306" i="3"/>
  <c r="A307" i="3"/>
  <c r="B307" i="3"/>
  <c r="C307" i="3"/>
  <c r="D307" i="3"/>
  <c r="E307" i="3"/>
  <c r="F307" i="3"/>
  <c r="K307" i="3"/>
  <c r="L307" i="3"/>
  <c r="M307" i="3" s="1"/>
  <c r="S307" i="3"/>
  <c r="T307" i="3"/>
  <c r="A308" i="3"/>
  <c r="B308" i="3"/>
  <c r="C308" i="3"/>
  <c r="D308" i="3"/>
  <c r="E308" i="3"/>
  <c r="F308" i="3"/>
  <c r="N308" i="3" s="1"/>
  <c r="K308" i="3"/>
  <c r="L308" i="3"/>
  <c r="M308" i="3"/>
  <c r="S308" i="3"/>
  <c r="A309" i="3"/>
  <c r="B309" i="3"/>
  <c r="C309" i="3"/>
  <c r="D309" i="3"/>
  <c r="E309" i="3"/>
  <c r="F309" i="3" s="1"/>
  <c r="K309" i="3"/>
  <c r="L309" i="3"/>
  <c r="M309" i="3"/>
  <c r="T309" i="3"/>
  <c r="A310" i="3"/>
  <c r="B310" i="3"/>
  <c r="C310" i="3"/>
  <c r="D310" i="3"/>
  <c r="E310" i="3"/>
  <c r="F310" i="3"/>
  <c r="I310" i="3"/>
  <c r="J310" i="3"/>
  <c r="K310" i="3"/>
  <c r="L310" i="3"/>
  <c r="M310" i="3"/>
  <c r="N310" i="3"/>
  <c r="S310" i="3"/>
  <c r="T310" i="3"/>
  <c r="A311" i="3"/>
  <c r="B311" i="3"/>
  <c r="C311" i="3"/>
  <c r="D311" i="3"/>
  <c r="E311" i="3"/>
  <c r="F311" i="3"/>
  <c r="K311" i="3"/>
  <c r="L311" i="3"/>
  <c r="M311" i="3" s="1"/>
  <c r="A312" i="3"/>
  <c r="B312" i="3"/>
  <c r="C312" i="3"/>
  <c r="D312" i="3"/>
  <c r="E312" i="3"/>
  <c r="F312" i="3" s="1"/>
  <c r="I312" i="3"/>
  <c r="K312" i="3"/>
  <c r="L312" i="3"/>
  <c r="M312" i="3" s="1"/>
  <c r="S312" i="3"/>
  <c r="A313" i="3"/>
  <c r="B313" i="3"/>
  <c r="C313" i="3"/>
  <c r="D313" i="3"/>
  <c r="E313" i="3"/>
  <c r="F313" i="3"/>
  <c r="K313" i="3"/>
  <c r="L313" i="3"/>
  <c r="M313" i="3" s="1"/>
  <c r="A314" i="3"/>
  <c r="B314" i="3"/>
  <c r="C314" i="3"/>
  <c r="D314" i="3"/>
  <c r="E314" i="3"/>
  <c r="F314" i="3"/>
  <c r="I314" i="3"/>
  <c r="J314" i="3"/>
  <c r="K314" i="3"/>
  <c r="L314" i="3"/>
  <c r="M314" i="3" s="1"/>
  <c r="A315" i="3"/>
  <c r="B315" i="3"/>
  <c r="C315" i="3"/>
  <c r="D315" i="3"/>
  <c r="E315" i="3"/>
  <c r="F315" i="3"/>
  <c r="S315" i="3" s="1"/>
  <c r="I315" i="3"/>
  <c r="K315" i="3"/>
  <c r="L315" i="3"/>
  <c r="M315" i="3"/>
  <c r="N315" i="3"/>
  <c r="O315" i="3" s="1"/>
  <c r="P315" i="3"/>
  <c r="T315" i="3"/>
  <c r="A316" i="3"/>
  <c r="B316" i="3"/>
  <c r="C316" i="3"/>
  <c r="D316" i="3"/>
  <c r="E316" i="3"/>
  <c r="F316" i="3"/>
  <c r="I316" i="3"/>
  <c r="K316" i="3"/>
  <c r="L316" i="3"/>
  <c r="M316" i="3" s="1"/>
  <c r="N316" i="3"/>
  <c r="P316" i="3" s="1"/>
  <c r="O316" i="3"/>
  <c r="T316" i="3"/>
  <c r="A317" i="3"/>
  <c r="B317" i="3"/>
  <c r="C317" i="3"/>
  <c r="D317" i="3"/>
  <c r="E317" i="3"/>
  <c r="F317" i="3" s="1"/>
  <c r="J317" i="3"/>
  <c r="K317" i="3"/>
  <c r="L317" i="3"/>
  <c r="M317" i="3"/>
  <c r="S317" i="3"/>
  <c r="A318" i="3"/>
  <c r="B318" i="3"/>
  <c r="C318" i="3"/>
  <c r="D318" i="3"/>
  <c r="E318" i="3"/>
  <c r="F318" i="3"/>
  <c r="K318" i="3"/>
  <c r="L318" i="3"/>
  <c r="M318" i="3"/>
  <c r="A319" i="3"/>
  <c r="B319" i="3"/>
  <c r="C319" i="3"/>
  <c r="D319" i="3"/>
  <c r="E319" i="3"/>
  <c r="F319" i="3"/>
  <c r="J319" i="3"/>
  <c r="K319" i="3"/>
  <c r="L319" i="3"/>
  <c r="M319" i="3" s="1"/>
  <c r="A320" i="3"/>
  <c r="B320" i="3"/>
  <c r="C320" i="3"/>
  <c r="D320" i="3"/>
  <c r="E320" i="3"/>
  <c r="F320" i="3"/>
  <c r="K320" i="3"/>
  <c r="L320" i="3"/>
  <c r="M320" i="3" s="1"/>
  <c r="N320" i="3"/>
  <c r="A321" i="3"/>
  <c r="B321" i="3"/>
  <c r="C321" i="3"/>
  <c r="D321" i="3"/>
  <c r="E321" i="3"/>
  <c r="F321" i="3" s="1"/>
  <c r="K321" i="3"/>
  <c r="L321" i="3"/>
  <c r="M321" i="3"/>
  <c r="N321" i="3"/>
  <c r="A322" i="3"/>
  <c r="B322" i="3"/>
  <c r="C322" i="3"/>
  <c r="D322" i="3"/>
  <c r="E322" i="3"/>
  <c r="F322" i="3"/>
  <c r="S322" i="3" s="1"/>
  <c r="I322" i="3"/>
  <c r="J322" i="3"/>
  <c r="K322" i="3"/>
  <c r="L322" i="3"/>
  <c r="M322" i="3"/>
  <c r="N322" i="3"/>
  <c r="O322" i="3"/>
  <c r="P322" i="3"/>
  <c r="A323" i="3"/>
  <c r="B323" i="3"/>
  <c r="C323" i="3"/>
  <c r="D323" i="3"/>
  <c r="E323" i="3"/>
  <c r="F323" i="3"/>
  <c r="I323" i="3" s="1"/>
  <c r="J323" i="3"/>
  <c r="K323" i="3"/>
  <c r="L323" i="3"/>
  <c r="M323" i="3"/>
  <c r="S323" i="3"/>
  <c r="T323" i="3"/>
  <c r="U323" i="3" s="1"/>
  <c r="A324" i="3"/>
  <c r="B324" i="3"/>
  <c r="C324" i="3"/>
  <c r="D324" i="3"/>
  <c r="E324" i="3"/>
  <c r="F324" i="3"/>
  <c r="K324" i="3"/>
  <c r="L324" i="3"/>
  <c r="M324" i="3" s="1"/>
  <c r="S324" i="3"/>
  <c r="T324" i="3"/>
  <c r="U324" i="3"/>
  <c r="A325" i="3"/>
  <c r="B325" i="3"/>
  <c r="C325" i="3"/>
  <c r="D325" i="3"/>
  <c r="E325" i="3"/>
  <c r="F325" i="3" s="1"/>
  <c r="H325" i="3"/>
  <c r="R325" i="3" s="1"/>
  <c r="I325" i="3"/>
  <c r="J325" i="3"/>
  <c r="K325" i="3"/>
  <c r="L325" i="3"/>
  <c r="M325" i="3"/>
  <c r="N325" i="3"/>
  <c r="S325" i="3"/>
  <c r="T325" i="3"/>
  <c r="U325" i="3"/>
  <c r="A326" i="3"/>
  <c r="B326" i="3"/>
  <c r="C326" i="3"/>
  <c r="D326" i="3"/>
  <c r="E326" i="3"/>
  <c r="F326" i="3"/>
  <c r="J326" i="3" s="1"/>
  <c r="K326" i="3"/>
  <c r="L326" i="3"/>
  <c r="M326" i="3"/>
  <c r="A327" i="3"/>
  <c r="B327" i="3"/>
  <c r="C327" i="3"/>
  <c r="D327" i="3"/>
  <c r="E327" i="3"/>
  <c r="F327" i="3" s="1"/>
  <c r="N327" i="3" s="1"/>
  <c r="K327" i="3"/>
  <c r="L327" i="3"/>
  <c r="M327" i="3"/>
  <c r="A328" i="3"/>
  <c r="B328" i="3"/>
  <c r="C328" i="3"/>
  <c r="D328" i="3"/>
  <c r="E328" i="3"/>
  <c r="F328" i="3"/>
  <c r="K328" i="3"/>
  <c r="L328" i="3"/>
  <c r="M328" i="3" s="1"/>
  <c r="A329" i="3"/>
  <c r="B329" i="3"/>
  <c r="C329" i="3"/>
  <c r="D329" i="3"/>
  <c r="E329" i="3"/>
  <c r="F329" i="3" s="1"/>
  <c r="K329" i="3"/>
  <c r="L329" i="3"/>
  <c r="M329" i="3"/>
  <c r="S329" i="3"/>
  <c r="A330" i="3"/>
  <c r="B330" i="3"/>
  <c r="C330" i="3"/>
  <c r="D330" i="3"/>
  <c r="E330" i="3"/>
  <c r="F330" i="3" s="1"/>
  <c r="I330" i="3"/>
  <c r="K330" i="3"/>
  <c r="L330" i="3"/>
  <c r="M330" i="3"/>
  <c r="S330" i="3"/>
  <c r="A331" i="3"/>
  <c r="B331" i="3"/>
  <c r="C331" i="3"/>
  <c r="D331" i="3"/>
  <c r="E331" i="3"/>
  <c r="F331" i="3"/>
  <c r="K331" i="3"/>
  <c r="L331" i="3"/>
  <c r="M331" i="3" s="1"/>
  <c r="N331" i="3"/>
  <c r="P331" i="3" s="1"/>
  <c r="O331" i="3"/>
  <c r="S331" i="3"/>
  <c r="T331" i="3"/>
  <c r="A332" i="3"/>
  <c r="B332" i="3"/>
  <c r="C332" i="3"/>
  <c r="D332" i="3"/>
  <c r="E332" i="3"/>
  <c r="F332" i="3"/>
  <c r="I332" i="3"/>
  <c r="J332" i="3"/>
  <c r="K332" i="3"/>
  <c r="L332" i="3"/>
  <c r="M332" i="3" s="1"/>
  <c r="S332" i="3"/>
  <c r="A333" i="3"/>
  <c r="B333" i="3"/>
  <c r="C333" i="3"/>
  <c r="D333" i="3"/>
  <c r="E333" i="3"/>
  <c r="F333" i="3" s="1"/>
  <c r="K333" i="3"/>
  <c r="L333" i="3"/>
  <c r="M333" i="3" s="1"/>
  <c r="A334" i="3"/>
  <c r="B334" i="3"/>
  <c r="C334" i="3"/>
  <c r="D334" i="3"/>
  <c r="E334" i="3"/>
  <c r="F334" i="3" s="1"/>
  <c r="I334" i="3"/>
  <c r="J334" i="3"/>
  <c r="K334" i="3"/>
  <c r="L334" i="3"/>
  <c r="M334" i="3"/>
  <c r="A335" i="3"/>
  <c r="B335" i="3"/>
  <c r="C335" i="3"/>
  <c r="D335" i="3"/>
  <c r="E335" i="3"/>
  <c r="F335" i="3"/>
  <c r="I335" i="3" s="1"/>
  <c r="J335" i="3"/>
  <c r="K335" i="3"/>
  <c r="L335" i="3"/>
  <c r="M335" i="3" s="1"/>
  <c r="N335" i="3"/>
  <c r="O335" i="3"/>
  <c r="S335" i="3"/>
  <c r="A336" i="3"/>
  <c r="B336" i="3"/>
  <c r="C336" i="3"/>
  <c r="D336" i="3"/>
  <c r="E336" i="3"/>
  <c r="F336" i="3" s="1"/>
  <c r="N336" i="3" s="1"/>
  <c r="K336" i="3"/>
  <c r="L336" i="3"/>
  <c r="M336" i="3" s="1"/>
  <c r="T336" i="3"/>
  <c r="A337" i="3"/>
  <c r="B337" i="3"/>
  <c r="C337" i="3"/>
  <c r="D337" i="3"/>
  <c r="E337" i="3"/>
  <c r="F337" i="3" s="1"/>
  <c r="T337" i="3" s="1"/>
  <c r="H337" i="3"/>
  <c r="I337" i="3"/>
  <c r="R337" i="3" s="1"/>
  <c r="J337" i="3"/>
  <c r="K337" i="3"/>
  <c r="L337" i="3"/>
  <c r="M337" i="3"/>
  <c r="N337" i="3"/>
  <c r="S337" i="3"/>
  <c r="U337" i="3"/>
  <c r="A338" i="3"/>
  <c r="B338" i="3"/>
  <c r="C338" i="3"/>
  <c r="D338" i="3"/>
  <c r="E338" i="3"/>
  <c r="F338" i="3" s="1"/>
  <c r="K338" i="3"/>
  <c r="L338" i="3"/>
  <c r="M338" i="3" s="1"/>
  <c r="A339" i="3"/>
  <c r="B339" i="3"/>
  <c r="C339" i="3"/>
  <c r="D339" i="3"/>
  <c r="E339" i="3"/>
  <c r="F339" i="3"/>
  <c r="J339" i="3"/>
  <c r="K339" i="3"/>
  <c r="L339" i="3"/>
  <c r="M339" i="3" s="1"/>
  <c r="N339" i="3"/>
  <c r="O339" i="3"/>
  <c r="A340" i="3"/>
  <c r="B340" i="3"/>
  <c r="C340" i="3"/>
  <c r="D340" i="3"/>
  <c r="E340" i="3"/>
  <c r="F340" i="3"/>
  <c r="J340" i="3" s="1"/>
  <c r="K340" i="3"/>
  <c r="L340" i="3"/>
  <c r="M340" i="3" s="1"/>
  <c r="S340" i="3"/>
  <c r="A341" i="3"/>
  <c r="B341" i="3"/>
  <c r="C341" i="3"/>
  <c r="D341" i="3"/>
  <c r="E341" i="3"/>
  <c r="F341" i="3"/>
  <c r="H341" i="3"/>
  <c r="I341" i="3"/>
  <c r="J341" i="3"/>
  <c r="K341" i="3"/>
  <c r="L341" i="3"/>
  <c r="M341" i="3"/>
  <c r="N341" i="3"/>
  <c r="S341" i="3"/>
  <c r="T341" i="3"/>
  <c r="U341" i="3" s="1"/>
  <c r="A342" i="3"/>
  <c r="B342" i="3"/>
  <c r="C342" i="3"/>
  <c r="D342" i="3"/>
  <c r="E342" i="3"/>
  <c r="F342" i="3"/>
  <c r="K342" i="3"/>
  <c r="L342" i="3"/>
  <c r="M342" i="3"/>
  <c r="N342" i="3"/>
  <c r="T342" i="3"/>
  <c r="U342" i="3"/>
  <c r="A343" i="3"/>
  <c r="C343" i="3"/>
  <c r="K343" i="3"/>
  <c r="L343" i="3"/>
  <c r="M343" i="3" s="1"/>
  <c r="A344" i="3"/>
  <c r="D344" i="3" s="1"/>
  <c r="B344" i="3"/>
  <c r="C344" i="3"/>
  <c r="E344" i="3"/>
  <c r="F344" i="3" s="1"/>
  <c r="H344" i="3"/>
  <c r="I344" i="3"/>
  <c r="J344" i="3"/>
  <c r="K344" i="3"/>
  <c r="L344" i="3"/>
  <c r="M344" i="3" s="1"/>
  <c r="N344" i="3"/>
  <c r="O344" i="3"/>
  <c r="R344" i="3"/>
  <c r="S344" i="3"/>
  <c r="T344" i="3"/>
  <c r="A345" i="3"/>
  <c r="C345" i="3" s="1"/>
  <c r="K345" i="3"/>
  <c r="L345" i="3"/>
  <c r="M345" i="3"/>
  <c r="A346" i="3"/>
  <c r="B346" i="3"/>
  <c r="E346" i="3"/>
  <c r="K346" i="3"/>
  <c r="L346" i="3"/>
  <c r="M346" i="3"/>
  <c r="A347" i="3"/>
  <c r="K347" i="3"/>
  <c r="L347" i="3"/>
  <c r="M347" i="3" s="1"/>
  <c r="A348" i="3"/>
  <c r="K348" i="3"/>
  <c r="L348" i="3"/>
  <c r="M348" i="3" s="1"/>
  <c r="A349" i="3"/>
  <c r="K349" i="3"/>
  <c r="L349" i="3"/>
  <c r="M349" i="3"/>
  <c r="A350" i="3"/>
  <c r="E350" i="3"/>
  <c r="K350" i="3"/>
  <c r="L350" i="3"/>
  <c r="M350" i="3"/>
  <c r="A351" i="3"/>
  <c r="C351" i="3"/>
  <c r="E351" i="3"/>
  <c r="K351" i="3"/>
  <c r="L351" i="3"/>
  <c r="M351" i="3" s="1"/>
  <c r="A352" i="3"/>
  <c r="D352" i="3" s="1"/>
  <c r="E352" i="3"/>
  <c r="F352" i="3"/>
  <c r="I352" i="3" s="1"/>
  <c r="K352" i="3"/>
  <c r="L352" i="3"/>
  <c r="M352" i="3" s="1"/>
  <c r="A353" i="3"/>
  <c r="D353" i="3" s="1"/>
  <c r="B353" i="3"/>
  <c r="C353" i="3"/>
  <c r="E353" i="3"/>
  <c r="F353" i="3"/>
  <c r="I353" i="3"/>
  <c r="J353" i="3"/>
  <c r="K353" i="3"/>
  <c r="L353" i="3"/>
  <c r="M353" i="3"/>
  <c r="N353" i="3"/>
  <c r="S353" i="3"/>
  <c r="T353" i="3"/>
  <c r="U353" i="3" s="1"/>
  <c r="A354" i="3"/>
  <c r="C354" i="3"/>
  <c r="E354" i="3"/>
  <c r="K354" i="3"/>
  <c r="L354" i="3"/>
  <c r="M354" i="3" s="1"/>
  <c r="A355" i="3"/>
  <c r="B355" i="3"/>
  <c r="C355" i="3"/>
  <c r="K355" i="3"/>
  <c r="L355" i="3"/>
  <c r="M355" i="3" s="1"/>
  <c r="A356" i="3"/>
  <c r="C356" i="3"/>
  <c r="E356" i="3"/>
  <c r="K356" i="3"/>
  <c r="L356" i="3"/>
  <c r="M356" i="3" s="1"/>
  <c r="A357" i="3"/>
  <c r="D357" i="3" s="1"/>
  <c r="B357" i="3"/>
  <c r="C357" i="3"/>
  <c r="E357" i="3"/>
  <c r="F357" i="3"/>
  <c r="H357" i="3"/>
  <c r="K357" i="3"/>
  <c r="L357" i="3"/>
  <c r="M357" i="3"/>
  <c r="T357" i="3"/>
  <c r="U357" i="3"/>
  <c r="A358" i="3"/>
  <c r="B358" i="3"/>
  <c r="K358" i="3"/>
  <c r="L358" i="3"/>
  <c r="M358" i="3"/>
  <c r="A359" i="3"/>
  <c r="C359" i="3" s="1"/>
  <c r="K359" i="3"/>
  <c r="L359" i="3"/>
  <c r="M359" i="3"/>
  <c r="A360" i="3"/>
  <c r="D360" i="3" s="1"/>
  <c r="F360" i="3" s="1"/>
  <c r="C360" i="3"/>
  <c r="E360" i="3"/>
  <c r="I360" i="3"/>
  <c r="J360" i="3"/>
  <c r="K360" i="3"/>
  <c r="L360" i="3"/>
  <c r="M360" i="3"/>
  <c r="N360" i="3"/>
  <c r="A361" i="3"/>
  <c r="B361" i="3"/>
  <c r="K361" i="3"/>
  <c r="L361" i="3"/>
  <c r="M361" i="3" s="1"/>
  <c r="A362" i="3"/>
  <c r="D362" i="3" s="1"/>
  <c r="B362" i="3"/>
  <c r="C362" i="3"/>
  <c r="E362" i="3"/>
  <c r="F362" i="3"/>
  <c r="I362" i="3"/>
  <c r="K362" i="3"/>
  <c r="L362" i="3"/>
  <c r="M362" i="3"/>
  <c r="S362" i="3"/>
  <c r="T362" i="3"/>
  <c r="A363" i="3"/>
  <c r="B363" i="3"/>
  <c r="K363" i="3"/>
  <c r="L363" i="3"/>
  <c r="M363" i="3" s="1"/>
  <c r="A364" i="3"/>
  <c r="D364" i="3" s="1"/>
  <c r="B364" i="3"/>
  <c r="C364" i="3"/>
  <c r="E364" i="3"/>
  <c r="F364" i="3"/>
  <c r="K364" i="3"/>
  <c r="L364" i="3"/>
  <c r="M364" i="3"/>
  <c r="N364" i="3"/>
  <c r="T364" i="3"/>
  <c r="U364" i="3"/>
  <c r="A365" i="3"/>
  <c r="K365" i="3"/>
  <c r="L365" i="3"/>
  <c r="M365" i="3" s="1"/>
  <c r="A366" i="3"/>
  <c r="B366" i="3"/>
  <c r="K366" i="3"/>
  <c r="L366" i="3"/>
  <c r="M366" i="3"/>
  <c r="A367" i="3"/>
  <c r="K367" i="3"/>
  <c r="L367" i="3"/>
  <c r="M367" i="3"/>
  <c r="A368" i="3"/>
  <c r="B368" i="3"/>
  <c r="K368" i="3"/>
  <c r="L368" i="3"/>
  <c r="M368" i="3"/>
  <c r="A369" i="3"/>
  <c r="D369" i="3" s="1"/>
  <c r="B369" i="3"/>
  <c r="C369" i="3"/>
  <c r="E369" i="3"/>
  <c r="K369" i="3"/>
  <c r="L369" i="3"/>
  <c r="M369" i="3" s="1"/>
  <c r="A370" i="3"/>
  <c r="D370" i="3" s="1"/>
  <c r="B370" i="3"/>
  <c r="C370" i="3"/>
  <c r="E370" i="3"/>
  <c r="F370" i="3"/>
  <c r="K370" i="3"/>
  <c r="L370" i="3"/>
  <c r="M370" i="3" s="1"/>
  <c r="A371" i="3"/>
  <c r="B371" i="3"/>
  <c r="K371" i="3"/>
  <c r="L371" i="3"/>
  <c r="M371" i="3"/>
  <c r="A372" i="3"/>
  <c r="B372" i="3" s="1"/>
  <c r="K372" i="3"/>
  <c r="L372" i="3"/>
  <c r="M372" i="3"/>
  <c r="A373" i="3"/>
  <c r="D373" i="3" s="1"/>
  <c r="B373" i="3"/>
  <c r="C373" i="3"/>
  <c r="E373" i="3"/>
  <c r="F373" i="3"/>
  <c r="J373" i="3" s="1"/>
  <c r="K373" i="3"/>
  <c r="L373" i="3"/>
  <c r="M373" i="3"/>
  <c r="A374" i="3"/>
  <c r="D374" i="3" s="1"/>
  <c r="B374" i="3"/>
  <c r="C374" i="3"/>
  <c r="E374" i="3"/>
  <c r="F374" i="3"/>
  <c r="J374" i="3"/>
  <c r="K374" i="3"/>
  <c r="L374" i="3"/>
  <c r="M374" i="3" s="1"/>
  <c r="S374" i="3"/>
  <c r="T374" i="3"/>
  <c r="A375" i="3"/>
  <c r="D375" i="3" s="1"/>
  <c r="B375" i="3"/>
  <c r="C375" i="3"/>
  <c r="E375" i="3"/>
  <c r="F375" i="3"/>
  <c r="I375" i="3"/>
  <c r="J375" i="3"/>
  <c r="K375" i="3"/>
  <c r="L375" i="3"/>
  <c r="M375" i="3" s="1"/>
  <c r="A376" i="3"/>
  <c r="C376" i="3"/>
  <c r="K376" i="3"/>
  <c r="L376" i="3"/>
  <c r="M376" i="3"/>
  <c r="A377" i="3"/>
  <c r="B377" i="3"/>
  <c r="C377" i="3"/>
  <c r="K377" i="3"/>
  <c r="L377" i="3"/>
  <c r="M377" i="3"/>
  <c r="A378" i="3"/>
  <c r="K378" i="3"/>
  <c r="L378" i="3"/>
  <c r="M378" i="3"/>
  <c r="A379" i="3"/>
  <c r="D379" i="3" s="1"/>
  <c r="B379" i="3"/>
  <c r="C379" i="3"/>
  <c r="E379" i="3"/>
  <c r="K379" i="3"/>
  <c r="L379" i="3"/>
  <c r="M379" i="3"/>
  <c r="A380" i="3"/>
  <c r="B380" i="3"/>
  <c r="C380" i="3"/>
  <c r="K380" i="3"/>
  <c r="L380" i="3"/>
  <c r="M380" i="3"/>
  <c r="A381" i="3"/>
  <c r="D381" i="3" s="1"/>
  <c r="B381" i="3"/>
  <c r="C381" i="3"/>
  <c r="E381" i="3"/>
  <c r="F381" i="3"/>
  <c r="I381" i="3" s="1"/>
  <c r="K381" i="3"/>
  <c r="L381" i="3"/>
  <c r="M381" i="3"/>
  <c r="A382" i="3"/>
  <c r="K382" i="3"/>
  <c r="L382" i="3"/>
  <c r="M382" i="3" s="1"/>
  <c r="A383" i="3"/>
  <c r="B383" i="3"/>
  <c r="E383" i="3"/>
  <c r="K383" i="3"/>
  <c r="L383" i="3"/>
  <c r="M383" i="3" s="1"/>
  <c r="A384" i="3"/>
  <c r="D384" i="3" s="1"/>
  <c r="B384" i="3"/>
  <c r="C384" i="3"/>
  <c r="E384" i="3"/>
  <c r="F384" i="3" s="1"/>
  <c r="I384" i="3"/>
  <c r="K384" i="3"/>
  <c r="L384" i="3"/>
  <c r="M384" i="3"/>
  <c r="N384" i="3"/>
  <c r="O384" i="3" s="1"/>
  <c r="S384" i="3"/>
  <c r="A385" i="3"/>
  <c r="C385" i="3" s="1"/>
  <c r="E385" i="3"/>
  <c r="K385" i="3"/>
  <c r="L385" i="3"/>
  <c r="M385" i="3" s="1"/>
  <c r="A386" i="3"/>
  <c r="B386" i="3"/>
  <c r="K386" i="3"/>
  <c r="L386" i="3"/>
  <c r="M386" i="3" s="1"/>
  <c r="A387" i="3"/>
  <c r="C387" i="3"/>
  <c r="K387" i="3"/>
  <c r="L387" i="3"/>
  <c r="M387" i="3"/>
  <c r="A388" i="3"/>
  <c r="C388" i="3" s="1"/>
  <c r="K388" i="3"/>
  <c r="L388" i="3"/>
  <c r="M388" i="3"/>
  <c r="A389" i="3"/>
  <c r="B389" i="3"/>
  <c r="C389" i="3"/>
  <c r="K389" i="3"/>
  <c r="L389" i="3"/>
  <c r="M389" i="3"/>
  <c r="A390" i="3"/>
  <c r="D390" i="3" s="1"/>
  <c r="B390" i="3"/>
  <c r="C390" i="3"/>
  <c r="E390" i="3"/>
  <c r="F390" i="3" s="1"/>
  <c r="J390" i="3" s="1"/>
  <c r="K390" i="3"/>
  <c r="L390" i="3"/>
  <c r="M390" i="3"/>
  <c r="A391" i="3"/>
  <c r="B391" i="3"/>
  <c r="E391" i="3"/>
  <c r="K391" i="3"/>
  <c r="L391" i="3"/>
  <c r="M391" i="3" s="1"/>
  <c r="A392" i="3"/>
  <c r="D392" i="3" s="1"/>
  <c r="B392" i="3"/>
  <c r="C392" i="3"/>
  <c r="E392" i="3"/>
  <c r="F392" i="3"/>
  <c r="I392" i="3"/>
  <c r="K392" i="3"/>
  <c r="L392" i="3"/>
  <c r="M392" i="3"/>
  <c r="R392" i="3"/>
  <c r="T392" i="3"/>
  <c r="H392" i="3" s="1"/>
  <c r="A393" i="3"/>
  <c r="D393" i="3" s="1"/>
  <c r="B393" i="3"/>
  <c r="C393" i="3"/>
  <c r="E393" i="3"/>
  <c r="F393" i="3"/>
  <c r="N393" i="3" s="1"/>
  <c r="K393" i="3"/>
  <c r="L393" i="3"/>
  <c r="M393" i="3"/>
  <c r="S393" i="3"/>
  <c r="A394" i="3"/>
  <c r="B394" i="3"/>
  <c r="K394" i="3"/>
  <c r="L394" i="3"/>
  <c r="M394" i="3" s="1"/>
  <c r="A395" i="3"/>
  <c r="D395" i="3" s="1"/>
  <c r="B395" i="3"/>
  <c r="K395" i="3"/>
  <c r="L395" i="3"/>
  <c r="M395" i="3"/>
  <c r="A396" i="3"/>
  <c r="B396" i="3" s="1"/>
  <c r="K396" i="3"/>
  <c r="L396" i="3"/>
  <c r="M396" i="3" s="1"/>
  <c r="A397" i="3"/>
  <c r="D397" i="3" s="1"/>
  <c r="B397" i="3"/>
  <c r="C397" i="3"/>
  <c r="E397" i="3"/>
  <c r="F397" i="3"/>
  <c r="J397" i="3"/>
  <c r="K397" i="3"/>
  <c r="L397" i="3"/>
  <c r="M397" i="3"/>
  <c r="T397" i="3"/>
  <c r="A398" i="3"/>
  <c r="C398" i="3"/>
  <c r="E398" i="3"/>
  <c r="K398" i="3"/>
  <c r="L398" i="3"/>
  <c r="M398" i="3"/>
  <c r="A399" i="3"/>
  <c r="K399" i="3"/>
  <c r="L399" i="3"/>
  <c r="M399" i="3"/>
  <c r="A400" i="3"/>
  <c r="D400" i="3" s="1"/>
  <c r="C400" i="3"/>
  <c r="E400" i="3"/>
  <c r="F400" i="3" s="1"/>
  <c r="K400" i="3"/>
  <c r="L400" i="3"/>
  <c r="M400" i="3"/>
  <c r="N400" i="3"/>
  <c r="S400" i="3"/>
  <c r="A401" i="3"/>
  <c r="B401" i="3"/>
  <c r="K401" i="3"/>
  <c r="L401" i="3"/>
  <c r="M401" i="3" s="1"/>
  <c r="A402" i="3"/>
  <c r="D402" i="3" s="1"/>
  <c r="B402" i="3"/>
  <c r="C402" i="3"/>
  <c r="K402" i="3"/>
  <c r="L402" i="3"/>
  <c r="M402" i="3"/>
  <c r="A403" i="3"/>
  <c r="D403" i="3" s="1"/>
  <c r="K403" i="3"/>
  <c r="L403" i="3"/>
  <c r="M403" i="3"/>
  <c r="A404" i="3"/>
  <c r="D404" i="3" s="1"/>
  <c r="B404" i="3"/>
  <c r="C404" i="3"/>
  <c r="E404" i="3"/>
  <c r="F404" i="3"/>
  <c r="J404" i="3" s="1"/>
  <c r="K404" i="3"/>
  <c r="L404" i="3"/>
  <c r="M404" i="3"/>
  <c r="S404" i="3"/>
  <c r="A405" i="3"/>
  <c r="C405" i="3"/>
  <c r="E405" i="3"/>
  <c r="K405" i="3"/>
  <c r="L405" i="3"/>
  <c r="M405" i="3"/>
  <c r="A406" i="3"/>
  <c r="K406" i="3"/>
  <c r="L406" i="3"/>
  <c r="M406" i="3"/>
  <c r="A407" i="3"/>
  <c r="B407" i="3"/>
  <c r="C407" i="3"/>
  <c r="K407" i="3"/>
  <c r="L407" i="3"/>
  <c r="M407" i="3" s="1"/>
  <c r="A408" i="3"/>
  <c r="D408" i="3" s="1"/>
  <c r="B408" i="3"/>
  <c r="C408" i="3"/>
  <c r="E408" i="3"/>
  <c r="K408" i="3"/>
  <c r="L408" i="3"/>
  <c r="M408" i="3"/>
  <c r="A409" i="3"/>
  <c r="C409" i="3"/>
  <c r="K409" i="3"/>
  <c r="L409" i="3"/>
  <c r="M409" i="3"/>
  <c r="A410" i="3"/>
  <c r="B410" i="3"/>
  <c r="K410" i="3"/>
  <c r="L410" i="3"/>
  <c r="M410" i="3"/>
  <c r="A411" i="3"/>
  <c r="D411" i="3" s="1"/>
  <c r="B411" i="3"/>
  <c r="K411" i="3"/>
  <c r="L411" i="3"/>
  <c r="M411" i="3" s="1"/>
  <c r="A412" i="3"/>
  <c r="D412" i="3" s="1"/>
  <c r="B412" i="3"/>
  <c r="C412" i="3"/>
  <c r="K412" i="3"/>
  <c r="L412" i="3"/>
  <c r="M412" i="3" s="1"/>
  <c r="A413" i="3"/>
  <c r="D413" i="3" s="1"/>
  <c r="B413" i="3"/>
  <c r="C413" i="3"/>
  <c r="E413" i="3"/>
  <c r="F413" i="3" s="1"/>
  <c r="K413" i="3"/>
  <c r="L413" i="3"/>
  <c r="M413" i="3"/>
  <c r="A414" i="3"/>
  <c r="C414" i="3"/>
  <c r="E414" i="3"/>
  <c r="K414" i="3"/>
  <c r="L414" i="3"/>
  <c r="M414" i="3" s="1"/>
  <c r="A415" i="3"/>
  <c r="B415" i="3" s="1"/>
  <c r="K415" i="3"/>
  <c r="L415" i="3"/>
  <c r="M415" i="3"/>
  <c r="A416" i="3"/>
  <c r="D416" i="3" s="1"/>
  <c r="B416" i="3"/>
  <c r="C416" i="3"/>
  <c r="E416" i="3"/>
  <c r="F416" i="3"/>
  <c r="T416" i="3" s="1"/>
  <c r="K416" i="3"/>
  <c r="L416" i="3"/>
  <c r="M416" i="3" s="1"/>
  <c r="A417" i="3"/>
  <c r="B417" i="3"/>
  <c r="K417" i="3"/>
  <c r="L417" i="3"/>
  <c r="M417" i="3"/>
  <c r="A418" i="3"/>
  <c r="D418" i="3" s="1"/>
  <c r="B418" i="3"/>
  <c r="C418" i="3"/>
  <c r="E418" i="3"/>
  <c r="F418" i="3"/>
  <c r="N418" i="3" s="1"/>
  <c r="K418" i="3"/>
  <c r="L418" i="3"/>
  <c r="M418" i="3"/>
  <c r="T418" i="3"/>
  <c r="U418" i="3"/>
  <c r="A419" i="3"/>
  <c r="D419" i="3" s="1"/>
  <c r="B419" i="3"/>
  <c r="C419" i="3"/>
  <c r="E419" i="3"/>
  <c r="F419" i="3"/>
  <c r="I419" i="3"/>
  <c r="K419" i="3"/>
  <c r="L419" i="3"/>
  <c r="M419" i="3"/>
  <c r="A420" i="3"/>
  <c r="C420" i="3"/>
  <c r="E420" i="3"/>
  <c r="K420" i="3"/>
  <c r="L420" i="3"/>
  <c r="M420" i="3"/>
  <c r="A421" i="3"/>
  <c r="B421" i="3"/>
  <c r="C421" i="3"/>
  <c r="K421" i="3"/>
  <c r="L421" i="3"/>
  <c r="M421" i="3"/>
  <c r="A422" i="3"/>
  <c r="B422" i="3"/>
  <c r="C422" i="3"/>
  <c r="K422" i="3"/>
  <c r="L422" i="3"/>
  <c r="M422" i="3" s="1"/>
  <c r="A423" i="3"/>
  <c r="D423" i="3" s="1"/>
  <c r="B423" i="3"/>
  <c r="C423" i="3"/>
  <c r="E423" i="3"/>
  <c r="F423" i="3"/>
  <c r="K423" i="3"/>
  <c r="L423" i="3"/>
  <c r="M423" i="3"/>
  <c r="N423" i="3"/>
  <c r="O423" i="3" s="1"/>
  <c r="A424" i="3"/>
  <c r="D424" i="3" s="1"/>
  <c r="B424" i="3"/>
  <c r="C424" i="3"/>
  <c r="E424" i="3"/>
  <c r="F424" i="3"/>
  <c r="I424" i="3"/>
  <c r="J424" i="3"/>
  <c r="K424" i="3"/>
  <c r="L424" i="3"/>
  <c r="M424" i="3" s="1"/>
  <c r="N424" i="3"/>
  <c r="O424" i="3"/>
  <c r="S424" i="3"/>
  <c r="T424" i="3"/>
  <c r="H424" i="3" s="1"/>
  <c r="R424" i="3" s="1"/>
  <c r="A425" i="3"/>
  <c r="C425" i="3"/>
  <c r="K425" i="3"/>
  <c r="L425" i="3"/>
  <c r="M425" i="3" s="1"/>
  <c r="A426" i="3"/>
  <c r="K426" i="3"/>
  <c r="L426" i="3"/>
  <c r="M426" i="3"/>
  <c r="A427" i="3"/>
  <c r="K427" i="3"/>
  <c r="L427" i="3"/>
  <c r="M427" i="3" s="1"/>
  <c r="A428" i="3"/>
  <c r="D428" i="3" s="1"/>
  <c r="B428" i="3"/>
  <c r="K428" i="3"/>
  <c r="L428" i="3"/>
  <c r="M428" i="3"/>
  <c r="A429" i="3"/>
  <c r="K429" i="3"/>
  <c r="L429" i="3"/>
  <c r="M429" i="3" s="1"/>
  <c r="A430" i="3"/>
  <c r="D430" i="3" s="1"/>
  <c r="F430" i="3" s="1"/>
  <c r="J430" i="3" s="1"/>
  <c r="B430" i="3"/>
  <c r="C430" i="3"/>
  <c r="E430" i="3"/>
  <c r="K430" i="3"/>
  <c r="L430" i="3"/>
  <c r="M430" i="3" s="1"/>
  <c r="A431" i="3"/>
  <c r="C431" i="3"/>
  <c r="E431" i="3"/>
  <c r="K431" i="3"/>
  <c r="L431" i="3"/>
  <c r="M431" i="3"/>
  <c r="A432" i="3"/>
  <c r="K432" i="3"/>
  <c r="L432" i="3"/>
  <c r="M432" i="3" s="1"/>
  <c r="A433" i="3"/>
  <c r="C433" i="3" s="1"/>
  <c r="B433" i="3"/>
  <c r="K433" i="3"/>
  <c r="L433" i="3"/>
  <c r="M433" i="3"/>
  <c r="A434" i="3"/>
  <c r="B434" i="3" s="1"/>
  <c r="K434" i="3"/>
  <c r="L434" i="3"/>
  <c r="M434" i="3" s="1"/>
  <c r="A435" i="3"/>
  <c r="D435" i="3" s="1"/>
  <c r="K435" i="3"/>
  <c r="L435" i="3"/>
  <c r="M435" i="3" s="1"/>
  <c r="A436" i="3"/>
  <c r="D436" i="3" s="1"/>
  <c r="B436" i="3"/>
  <c r="C436" i="3"/>
  <c r="E436" i="3"/>
  <c r="K436" i="3"/>
  <c r="L436" i="3"/>
  <c r="M436" i="3"/>
  <c r="A437" i="3"/>
  <c r="B437" i="3"/>
  <c r="C437" i="3"/>
  <c r="D437" i="3"/>
  <c r="E437" i="3"/>
  <c r="F437" i="3"/>
  <c r="K437" i="3"/>
  <c r="L437" i="3"/>
  <c r="M437" i="3"/>
  <c r="A438" i="3"/>
  <c r="C438" i="3" s="1"/>
  <c r="K438" i="3"/>
  <c r="L438" i="3"/>
  <c r="M438" i="3" s="1"/>
  <c r="A439" i="3"/>
  <c r="D439" i="3" s="1"/>
  <c r="B439" i="3"/>
  <c r="C439" i="3"/>
  <c r="E439" i="3"/>
  <c r="F439" i="3"/>
  <c r="I439" i="3"/>
  <c r="J439" i="3"/>
  <c r="K439" i="3"/>
  <c r="L439" i="3"/>
  <c r="M439" i="3"/>
  <c r="T439" i="3"/>
  <c r="A440" i="3"/>
  <c r="B440" i="3"/>
  <c r="C440" i="3"/>
  <c r="D440" i="3"/>
  <c r="E440" i="3"/>
  <c r="K440" i="3"/>
  <c r="L440" i="3"/>
  <c r="M440" i="3" s="1"/>
  <c r="A441" i="3"/>
  <c r="B441" i="3" s="1"/>
  <c r="D441" i="3"/>
  <c r="E441" i="3"/>
  <c r="F441" i="3"/>
  <c r="J441" i="3"/>
  <c r="K441" i="3"/>
  <c r="L441" i="3"/>
  <c r="M441" i="3" s="1"/>
  <c r="S441" i="3"/>
  <c r="A442" i="3"/>
  <c r="B442" i="3" s="1"/>
  <c r="K442" i="3"/>
  <c r="L442" i="3"/>
  <c r="M442" i="3" s="1"/>
  <c r="A443" i="3"/>
  <c r="E443" i="3" s="1"/>
  <c r="K443" i="3"/>
  <c r="L443" i="3"/>
  <c r="M443" i="3" s="1"/>
  <c r="A444" i="3"/>
  <c r="B444" i="3"/>
  <c r="K444" i="3"/>
  <c r="L444" i="3"/>
  <c r="M444" i="3"/>
  <c r="A445" i="3"/>
  <c r="D445" i="3" s="1"/>
  <c r="B445" i="3"/>
  <c r="C445" i="3"/>
  <c r="E445" i="3"/>
  <c r="K445" i="3"/>
  <c r="L445" i="3"/>
  <c r="M445" i="3"/>
  <c r="A446" i="3"/>
  <c r="B446" i="3"/>
  <c r="C446" i="3"/>
  <c r="K446" i="3"/>
  <c r="L446" i="3"/>
  <c r="M446" i="3" s="1"/>
  <c r="A447" i="3"/>
  <c r="B447" i="3"/>
  <c r="C447" i="3"/>
  <c r="D447" i="3"/>
  <c r="E447" i="3"/>
  <c r="F447" i="3" s="1"/>
  <c r="K447" i="3"/>
  <c r="L447" i="3"/>
  <c r="M447" i="3" s="1"/>
  <c r="A448" i="3"/>
  <c r="E448" i="3"/>
  <c r="K448" i="3"/>
  <c r="L448" i="3"/>
  <c r="M448" i="3" s="1"/>
  <c r="A449" i="3"/>
  <c r="E449" i="3" s="1"/>
  <c r="K449" i="3"/>
  <c r="L449" i="3"/>
  <c r="M449" i="3" s="1"/>
  <c r="A450" i="3"/>
  <c r="B450" i="3"/>
  <c r="C450" i="3"/>
  <c r="K450" i="3"/>
  <c r="L450" i="3"/>
  <c r="M450" i="3"/>
  <c r="A451" i="3"/>
  <c r="E451" i="3" s="1"/>
  <c r="B451" i="3"/>
  <c r="C451" i="3"/>
  <c r="D451" i="3"/>
  <c r="F451" i="3"/>
  <c r="K451" i="3"/>
  <c r="L451" i="3"/>
  <c r="M451" i="3"/>
  <c r="A452" i="3"/>
  <c r="B452" i="3" s="1"/>
  <c r="D452" i="3"/>
  <c r="E452" i="3"/>
  <c r="K452" i="3"/>
  <c r="L452" i="3"/>
  <c r="M452" i="3"/>
  <c r="O336" i="3" l="1"/>
  <c r="P336" i="3" s="1"/>
  <c r="O281" i="3"/>
  <c r="P281" i="3" s="1"/>
  <c r="N447" i="3"/>
  <c r="I447" i="3"/>
  <c r="J447" i="3"/>
  <c r="S447" i="3"/>
  <c r="T447" i="3"/>
  <c r="H416" i="3"/>
  <c r="U416" i="3"/>
  <c r="H174" i="3"/>
  <c r="R174" i="3" s="1"/>
  <c r="U174" i="3"/>
  <c r="D380" i="3"/>
  <c r="F380" i="3" s="1"/>
  <c r="E380" i="3"/>
  <c r="F440" i="3"/>
  <c r="J423" i="3"/>
  <c r="I423" i="3"/>
  <c r="S419" i="3"/>
  <c r="N419" i="3"/>
  <c r="T419" i="3"/>
  <c r="J419" i="3"/>
  <c r="I404" i="3"/>
  <c r="I373" i="3"/>
  <c r="J290" i="3"/>
  <c r="I290" i="3"/>
  <c r="S290" i="3"/>
  <c r="T290" i="3"/>
  <c r="H261" i="3"/>
  <c r="R261" i="3" s="1"/>
  <c r="S236" i="3"/>
  <c r="T236" i="3"/>
  <c r="N236" i="3"/>
  <c r="J236" i="3"/>
  <c r="I236" i="3"/>
  <c r="O203" i="3"/>
  <c r="P203" i="3"/>
  <c r="S169" i="3"/>
  <c r="T169" i="3"/>
  <c r="I169" i="3"/>
  <c r="J169" i="3"/>
  <c r="N169" i="3"/>
  <c r="T13" i="3"/>
  <c r="J13" i="3"/>
  <c r="I13" i="3"/>
  <c r="S13" i="3"/>
  <c r="N13" i="3"/>
  <c r="H222" i="3"/>
  <c r="R222" i="3" s="1"/>
  <c r="U222" i="3"/>
  <c r="D394" i="3"/>
  <c r="F394" i="3" s="1"/>
  <c r="C394" i="3"/>
  <c r="E394" i="3"/>
  <c r="H294" i="3"/>
  <c r="R294" i="3" s="1"/>
  <c r="H284" i="3"/>
  <c r="H269" i="3"/>
  <c r="U203" i="3"/>
  <c r="H203" i="3"/>
  <c r="I167" i="3"/>
  <c r="N167" i="3"/>
  <c r="J167" i="3"/>
  <c r="T167" i="3"/>
  <c r="S167" i="3"/>
  <c r="T74" i="3"/>
  <c r="S74" i="3"/>
  <c r="J74" i="3"/>
  <c r="I74" i="3"/>
  <c r="N74" i="3"/>
  <c r="T62" i="3"/>
  <c r="J62" i="3"/>
  <c r="I62" i="3"/>
  <c r="S62" i="3"/>
  <c r="D429" i="3"/>
  <c r="B429" i="3"/>
  <c r="E429" i="3"/>
  <c r="C429" i="3"/>
  <c r="U248" i="3"/>
  <c r="H248" i="3"/>
  <c r="D371" i="3"/>
  <c r="E371" i="3"/>
  <c r="C371" i="3"/>
  <c r="S336" i="3"/>
  <c r="I336" i="3"/>
  <c r="J336" i="3"/>
  <c r="O321" i="3"/>
  <c r="P321" i="3"/>
  <c r="H315" i="3"/>
  <c r="R315" i="3" s="1"/>
  <c r="U315" i="3"/>
  <c r="S240" i="3"/>
  <c r="J240" i="3"/>
  <c r="I240" i="3"/>
  <c r="T240" i="3"/>
  <c r="N240" i="3"/>
  <c r="S238" i="3"/>
  <c r="T238" i="3"/>
  <c r="I238" i="3"/>
  <c r="J238" i="3"/>
  <c r="N238" i="3"/>
  <c r="L151" i="3"/>
  <c r="M151" i="3" s="1"/>
  <c r="M139" i="3"/>
  <c r="L139" i="3"/>
  <c r="C449" i="3"/>
  <c r="B449" i="3"/>
  <c r="D449" i="3"/>
  <c r="F449" i="3" s="1"/>
  <c r="T373" i="3"/>
  <c r="N373" i="3"/>
  <c r="S373" i="3"/>
  <c r="I267" i="3"/>
  <c r="T267" i="3"/>
  <c r="N267" i="3"/>
  <c r="S267" i="3"/>
  <c r="D406" i="3"/>
  <c r="F406" i="3" s="1"/>
  <c r="C406" i="3"/>
  <c r="B406" i="3"/>
  <c r="E406" i="3"/>
  <c r="U439" i="3"/>
  <c r="H439" i="3"/>
  <c r="R439" i="3" s="1"/>
  <c r="O94" i="3"/>
  <c r="P94" i="3" s="1"/>
  <c r="M78" i="3"/>
  <c r="T46" i="3"/>
  <c r="J46" i="3"/>
  <c r="S46" i="3"/>
  <c r="N46" i="3"/>
  <c r="I46" i="3"/>
  <c r="O353" i="3"/>
  <c r="P353" i="3"/>
  <c r="J318" i="3"/>
  <c r="S318" i="3"/>
  <c r="T318" i="3"/>
  <c r="N318" i="3"/>
  <c r="N192" i="3"/>
  <c r="J192" i="3"/>
  <c r="T192" i="3"/>
  <c r="I192" i="3"/>
  <c r="S192" i="3"/>
  <c r="I184" i="3"/>
  <c r="S184" i="3"/>
  <c r="T184" i="3"/>
  <c r="N184" i="3"/>
  <c r="J184" i="3"/>
  <c r="F411" i="3"/>
  <c r="P327" i="3"/>
  <c r="P62" i="3"/>
  <c r="O62" i="3"/>
  <c r="N451" i="3"/>
  <c r="I451" i="3"/>
  <c r="J451" i="3"/>
  <c r="S451" i="3"/>
  <c r="H364" i="3"/>
  <c r="U336" i="3"/>
  <c r="H336" i="3"/>
  <c r="R336" i="3" s="1"/>
  <c r="I118" i="3"/>
  <c r="T118" i="3"/>
  <c r="N118" i="3"/>
  <c r="S118" i="3"/>
  <c r="J118" i="3"/>
  <c r="D382" i="3"/>
  <c r="C382" i="3"/>
  <c r="E382" i="3"/>
  <c r="B382" i="3"/>
  <c r="O364" i="3"/>
  <c r="P364" i="3" s="1"/>
  <c r="D356" i="3"/>
  <c r="F356" i="3" s="1"/>
  <c r="B356" i="3"/>
  <c r="F436" i="3"/>
  <c r="U397" i="3"/>
  <c r="H397" i="3"/>
  <c r="O393" i="3"/>
  <c r="P393" i="3" s="1"/>
  <c r="U374" i="3"/>
  <c r="H374" i="3"/>
  <c r="R374" i="3" s="1"/>
  <c r="D348" i="3"/>
  <c r="C348" i="3"/>
  <c r="E348" i="3"/>
  <c r="B348" i="3"/>
  <c r="P339" i="3"/>
  <c r="J328" i="3"/>
  <c r="S328" i="3"/>
  <c r="N328" i="3"/>
  <c r="T328" i="3"/>
  <c r="I328" i="3"/>
  <c r="O218" i="3"/>
  <c r="P218" i="3" s="1"/>
  <c r="N149" i="3"/>
  <c r="S149" i="3"/>
  <c r="I149" i="3"/>
  <c r="T149" i="3"/>
  <c r="J149" i="3"/>
  <c r="S131" i="3"/>
  <c r="N131" i="3"/>
  <c r="J131" i="3"/>
  <c r="I131" i="3"/>
  <c r="T131" i="3"/>
  <c r="B448" i="3"/>
  <c r="C448" i="3"/>
  <c r="D448" i="3"/>
  <c r="F448" i="3" s="1"/>
  <c r="T321" i="3"/>
  <c r="I321" i="3"/>
  <c r="S321" i="3"/>
  <c r="J321" i="3"/>
  <c r="O289" i="3"/>
  <c r="P289" i="3"/>
  <c r="D365" i="3"/>
  <c r="F365" i="3" s="1"/>
  <c r="B365" i="3"/>
  <c r="C365" i="3"/>
  <c r="N194" i="3"/>
  <c r="T194" i="3"/>
  <c r="J194" i="3"/>
  <c r="I194" i="3"/>
  <c r="S107" i="3"/>
  <c r="J107" i="3"/>
  <c r="T107" i="3"/>
  <c r="N107" i="3"/>
  <c r="I107" i="3"/>
  <c r="T413" i="3"/>
  <c r="S413" i="3"/>
  <c r="I413" i="3"/>
  <c r="J413" i="3"/>
  <c r="N413" i="3"/>
  <c r="P290" i="3"/>
  <c r="O290" i="3"/>
  <c r="F445" i="3"/>
  <c r="D358" i="3"/>
  <c r="F358" i="3" s="1"/>
  <c r="C358" i="3"/>
  <c r="E358" i="3"/>
  <c r="I338" i="3"/>
  <c r="J338" i="3"/>
  <c r="N338" i="3"/>
  <c r="S338" i="3"/>
  <c r="T338" i="3"/>
  <c r="J288" i="3"/>
  <c r="N288" i="3"/>
  <c r="T288" i="3"/>
  <c r="S288" i="3"/>
  <c r="D396" i="3"/>
  <c r="F396" i="3" s="1"/>
  <c r="C396" i="3"/>
  <c r="E396" i="3"/>
  <c r="J228" i="3"/>
  <c r="S228" i="3"/>
  <c r="N228" i="3"/>
  <c r="I228" i="3"/>
  <c r="T228" i="3"/>
  <c r="B438" i="3"/>
  <c r="D438" i="3"/>
  <c r="E438" i="3"/>
  <c r="D426" i="3"/>
  <c r="F426" i="3" s="1"/>
  <c r="C426" i="3"/>
  <c r="E426" i="3"/>
  <c r="B426" i="3"/>
  <c r="D388" i="3"/>
  <c r="E388" i="3"/>
  <c r="B388" i="3"/>
  <c r="R357" i="3"/>
  <c r="N326" i="3"/>
  <c r="I326" i="3"/>
  <c r="T326" i="3"/>
  <c r="S326" i="3"/>
  <c r="O308" i="3"/>
  <c r="P308" i="3" s="1"/>
  <c r="N282" i="3"/>
  <c r="T282" i="3"/>
  <c r="I282" i="3"/>
  <c r="S282" i="3"/>
  <c r="J282" i="3"/>
  <c r="N183" i="3"/>
  <c r="S183" i="3"/>
  <c r="J183" i="3"/>
  <c r="T183" i="3"/>
  <c r="O87" i="3"/>
  <c r="P87" i="3" s="1"/>
  <c r="N212" i="3"/>
  <c r="T212" i="3"/>
  <c r="I212" i="3"/>
  <c r="S212" i="3"/>
  <c r="J212" i="3"/>
  <c r="H179" i="3"/>
  <c r="R179" i="3" s="1"/>
  <c r="J174" i="3"/>
  <c r="N174" i="3"/>
  <c r="I174" i="3"/>
  <c r="E428" i="3"/>
  <c r="I370" i="3"/>
  <c r="N370" i="3"/>
  <c r="T370" i="3"/>
  <c r="J370" i="3"/>
  <c r="S370" i="3"/>
  <c r="T352" i="3"/>
  <c r="R341" i="3"/>
  <c r="H324" i="3"/>
  <c r="N301" i="3"/>
  <c r="S301" i="3"/>
  <c r="T301" i="3"/>
  <c r="S274" i="3"/>
  <c r="T274" i="3"/>
  <c r="J274" i="3"/>
  <c r="I274" i="3"/>
  <c r="N274" i="3"/>
  <c r="I259" i="3"/>
  <c r="S259" i="3"/>
  <c r="T259" i="3"/>
  <c r="J259" i="3"/>
  <c r="N259" i="3"/>
  <c r="P229" i="3"/>
  <c r="F452" i="3"/>
  <c r="D446" i="3"/>
  <c r="E446" i="3"/>
  <c r="E444" i="3"/>
  <c r="C444" i="3"/>
  <c r="D444" i="3"/>
  <c r="F444" i="3" s="1"/>
  <c r="C428" i="3"/>
  <c r="H342" i="3"/>
  <c r="J181" i="3"/>
  <c r="I181" i="3"/>
  <c r="N181" i="3"/>
  <c r="T181" i="3"/>
  <c r="S181" i="3"/>
  <c r="R244" i="3"/>
  <c r="N251" i="3"/>
  <c r="S251" i="3"/>
  <c r="T251" i="3"/>
  <c r="I251" i="3"/>
  <c r="J251" i="3"/>
  <c r="P400" i="3"/>
  <c r="O400" i="3"/>
  <c r="H224" i="3"/>
  <c r="U224" i="3"/>
  <c r="T400" i="3"/>
  <c r="J400" i="3"/>
  <c r="I400" i="3"/>
  <c r="O342" i="3"/>
  <c r="P342" i="3" s="1"/>
  <c r="P202" i="3"/>
  <c r="E435" i="3"/>
  <c r="F435" i="3" s="1"/>
  <c r="F428" i="3"/>
  <c r="N397" i="3"/>
  <c r="S397" i="3"/>
  <c r="I397" i="3"/>
  <c r="U331" i="3"/>
  <c r="H331" i="3"/>
  <c r="I311" i="3"/>
  <c r="T311" i="3"/>
  <c r="J311" i="3"/>
  <c r="N311" i="3"/>
  <c r="S311" i="3"/>
  <c r="T278" i="3"/>
  <c r="N278" i="3"/>
  <c r="S278" i="3"/>
  <c r="O177" i="3"/>
  <c r="P177" i="3" s="1"/>
  <c r="P72" i="3"/>
  <c r="O72" i="3"/>
  <c r="N441" i="3"/>
  <c r="I441" i="3"/>
  <c r="T441" i="3"/>
  <c r="C435" i="3"/>
  <c r="T423" i="3"/>
  <c r="D414" i="3"/>
  <c r="F414" i="3" s="1"/>
  <c r="B414" i="3"/>
  <c r="U392" i="3"/>
  <c r="D363" i="3"/>
  <c r="C363" i="3"/>
  <c r="E363" i="3"/>
  <c r="D354" i="3"/>
  <c r="F354" i="3" s="1"/>
  <c r="B354" i="3"/>
  <c r="P344" i="3"/>
  <c r="U307" i="3"/>
  <c r="H307" i="3"/>
  <c r="R307" i="3" s="1"/>
  <c r="T237" i="3"/>
  <c r="S237" i="3"/>
  <c r="J237" i="3"/>
  <c r="I237" i="3"/>
  <c r="N237" i="3"/>
  <c r="S194" i="3"/>
  <c r="P135" i="3"/>
  <c r="O135" i="3"/>
  <c r="U102" i="3"/>
  <c r="H102" i="3"/>
  <c r="R102" i="3" s="1"/>
  <c r="N404" i="3"/>
  <c r="T404" i="3"/>
  <c r="I390" i="3"/>
  <c r="S390" i="3"/>
  <c r="T390" i="3"/>
  <c r="N390" i="3"/>
  <c r="N381" i="3"/>
  <c r="J381" i="3"/>
  <c r="S381" i="3"/>
  <c r="T381" i="3"/>
  <c r="I416" i="3"/>
  <c r="J416" i="3"/>
  <c r="N416" i="3"/>
  <c r="S416" i="3"/>
  <c r="N437" i="3"/>
  <c r="T437" i="3"/>
  <c r="S437" i="3"/>
  <c r="J437" i="3"/>
  <c r="I437" i="3"/>
  <c r="D433" i="3"/>
  <c r="E433" i="3"/>
  <c r="O418" i="3"/>
  <c r="P418" i="3"/>
  <c r="N374" i="3"/>
  <c r="I374" i="3"/>
  <c r="U309" i="3"/>
  <c r="H309" i="3"/>
  <c r="R309" i="3" s="1"/>
  <c r="I133" i="3"/>
  <c r="N133" i="3"/>
  <c r="T133" i="3"/>
  <c r="J133" i="3"/>
  <c r="S133" i="3"/>
  <c r="T451" i="3"/>
  <c r="D443" i="3"/>
  <c r="F443" i="3" s="1"/>
  <c r="B435" i="3"/>
  <c r="D425" i="3"/>
  <c r="F425" i="3" s="1"/>
  <c r="B425" i="3"/>
  <c r="E425" i="3"/>
  <c r="S423" i="3"/>
  <c r="E403" i="3"/>
  <c r="F403" i="3" s="1"/>
  <c r="U362" i="3"/>
  <c r="H362" i="3"/>
  <c r="R362" i="3" s="1"/>
  <c r="D359" i="3"/>
  <c r="B359" i="3"/>
  <c r="E359" i="3"/>
  <c r="O327" i="3"/>
  <c r="N264" i="3"/>
  <c r="I264" i="3"/>
  <c r="J264" i="3"/>
  <c r="T264" i="3"/>
  <c r="S264" i="3"/>
  <c r="S138" i="3"/>
  <c r="J138" i="3"/>
  <c r="I138" i="3"/>
  <c r="T138" i="3"/>
  <c r="N138" i="3"/>
  <c r="N258" i="3"/>
  <c r="J258" i="3"/>
  <c r="T258" i="3"/>
  <c r="I258" i="3"/>
  <c r="S258" i="3"/>
  <c r="D432" i="3"/>
  <c r="F432" i="3" s="1"/>
  <c r="E432" i="3"/>
  <c r="C432" i="3"/>
  <c r="B432" i="3"/>
  <c r="D427" i="3"/>
  <c r="F427" i="3" s="1"/>
  <c r="E427" i="3"/>
  <c r="B427" i="3"/>
  <c r="C427" i="3"/>
  <c r="H154" i="3"/>
  <c r="R154" i="3" s="1"/>
  <c r="U154" i="3"/>
  <c r="J143" i="3"/>
  <c r="S143" i="3"/>
  <c r="I143" i="3"/>
  <c r="N143" i="3"/>
  <c r="T143" i="3"/>
  <c r="P140" i="3"/>
  <c r="I430" i="3"/>
  <c r="N430" i="3"/>
  <c r="S430" i="3"/>
  <c r="T430" i="3"/>
  <c r="C443" i="3"/>
  <c r="E411" i="3"/>
  <c r="C403" i="3"/>
  <c r="P384" i="3"/>
  <c r="D372" i="3"/>
  <c r="F372" i="3" s="1"/>
  <c r="C372" i="3"/>
  <c r="E372" i="3"/>
  <c r="H353" i="3"/>
  <c r="R353" i="3" s="1"/>
  <c r="J352" i="3"/>
  <c r="N352" i="3"/>
  <c r="S352" i="3"/>
  <c r="N333" i="3"/>
  <c r="T333" i="3"/>
  <c r="I333" i="3"/>
  <c r="J333" i="3"/>
  <c r="S333" i="3"/>
  <c r="U271" i="3"/>
  <c r="H271" i="3"/>
  <c r="R271" i="3" s="1"/>
  <c r="T217" i="3"/>
  <c r="J217" i="3"/>
  <c r="N217" i="3"/>
  <c r="S217" i="3"/>
  <c r="I217" i="3"/>
  <c r="O215" i="3"/>
  <c r="P215" i="3" s="1"/>
  <c r="U198" i="3"/>
  <c r="H198" i="3"/>
  <c r="S196" i="3"/>
  <c r="T196" i="3"/>
  <c r="I196" i="3"/>
  <c r="N196" i="3"/>
  <c r="J196" i="3"/>
  <c r="O102" i="3"/>
  <c r="P102" i="3" s="1"/>
  <c r="B443" i="3"/>
  <c r="U424" i="3"/>
  <c r="P423" i="3"/>
  <c r="C411" i="3"/>
  <c r="D409" i="3"/>
  <c r="F409" i="3" s="1"/>
  <c r="B409" i="3"/>
  <c r="E409" i="3"/>
  <c r="B403" i="3"/>
  <c r="D401" i="3"/>
  <c r="F401" i="3" s="1"/>
  <c r="C401" i="3"/>
  <c r="E401" i="3"/>
  <c r="E365" i="3"/>
  <c r="P360" i="3"/>
  <c r="O360" i="3"/>
  <c r="P325" i="3"/>
  <c r="O325" i="3"/>
  <c r="I318" i="3"/>
  <c r="S281" i="3"/>
  <c r="T281" i="3"/>
  <c r="I281" i="3"/>
  <c r="J281" i="3"/>
  <c r="O254" i="3"/>
  <c r="P254" i="3" s="1"/>
  <c r="R219" i="3"/>
  <c r="O207" i="3"/>
  <c r="P207" i="3" s="1"/>
  <c r="J200" i="3"/>
  <c r="I200" i="3"/>
  <c r="N200" i="3"/>
  <c r="S200" i="3"/>
  <c r="T200" i="3"/>
  <c r="N309" i="3"/>
  <c r="I309" i="3"/>
  <c r="J309" i="3"/>
  <c r="S309" i="3"/>
  <c r="I294" i="3"/>
  <c r="N294" i="3"/>
  <c r="S270" i="3"/>
  <c r="T270" i="3"/>
  <c r="N270" i="3"/>
  <c r="I203" i="3"/>
  <c r="J203" i="3"/>
  <c r="S203" i="3"/>
  <c r="O162" i="3"/>
  <c r="P162" i="3"/>
  <c r="N128" i="3"/>
  <c r="J128" i="3"/>
  <c r="T128" i="3"/>
  <c r="S128" i="3"/>
  <c r="I128" i="3"/>
  <c r="M117" i="3"/>
  <c r="T66" i="3"/>
  <c r="N66" i="3"/>
  <c r="S66" i="3"/>
  <c r="I66" i="3"/>
  <c r="J66" i="3"/>
  <c r="D346" i="3"/>
  <c r="F346" i="3" s="1"/>
  <c r="C346" i="3"/>
  <c r="O337" i="3"/>
  <c r="P337" i="3"/>
  <c r="H310" i="3"/>
  <c r="R310" i="3" s="1"/>
  <c r="U310" i="3"/>
  <c r="P302" i="3"/>
  <c r="P279" i="3"/>
  <c r="P275" i="3"/>
  <c r="U218" i="3"/>
  <c r="H218" i="3"/>
  <c r="R218" i="3" s="1"/>
  <c r="U216" i="3"/>
  <c r="O188" i="3"/>
  <c r="P188" i="3" s="1"/>
  <c r="F160" i="3"/>
  <c r="J140" i="3"/>
  <c r="I140" i="3"/>
  <c r="T140" i="3"/>
  <c r="T40" i="3"/>
  <c r="I40" i="3"/>
  <c r="J40" i="3"/>
  <c r="N40" i="3"/>
  <c r="S40" i="3"/>
  <c r="I100" i="3"/>
  <c r="N100" i="3"/>
  <c r="S100" i="3"/>
  <c r="T100" i="3"/>
  <c r="J100" i="3"/>
  <c r="M61" i="3"/>
  <c r="L61" i="3"/>
  <c r="T25" i="3"/>
  <c r="N25" i="3"/>
  <c r="S25" i="3"/>
  <c r="I25" i="3"/>
  <c r="P424" i="3"/>
  <c r="D422" i="3"/>
  <c r="E422" i="3"/>
  <c r="H418" i="3"/>
  <c r="D417" i="3"/>
  <c r="C417" i="3"/>
  <c r="E417" i="3"/>
  <c r="D386" i="3"/>
  <c r="C386" i="3"/>
  <c r="E386" i="3"/>
  <c r="D366" i="3"/>
  <c r="C366" i="3"/>
  <c r="E366" i="3"/>
  <c r="I364" i="3"/>
  <c r="J364" i="3"/>
  <c r="S364" i="3"/>
  <c r="D361" i="3"/>
  <c r="E361" i="3"/>
  <c r="C361" i="3"/>
  <c r="J357" i="3"/>
  <c r="S357" i="3"/>
  <c r="N357" i="3"/>
  <c r="I357" i="3"/>
  <c r="D350" i="3"/>
  <c r="F350" i="3" s="1"/>
  <c r="B350" i="3"/>
  <c r="C350" i="3"/>
  <c r="S342" i="3"/>
  <c r="I342" i="3"/>
  <c r="J342" i="3"/>
  <c r="T339" i="3"/>
  <c r="S339" i="3"/>
  <c r="I339" i="3"/>
  <c r="T329" i="3"/>
  <c r="J329" i="3"/>
  <c r="I329" i="3"/>
  <c r="N329" i="3"/>
  <c r="S319" i="3"/>
  <c r="N319" i="3"/>
  <c r="I319" i="3"/>
  <c r="T319" i="3"/>
  <c r="N314" i="3"/>
  <c r="S314" i="3"/>
  <c r="T314" i="3"/>
  <c r="U305" i="3"/>
  <c r="P295" i="3"/>
  <c r="H287" i="3"/>
  <c r="R287" i="3" s="1"/>
  <c r="U287" i="3"/>
  <c r="H252" i="3"/>
  <c r="R252" i="3" s="1"/>
  <c r="O245" i="3"/>
  <c r="P245" i="3" s="1"/>
  <c r="J220" i="3"/>
  <c r="S220" i="3"/>
  <c r="N220" i="3"/>
  <c r="T220" i="3"/>
  <c r="I211" i="3"/>
  <c r="N211" i="3"/>
  <c r="J211" i="3"/>
  <c r="T211" i="3"/>
  <c r="S211" i="3"/>
  <c r="J164" i="3"/>
  <c r="T164" i="3"/>
  <c r="N164" i="3"/>
  <c r="I164" i="3"/>
  <c r="T6" i="3"/>
  <c r="I6" i="3"/>
  <c r="J6" i="3"/>
  <c r="N6" i="3"/>
  <c r="S6" i="3"/>
  <c r="E412" i="3"/>
  <c r="F412" i="3" s="1"/>
  <c r="D399" i="3"/>
  <c r="E399" i="3"/>
  <c r="B399" i="3"/>
  <c r="C399" i="3"/>
  <c r="T393" i="3"/>
  <c r="D376" i="3"/>
  <c r="F376" i="3" s="1"/>
  <c r="B376" i="3"/>
  <c r="E376" i="3"/>
  <c r="D368" i="3"/>
  <c r="F368" i="3" s="1"/>
  <c r="C368" i="3"/>
  <c r="E368" i="3"/>
  <c r="J275" i="3"/>
  <c r="I275" i="3"/>
  <c r="S275" i="3"/>
  <c r="T275" i="3"/>
  <c r="H255" i="3"/>
  <c r="R255" i="3" s="1"/>
  <c r="O193" i="3"/>
  <c r="P193" i="3" s="1"/>
  <c r="U191" i="3"/>
  <c r="H191" i="3"/>
  <c r="R191" i="3" s="1"/>
  <c r="P182" i="3"/>
  <c r="I142" i="3"/>
  <c r="T142" i="3"/>
  <c r="J142" i="3"/>
  <c r="S142" i="3"/>
  <c r="N142" i="3"/>
  <c r="T44" i="3"/>
  <c r="S44" i="3"/>
  <c r="J44" i="3"/>
  <c r="N44" i="3"/>
  <c r="I44" i="3"/>
  <c r="T132" i="3"/>
  <c r="N132" i="3"/>
  <c r="S132" i="3"/>
  <c r="L127" i="3"/>
  <c r="M127" i="3" s="1"/>
  <c r="N392" i="3"/>
  <c r="J392" i="3"/>
  <c r="S392" i="3"/>
  <c r="N234" i="3"/>
  <c r="I234" i="3"/>
  <c r="S234" i="3"/>
  <c r="P86" i="3"/>
  <c r="D450" i="3"/>
  <c r="F450" i="3" s="1"/>
  <c r="E450" i="3"/>
  <c r="N439" i="3"/>
  <c r="S439" i="3"/>
  <c r="E434" i="3"/>
  <c r="I418" i="3"/>
  <c r="J418" i="3"/>
  <c r="S418" i="3"/>
  <c r="C415" i="3"/>
  <c r="D389" i="3"/>
  <c r="E389" i="3"/>
  <c r="F379" i="3"/>
  <c r="J362" i="3"/>
  <c r="N362" i="3"/>
  <c r="D355" i="3"/>
  <c r="E355" i="3"/>
  <c r="N332" i="3"/>
  <c r="T332" i="3"/>
  <c r="H305" i="3"/>
  <c r="R305" i="3" s="1"/>
  <c r="J295" i="3"/>
  <c r="S295" i="3"/>
  <c r="T295" i="3"/>
  <c r="S269" i="3"/>
  <c r="J218" i="3"/>
  <c r="I218" i="3"/>
  <c r="J189" i="3"/>
  <c r="L55" i="3"/>
  <c r="M55" i="3"/>
  <c r="T27" i="3"/>
  <c r="S27" i="3"/>
  <c r="J27" i="3"/>
  <c r="N27" i="3"/>
  <c r="I27" i="3"/>
  <c r="L84" i="3"/>
  <c r="M84" i="3" s="1"/>
  <c r="S289" i="3"/>
  <c r="T289" i="3"/>
  <c r="I289" i="3"/>
  <c r="J289" i="3"/>
  <c r="T197" i="3"/>
  <c r="N197" i="3"/>
  <c r="S197" i="3"/>
  <c r="J197" i="3"/>
  <c r="D410" i="3"/>
  <c r="E410" i="3"/>
  <c r="C410" i="3"/>
  <c r="D405" i="3"/>
  <c r="F405" i="3" s="1"/>
  <c r="B405" i="3"/>
  <c r="E395" i="3"/>
  <c r="F395" i="3" s="1"/>
  <c r="P335" i="3"/>
  <c r="N305" i="3"/>
  <c r="S305" i="3"/>
  <c r="N300" i="3"/>
  <c r="I300" i="3"/>
  <c r="J300" i="3"/>
  <c r="S300" i="3"/>
  <c r="T300" i="3"/>
  <c r="J271" i="3"/>
  <c r="I271" i="3"/>
  <c r="H216" i="3"/>
  <c r="T182" i="3"/>
  <c r="I182" i="3"/>
  <c r="U150" i="3"/>
  <c r="H112" i="3"/>
  <c r="U112" i="3"/>
  <c r="L101" i="3"/>
  <c r="M101" i="3"/>
  <c r="L88" i="3"/>
  <c r="M88" i="3" s="1"/>
  <c r="T16" i="3"/>
  <c r="I16" i="3"/>
  <c r="J16" i="3"/>
  <c r="S16" i="3"/>
  <c r="O16" i="3"/>
  <c r="P16" i="3"/>
  <c r="T12" i="3"/>
  <c r="I12" i="3"/>
  <c r="S12" i="3"/>
  <c r="N12" i="3"/>
  <c r="T384" i="3"/>
  <c r="J384" i="3"/>
  <c r="I327" i="3"/>
  <c r="S327" i="3"/>
  <c r="T327" i="3"/>
  <c r="J327" i="3"/>
  <c r="H303" i="3"/>
  <c r="I273" i="3"/>
  <c r="N273" i="3"/>
  <c r="S273" i="3"/>
  <c r="T273" i="3"/>
  <c r="T250" i="3"/>
  <c r="J250" i="3"/>
  <c r="S250" i="3"/>
  <c r="N250" i="3"/>
  <c r="J230" i="3"/>
  <c r="T230" i="3"/>
  <c r="N230" i="3"/>
  <c r="S230" i="3"/>
  <c r="I230" i="3"/>
  <c r="H223" i="3"/>
  <c r="J173" i="3"/>
  <c r="I173" i="3"/>
  <c r="N173" i="3"/>
  <c r="S173" i="3"/>
  <c r="T173" i="3"/>
  <c r="H146" i="3"/>
  <c r="U146" i="3"/>
  <c r="N139" i="3"/>
  <c r="I139" i="3"/>
  <c r="T139" i="3"/>
  <c r="S139" i="3"/>
  <c r="N130" i="3"/>
  <c r="T130" i="3"/>
  <c r="I130" i="3"/>
  <c r="S130" i="3"/>
  <c r="O99" i="3"/>
  <c r="P99" i="3"/>
  <c r="T65" i="3"/>
  <c r="S65" i="3"/>
  <c r="J65" i="3"/>
  <c r="N65" i="3"/>
  <c r="I65" i="3"/>
  <c r="C442" i="3"/>
  <c r="D442" i="3"/>
  <c r="E442" i="3"/>
  <c r="D434" i="3"/>
  <c r="C434" i="3"/>
  <c r="D415" i="3"/>
  <c r="E415" i="3"/>
  <c r="C395" i="3"/>
  <c r="D347" i="3"/>
  <c r="E347" i="3"/>
  <c r="B347" i="3"/>
  <c r="C347" i="3"/>
  <c r="H323" i="3"/>
  <c r="R323" i="3" s="1"/>
  <c r="O320" i="3"/>
  <c r="P320" i="3" s="1"/>
  <c r="P210" i="3"/>
  <c r="S189" i="3"/>
  <c r="T189" i="3"/>
  <c r="N189" i="3"/>
  <c r="O150" i="3"/>
  <c r="P150" i="3" s="1"/>
  <c r="T69" i="3"/>
  <c r="I69" i="3"/>
  <c r="S69" i="3"/>
  <c r="N69" i="3"/>
  <c r="J69" i="3"/>
  <c r="J308" i="3"/>
  <c r="I308" i="3"/>
  <c r="T308" i="3"/>
  <c r="T136" i="3"/>
  <c r="N136" i="3"/>
  <c r="J136" i="3"/>
  <c r="I136" i="3"/>
  <c r="S136" i="3"/>
  <c r="T48" i="3"/>
  <c r="I48" i="3"/>
  <c r="S48" i="3"/>
  <c r="N48" i="3"/>
  <c r="T24" i="3"/>
  <c r="I24" i="3"/>
  <c r="J24" i="3"/>
  <c r="S24" i="3"/>
  <c r="N24" i="3"/>
  <c r="U283" i="3"/>
  <c r="H283" i="3"/>
  <c r="R283" i="3" s="1"/>
  <c r="J269" i="3"/>
  <c r="I269" i="3"/>
  <c r="N269" i="3"/>
  <c r="S202" i="3"/>
  <c r="T202" i="3"/>
  <c r="J202" i="3"/>
  <c r="I202" i="3"/>
  <c r="U171" i="3"/>
  <c r="H171" i="3"/>
  <c r="R171" i="3" s="1"/>
  <c r="I134" i="3"/>
  <c r="J134" i="3"/>
  <c r="S134" i="3"/>
  <c r="T134" i="3"/>
  <c r="N134" i="3"/>
  <c r="O90" i="3"/>
  <c r="P90" i="3"/>
  <c r="O88" i="3"/>
  <c r="P88" i="3" s="1"/>
  <c r="T60" i="3"/>
  <c r="J60" i="3"/>
  <c r="I60" i="3"/>
  <c r="N60" i="3"/>
  <c r="S60" i="3"/>
  <c r="J393" i="3"/>
  <c r="I393" i="3"/>
  <c r="D387" i="3"/>
  <c r="E387" i="3"/>
  <c r="B387" i="3"/>
  <c r="N340" i="3"/>
  <c r="I340" i="3"/>
  <c r="T340" i="3"/>
  <c r="U316" i="3"/>
  <c r="H316" i="3"/>
  <c r="R316" i="3" s="1"/>
  <c r="S313" i="3"/>
  <c r="I313" i="3"/>
  <c r="J313" i="3"/>
  <c r="T313" i="3"/>
  <c r="N313" i="3"/>
  <c r="H272" i="3"/>
  <c r="R272" i="3" s="1"/>
  <c r="U272" i="3"/>
  <c r="H256" i="3"/>
  <c r="R256" i="3" s="1"/>
  <c r="H249" i="3"/>
  <c r="U249" i="3"/>
  <c r="U244" i="3"/>
  <c r="H239" i="3"/>
  <c r="R239" i="3" s="1"/>
  <c r="O233" i="3"/>
  <c r="P233" i="3"/>
  <c r="H231" i="3"/>
  <c r="R231" i="3" s="1"/>
  <c r="U231" i="3"/>
  <c r="I187" i="3"/>
  <c r="T187" i="3"/>
  <c r="N187" i="3"/>
  <c r="S187" i="3"/>
  <c r="J187" i="3"/>
  <c r="J157" i="3"/>
  <c r="T157" i="3"/>
  <c r="S157" i="3"/>
  <c r="N157" i="3"/>
  <c r="I157" i="3"/>
  <c r="U152" i="3"/>
  <c r="H152" i="3"/>
  <c r="R152" i="3" s="1"/>
  <c r="H124" i="3"/>
  <c r="R124" i="3" s="1"/>
  <c r="R116" i="3"/>
  <c r="T86" i="3"/>
  <c r="I86" i="3"/>
  <c r="J86" i="3"/>
  <c r="N375" i="3"/>
  <c r="S375" i="3"/>
  <c r="T375" i="3"/>
  <c r="F369" i="3"/>
  <c r="D367" i="3"/>
  <c r="F367" i="3" s="1"/>
  <c r="E367" i="3"/>
  <c r="C367" i="3"/>
  <c r="B367" i="3"/>
  <c r="T360" i="3"/>
  <c r="S360" i="3"/>
  <c r="U344" i="3"/>
  <c r="T330" i="3"/>
  <c r="N330" i="3"/>
  <c r="J330" i="3"/>
  <c r="T320" i="3"/>
  <c r="I320" i="3"/>
  <c r="J320" i="3"/>
  <c r="S320" i="3"/>
  <c r="I303" i="3"/>
  <c r="N303" i="3"/>
  <c r="O296" i="3"/>
  <c r="P296" i="3"/>
  <c r="T285" i="3"/>
  <c r="N285" i="3"/>
  <c r="S285" i="3"/>
  <c r="U254" i="3"/>
  <c r="F161" i="3"/>
  <c r="T36" i="3"/>
  <c r="N36" i="3"/>
  <c r="J36" i="3"/>
  <c r="I36" i="3"/>
  <c r="S36" i="3"/>
  <c r="D383" i="3"/>
  <c r="F383" i="3" s="1"/>
  <c r="C383" i="3"/>
  <c r="S334" i="3"/>
  <c r="T334" i="3"/>
  <c r="N334" i="3"/>
  <c r="I331" i="3"/>
  <c r="J331" i="3"/>
  <c r="T317" i="3"/>
  <c r="N317" i="3"/>
  <c r="I317" i="3"/>
  <c r="N312" i="3"/>
  <c r="T312" i="3"/>
  <c r="J312" i="3"/>
  <c r="I307" i="3"/>
  <c r="J307" i="3"/>
  <c r="N307" i="3"/>
  <c r="S299" i="3"/>
  <c r="T299" i="3"/>
  <c r="R280" i="3"/>
  <c r="O276" i="3"/>
  <c r="P276" i="3"/>
  <c r="S256" i="3"/>
  <c r="J256" i="3"/>
  <c r="N256" i="3"/>
  <c r="I223" i="3"/>
  <c r="N223" i="3"/>
  <c r="S223" i="3"/>
  <c r="J223" i="3"/>
  <c r="U219" i="3"/>
  <c r="R195" i="3"/>
  <c r="P179" i="3"/>
  <c r="S176" i="3"/>
  <c r="N176" i="3"/>
  <c r="T176" i="3"/>
  <c r="J176" i="3"/>
  <c r="M152" i="3"/>
  <c r="L152" i="3"/>
  <c r="E402" i="3"/>
  <c r="F402" i="3" s="1"/>
  <c r="D391" i="3"/>
  <c r="F391" i="3" s="1"/>
  <c r="C391" i="3"/>
  <c r="D378" i="3"/>
  <c r="B378" i="3"/>
  <c r="C378" i="3"/>
  <c r="E378" i="3"/>
  <c r="T257" i="3"/>
  <c r="J257" i="3"/>
  <c r="S257" i="3"/>
  <c r="N257" i="3"/>
  <c r="H245" i="3"/>
  <c r="R245" i="3" s="1"/>
  <c r="N231" i="3"/>
  <c r="S231" i="3"/>
  <c r="N226" i="3"/>
  <c r="S226" i="3"/>
  <c r="T226" i="3"/>
  <c r="J226" i="3"/>
  <c r="O222" i="3"/>
  <c r="P222" i="3"/>
  <c r="J210" i="3"/>
  <c r="I210" i="3"/>
  <c r="T210" i="3"/>
  <c r="I162" i="3"/>
  <c r="T162" i="3"/>
  <c r="J162" i="3"/>
  <c r="S162" i="3"/>
  <c r="I145" i="3"/>
  <c r="S145" i="3"/>
  <c r="T145" i="3"/>
  <c r="N145" i="3"/>
  <c r="M140" i="3"/>
  <c r="L140" i="3"/>
  <c r="T56" i="3"/>
  <c r="S56" i="3"/>
  <c r="N56" i="3"/>
  <c r="I56" i="3"/>
  <c r="J56" i="3"/>
  <c r="O49" i="3"/>
  <c r="P49" i="3" s="1"/>
  <c r="T26" i="3"/>
  <c r="J26" i="3"/>
  <c r="I26" i="3"/>
  <c r="N26" i="3"/>
  <c r="S26" i="3"/>
  <c r="D351" i="3"/>
  <c r="F351" i="3" s="1"/>
  <c r="B351" i="3"/>
  <c r="D349" i="3"/>
  <c r="B349" i="3"/>
  <c r="C349" i="3"/>
  <c r="E349" i="3"/>
  <c r="J324" i="3"/>
  <c r="I324" i="3"/>
  <c r="N324" i="3"/>
  <c r="J298" i="3"/>
  <c r="N298" i="3"/>
  <c r="T298" i="3"/>
  <c r="S298" i="3"/>
  <c r="T293" i="3"/>
  <c r="J293" i="3"/>
  <c r="I293" i="3"/>
  <c r="N293" i="3"/>
  <c r="S293" i="3"/>
  <c r="N255" i="3"/>
  <c r="S255" i="3"/>
  <c r="J255" i="3"/>
  <c r="I255" i="3"/>
  <c r="J224" i="3"/>
  <c r="N224" i="3"/>
  <c r="I224" i="3"/>
  <c r="S224" i="3"/>
  <c r="S205" i="3"/>
  <c r="I205" i="3"/>
  <c r="R205" i="3" s="1"/>
  <c r="N205" i="3"/>
  <c r="J205" i="3"/>
  <c r="S198" i="3"/>
  <c r="I198" i="3"/>
  <c r="N198" i="3"/>
  <c r="I180" i="3"/>
  <c r="N180" i="3"/>
  <c r="S180" i="3"/>
  <c r="T180" i="3"/>
  <c r="M142" i="3"/>
  <c r="L137" i="3"/>
  <c r="M137" i="3"/>
  <c r="T88" i="3"/>
  <c r="S88" i="3"/>
  <c r="J88" i="3"/>
  <c r="T72" i="3"/>
  <c r="I72" i="3"/>
  <c r="S72" i="3"/>
  <c r="J72" i="3"/>
  <c r="D420" i="3"/>
  <c r="F420" i="3" s="1"/>
  <c r="B420" i="3"/>
  <c r="H304" i="3"/>
  <c r="R304" i="3" s="1"/>
  <c r="S291" i="3"/>
  <c r="N291" i="3"/>
  <c r="T291" i="3"/>
  <c r="T262" i="3"/>
  <c r="J262" i="3"/>
  <c r="I262" i="3"/>
  <c r="N262" i="3"/>
  <c r="O260" i="3"/>
  <c r="P260" i="3"/>
  <c r="U253" i="3"/>
  <c r="H253" i="3"/>
  <c r="R253" i="3" s="1"/>
  <c r="P206" i="3"/>
  <c r="S175" i="3"/>
  <c r="J175" i="3"/>
  <c r="N175" i="3"/>
  <c r="T175" i="3"/>
  <c r="I175" i="3"/>
  <c r="L159" i="3"/>
  <c r="M159" i="3" s="1"/>
  <c r="T22" i="3"/>
  <c r="S22" i="3"/>
  <c r="N22" i="3"/>
  <c r="I22" i="3"/>
  <c r="D343" i="3"/>
  <c r="E343" i="3"/>
  <c r="B343" i="3"/>
  <c r="O341" i="3"/>
  <c r="P341" i="3" s="1"/>
  <c r="J315" i="3"/>
  <c r="H306" i="3"/>
  <c r="R306" i="3" s="1"/>
  <c r="T302" i="3"/>
  <c r="J302" i="3"/>
  <c r="N280" i="3"/>
  <c r="J239" i="3"/>
  <c r="S215" i="3"/>
  <c r="I215" i="3"/>
  <c r="T215" i="3"/>
  <c r="P208" i="3"/>
  <c r="I179" i="3"/>
  <c r="S179" i="3"/>
  <c r="J179" i="3"/>
  <c r="H165" i="3"/>
  <c r="J156" i="3"/>
  <c r="N156" i="3"/>
  <c r="I156" i="3"/>
  <c r="T156" i="3"/>
  <c r="I120" i="3"/>
  <c r="S120" i="3"/>
  <c r="N120" i="3"/>
  <c r="J120" i="3"/>
  <c r="T120" i="3"/>
  <c r="N104" i="3"/>
  <c r="T104" i="3"/>
  <c r="J104" i="3"/>
  <c r="I104" i="3"/>
  <c r="S90" i="3"/>
  <c r="I90" i="3"/>
  <c r="J90" i="3"/>
  <c r="T90" i="3"/>
  <c r="T41" i="3"/>
  <c r="S41" i="3"/>
  <c r="I41" i="3"/>
  <c r="N41" i="3"/>
  <c r="J41" i="3"/>
  <c r="T32" i="3"/>
  <c r="I32" i="3"/>
  <c r="N32" i="3"/>
  <c r="J32" i="3"/>
  <c r="S32" i="3"/>
  <c r="M20" i="3"/>
  <c r="T10" i="3"/>
  <c r="I10" i="3"/>
  <c r="S10" i="3"/>
  <c r="N10" i="3"/>
  <c r="P306" i="3"/>
  <c r="O297" i="3"/>
  <c r="P297" i="3"/>
  <c r="N292" i="3"/>
  <c r="S292" i="3"/>
  <c r="T292" i="3"/>
  <c r="O284" i="3"/>
  <c r="P284" i="3" s="1"/>
  <c r="J248" i="3"/>
  <c r="I248" i="3"/>
  <c r="P243" i="3"/>
  <c r="O239" i="3"/>
  <c r="P239" i="3"/>
  <c r="P227" i="3"/>
  <c r="S213" i="3"/>
  <c r="N213" i="3"/>
  <c r="I213" i="3"/>
  <c r="R213" i="3" s="1"/>
  <c r="J213" i="3"/>
  <c r="O195" i="3"/>
  <c r="P195" i="3" s="1"/>
  <c r="S171" i="3"/>
  <c r="N171" i="3"/>
  <c r="H163" i="3"/>
  <c r="T144" i="3"/>
  <c r="I144" i="3"/>
  <c r="J144" i="3"/>
  <c r="N144" i="3"/>
  <c r="S129" i="3"/>
  <c r="I129" i="3"/>
  <c r="N129" i="3"/>
  <c r="T129" i="3"/>
  <c r="J129" i="3"/>
  <c r="R96" i="3"/>
  <c r="T75" i="3"/>
  <c r="J75" i="3"/>
  <c r="I75" i="3"/>
  <c r="N75" i="3"/>
  <c r="F20" i="3"/>
  <c r="T14" i="3"/>
  <c r="I14" i="3"/>
  <c r="N14" i="3"/>
  <c r="J14" i="3"/>
  <c r="S14" i="3"/>
  <c r="D421" i="3"/>
  <c r="F421" i="3" s="1"/>
  <c r="E421" i="3"/>
  <c r="D398" i="3"/>
  <c r="F398" i="3" s="1"/>
  <c r="B398" i="3"/>
  <c r="P310" i="3"/>
  <c r="O310" i="3"/>
  <c r="J286" i="3"/>
  <c r="S286" i="3"/>
  <c r="T286" i="3"/>
  <c r="T277" i="3"/>
  <c r="J277" i="3"/>
  <c r="I277" i="3"/>
  <c r="N277" i="3"/>
  <c r="S277" i="3"/>
  <c r="N221" i="3"/>
  <c r="T221" i="3"/>
  <c r="J208" i="3"/>
  <c r="I208" i="3"/>
  <c r="S208" i="3"/>
  <c r="T208" i="3"/>
  <c r="T190" i="3"/>
  <c r="J190" i="3"/>
  <c r="S190" i="3"/>
  <c r="I190" i="3"/>
  <c r="N190" i="3"/>
  <c r="H186" i="3"/>
  <c r="R186" i="3" s="1"/>
  <c r="J127" i="3"/>
  <c r="N127" i="3"/>
  <c r="I127" i="3"/>
  <c r="S127" i="3"/>
  <c r="T127" i="3"/>
  <c r="J94" i="3"/>
  <c r="T94" i="3"/>
  <c r="S94" i="3"/>
  <c r="L60" i="3"/>
  <c r="M60" i="3" s="1"/>
  <c r="U280" i="3"/>
  <c r="T5" i="3"/>
  <c r="N5" i="3"/>
  <c r="I5" i="3"/>
  <c r="J5" i="3"/>
  <c r="C452" i="3"/>
  <c r="B400" i="3"/>
  <c r="D377" i="3"/>
  <c r="E377" i="3"/>
  <c r="T297" i="3"/>
  <c r="I297" i="3"/>
  <c r="S297" i="3"/>
  <c r="S266" i="3"/>
  <c r="I266" i="3"/>
  <c r="N266" i="3"/>
  <c r="T266" i="3"/>
  <c r="T246" i="3"/>
  <c r="N246" i="3"/>
  <c r="S246" i="3"/>
  <c r="I222" i="3"/>
  <c r="U207" i="3"/>
  <c r="H207" i="3"/>
  <c r="S193" i="3"/>
  <c r="T193" i="3"/>
  <c r="I193" i="3"/>
  <c r="J193" i="3"/>
  <c r="P168" i="3"/>
  <c r="J163" i="3"/>
  <c r="N163" i="3"/>
  <c r="I163" i="3"/>
  <c r="F101" i="3"/>
  <c r="T53" i="3"/>
  <c r="J53" i="3"/>
  <c r="S53" i="3"/>
  <c r="I53" i="3"/>
  <c r="N53" i="3"/>
  <c r="T49" i="3"/>
  <c r="J49" i="3"/>
  <c r="I49" i="3"/>
  <c r="S49" i="3"/>
  <c r="T19" i="3"/>
  <c r="J19" i="3"/>
  <c r="S19" i="3"/>
  <c r="I19" i="3"/>
  <c r="N19" i="3"/>
  <c r="T17" i="3"/>
  <c r="N17" i="3"/>
  <c r="I17" i="3"/>
  <c r="S17" i="3"/>
  <c r="J17" i="3"/>
  <c r="D407" i="3"/>
  <c r="E407" i="3"/>
  <c r="S316" i="3"/>
  <c r="J316" i="3"/>
  <c r="N263" i="3"/>
  <c r="T263" i="3"/>
  <c r="S249" i="3"/>
  <c r="I249" i="3"/>
  <c r="N249" i="3"/>
  <c r="J249" i="3"/>
  <c r="S243" i="3"/>
  <c r="T243" i="3"/>
  <c r="I227" i="3"/>
  <c r="J227" i="3"/>
  <c r="T227" i="3"/>
  <c r="I219" i="3"/>
  <c r="N219" i="3"/>
  <c r="S219" i="3"/>
  <c r="P191" i="3"/>
  <c r="H168" i="3"/>
  <c r="R168" i="3" s="1"/>
  <c r="N165" i="3"/>
  <c r="I165" i="3"/>
  <c r="N103" i="3"/>
  <c r="S103" i="3"/>
  <c r="I103" i="3"/>
  <c r="J103" i="3"/>
  <c r="T103" i="3"/>
  <c r="M99" i="3"/>
  <c r="T87" i="3"/>
  <c r="S87" i="3"/>
  <c r="I87" i="3"/>
  <c r="J87" i="3"/>
  <c r="C441" i="3"/>
  <c r="D431" i="3"/>
  <c r="F431" i="3" s="1"/>
  <c r="B431" i="3"/>
  <c r="D385" i="3"/>
  <c r="F385" i="3" s="1"/>
  <c r="B385" i="3"/>
  <c r="T322" i="3"/>
  <c r="H276" i="3"/>
  <c r="R276" i="3" s="1"/>
  <c r="J260" i="3"/>
  <c r="T260" i="3"/>
  <c r="I233" i="3"/>
  <c r="J233" i="3"/>
  <c r="S233" i="3"/>
  <c r="T233" i="3"/>
  <c r="S214" i="3"/>
  <c r="T214" i="3"/>
  <c r="I214" i="3"/>
  <c r="J214" i="3"/>
  <c r="N214" i="3"/>
  <c r="P178" i="3"/>
  <c r="M147" i="3"/>
  <c r="J99" i="3"/>
  <c r="I99" i="3"/>
  <c r="T99" i="3"/>
  <c r="L95" i="3"/>
  <c r="M95" i="3" s="1"/>
  <c r="O67" i="3"/>
  <c r="P67" i="3"/>
  <c r="T31" i="3"/>
  <c r="I31" i="3"/>
  <c r="N31" i="3"/>
  <c r="S31" i="3"/>
  <c r="L157" i="3"/>
  <c r="M157" i="3" s="1"/>
  <c r="F408" i="3"/>
  <c r="T335" i="3"/>
  <c r="I153" i="3"/>
  <c r="J153" i="3"/>
  <c r="T153" i="3"/>
  <c r="S153" i="3"/>
  <c r="N153" i="3"/>
  <c r="M149" i="3"/>
  <c r="R123" i="3"/>
  <c r="L93" i="3"/>
  <c r="M93" i="3" s="1"/>
  <c r="M57" i="3"/>
  <c r="N323" i="3"/>
  <c r="H296" i="3"/>
  <c r="R296" i="3" s="1"/>
  <c r="P265" i="3"/>
  <c r="U242" i="3"/>
  <c r="I207" i="3"/>
  <c r="J207" i="3"/>
  <c r="H199" i="3"/>
  <c r="T170" i="3"/>
  <c r="N170" i="3"/>
  <c r="S170" i="3"/>
  <c r="I170" i="3"/>
  <c r="P159" i="3"/>
  <c r="M133" i="3"/>
  <c r="L133" i="3"/>
  <c r="H125" i="3"/>
  <c r="R125" i="3" s="1"/>
  <c r="H110" i="3"/>
  <c r="R110" i="3" s="1"/>
  <c r="U110" i="3"/>
  <c r="L83" i="3"/>
  <c r="M83" i="3"/>
  <c r="T71" i="3"/>
  <c r="J71" i="3"/>
  <c r="I71" i="3"/>
  <c r="N71" i="3"/>
  <c r="S71" i="3"/>
  <c r="T67" i="3"/>
  <c r="J67" i="3"/>
  <c r="B360" i="3"/>
  <c r="C352" i="3"/>
  <c r="E345" i="3"/>
  <c r="J287" i="3"/>
  <c r="J268" i="3"/>
  <c r="S268" i="3"/>
  <c r="T268" i="3"/>
  <c r="H265" i="3"/>
  <c r="R265" i="3" s="1"/>
  <c r="I242" i="3"/>
  <c r="R242" i="3" s="1"/>
  <c r="J242" i="3"/>
  <c r="S242" i="3"/>
  <c r="N242" i="3"/>
  <c r="S216" i="3"/>
  <c r="I216" i="3"/>
  <c r="S135" i="3"/>
  <c r="T135" i="3"/>
  <c r="N125" i="3"/>
  <c r="J125" i="3"/>
  <c r="U123" i="3"/>
  <c r="S114" i="3"/>
  <c r="T114" i="3"/>
  <c r="J114" i="3"/>
  <c r="N114" i="3"/>
  <c r="L102" i="3"/>
  <c r="M102" i="3" s="1"/>
  <c r="M46" i="3"/>
  <c r="B352" i="3"/>
  <c r="S279" i="3"/>
  <c r="T279" i="3"/>
  <c r="N232" i="3"/>
  <c r="J232" i="3"/>
  <c r="S232" i="3"/>
  <c r="T232" i="3"/>
  <c r="I232" i="3"/>
  <c r="J188" i="3"/>
  <c r="T188" i="3"/>
  <c r="J154" i="3"/>
  <c r="S154" i="3"/>
  <c r="I146" i="3"/>
  <c r="N146" i="3"/>
  <c r="S146" i="3"/>
  <c r="N112" i="3"/>
  <c r="I112" i="3"/>
  <c r="J112" i="3"/>
  <c r="M104" i="3"/>
  <c r="L70" i="3"/>
  <c r="M70" i="3" s="1"/>
  <c r="M44" i="3"/>
  <c r="D345" i="3"/>
  <c r="F345" i="3" s="1"/>
  <c r="B345" i="3"/>
  <c r="S304" i="3"/>
  <c r="I304" i="3"/>
  <c r="J304" i="3"/>
  <c r="I284" i="3"/>
  <c r="J284" i="3"/>
  <c r="S276" i="3"/>
  <c r="J276" i="3"/>
  <c r="N252" i="3"/>
  <c r="S252" i="3"/>
  <c r="I235" i="3"/>
  <c r="N235" i="3"/>
  <c r="T235" i="3"/>
  <c r="H206" i="3"/>
  <c r="R206" i="3" s="1"/>
  <c r="F148" i="3"/>
  <c r="P123" i="3"/>
  <c r="O78" i="3"/>
  <c r="P78" i="3"/>
  <c r="T54" i="3"/>
  <c r="N54" i="3"/>
  <c r="J54" i="3"/>
  <c r="S54" i="3"/>
  <c r="L48" i="3"/>
  <c r="M48" i="3"/>
  <c r="I244" i="3"/>
  <c r="N244" i="3"/>
  <c r="N186" i="3"/>
  <c r="L113" i="3"/>
  <c r="M113" i="3" s="1"/>
  <c r="L89" i="3"/>
  <c r="M89" i="3"/>
  <c r="T68" i="3"/>
  <c r="S68" i="3"/>
  <c r="N68" i="3"/>
  <c r="J68" i="3"/>
  <c r="T59" i="3"/>
  <c r="J59" i="3"/>
  <c r="N59" i="3"/>
  <c r="I59" i="3"/>
  <c r="T55" i="3"/>
  <c r="I55" i="3"/>
  <c r="J55" i="3"/>
  <c r="N55" i="3"/>
  <c r="T51" i="3"/>
  <c r="J51" i="3"/>
  <c r="S51" i="3"/>
  <c r="I51" i="3"/>
  <c r="N51" i="3"/>
  <c r="L38" i="3"/>
  <c r="M38" i="3"/>
  <c r="I296" i="3"/>
  <c r="I186" i="3"/>
  <c r="M158" i="3"/>
  <c r="J124" i="3"/>
  <c r="S124" i="3"/>
  <c r="M122" i="3"/>
  <c r="L122" i="3"/>
  <c r="O116" i="3"/>
  <c r="P116" i="3"/>
  <c r="F113" i="3"/>
  <c r="P105" i="3"/>
  <c r="O105" i="3"/>
  <c r="O96" i="3"/>
  <c r="P96" i="3"/>
  <c r="T89" i="3"/>
  <c r="S89" i="3"/>
  <c r="J89" i="3"/>
  <c r="O47" i="3"/>
  <c r="P47" i="3" s="1"/>
  <c r="T7" i="3"/>
  <c r="I7" i="3"/>
  <c r="S7" i="3"/>
  <c r="N7" i="3"/>
  <c r="J7" i="3"/>
  <c r="T225" i="3"/>
  <c r="N225" i="3"/>
  <c r="I166" i="3"/>
  <c r="N166" i="3"/>
  <c r="T166" i="3"/>
  <c r="M153" i="3"/>
  <c r="L153" i="3"/>
  <c r="M143" i="3"/>
  <c r="M96" i="3"/>
  <c r="L96" i="3"/>
  <c r="T83" i="3"/>
  <c r="J83" i="3"/>
  <c r="N83" i="3"/>
  <c r="T81" i="3"/>
  <c r="S81" i="3"/>
  <c r="N81" i="3"/>
  <c r="L79" i="3"/>
  <c r="M79" i="3" s="1"/>
  <c r="T61" i="3"/>
  <c r="S61" i="3"/>
  <c r="J61" i="3"/>
  <c r="N61" i="3"/>
  <c r="L43" i="3"/>
  <c r="M43" i="3" s="1"/>
  <c r="T21" i="3"/>
  <c r="S21" i="3"/>
  <c r="I21" i="3"/>
  <c r="N21" i="3"/>
  <c r="J21" i="3"/>
  <c r="N272" i="3"/>
  <c r="J272" i="3"/>
  <c r="I199" i="3"/>
  <c r="N199" i="3"/>
  <c r="I155" i="3"/>
  <c r="T155" i="3"/>
  <c r="M134" i="3"/>
  <c r="M118" i="3"/>
  <c r="L118" i="3"/>
  <c r="M116" i="3"/>
  <c r="F85" i="3"/>
  <c r="T28" i="3"/>
  <c r="N28" i="3"/>
  <c r="S28" i="3"/>
  <c r="T11" i="3"/>
  <c r="N11" i="3"/>
  <c r="J11" i="3"/>
  <c r="I11" i="3"/>
  <c r="S11" i="3"/>
  <c r="N204" i="3"/>
  <c r="T204" i="3"/>
  <c r="J168" i="3"/>
  <c r="S168" i="3"/>
  <c r="J152" i="3"/>
  <c r="N152" i="3"/>
  <c r="F137" i="3"/>
  <c r="M130" i="3"/>
  <c r="M107" i="3"/>
  <c r="M85" i="3"/>
  <c r="T78" i="3"/>
  <c r="J78" i="3"/>
  <c r="F64" i="3"/>
  <c r="L29" i="3"/>
  <c r="M29" i="3" s="1"/>
  <c r="T177" i="3"/>
  <c r="S177" i="3"/>
  <c r="M150" i="3"/>
  <c r="L81" i="3"/>
  <c r="M81" i="3"/>
  <c r="L72" i="3"/>
  <c r="M72" i="3"/>
  <c r="L49" i="3"/>
  <c r="M49" i="3" s="1"/>
  <c r="H201" i="3"/>
  <c r="R201" i="3" s="1"/>
  <c r="U178" i="3"/>
  <c r="H178" i="3"/>
  <c r="R178" i="3" s="1"/>
  <c r="F147" i="3"/>
  <c r="M131" i="3"/>
  <c r="T105" i="3"/>
  <c r="S105" i="3"/>
  <c r="J105" i="3"/>
  <c r="L75" i="3"/>
  <c r="M75" i="3" s="1"/>
  <c r="T45" i="3"/>
  <c r="I45" i="3"/>
  <c r="S45" i="3"/>
  <c r="J45" i="3"/>
  <c r="N45" i="3"/>
  <c r="T43" i="3"/>
  <c r="J43" i="3"/>
  <c r="I43" i="3"/>
  <c r="S43" i="3"/>
  <c r="F38" i="3"/>
  <c r="L32" i="3"/>
  <c r="M32" i="3"/>
  <c r="T209" i="3"/>
  <c r="J201" i="3"/>
  <c r="N201" i="3"/>
  <c r="I159" i="3"/>
  <c r="J159" i="3"/>
  <c r="T159" i="3"/>
  <c r="I126" i="3"/>
  <c r="S126" i="3"/>
  <c r="T126" i="3"/>
  <c r="J126" i="3"/>
  <c r="N126" i="3"/>
  <c r="N110" i="3"/>
  <c r="S110" i="3"/>
  <c r="M108" i="3"/>
  <c r="F98" i="3"/>
  <c r="F79" i="3"/>
  <c r="T52" i="3"/>
  <c r="I52" i="3"/>
  <c r="J52" i="3"/>
  <c r="S52" i="3"/>
  <c r="N185" i="3"/>
  <c r="S185" i="3"/>
  <c r="L126" i="3"/>
  <c r="M126" i="3" s="1"/>
  <c r="F122" i="3"/>
  <c r="M52" i="3"/>
  <c r="O50" i="3"/>
  <c r="P50" i="3"/>
  <c r="T37" i="3"/>
  <c r="N37" i="3"/>
  <c r="J37" i="3"/>
  <c r="T30" i="3"/>
  <c r="I30" i="3"/>
  <c r="J30" i="3"/>
  <c r="S30" i="3"/>
  <c r="T9" i="3"/>
  <c r="I9" i="3"/>
  <c r="N9" i="3"/>
  <c r="J9" i="3"/>
  <c r="S9" i="3"/>
  <c r="L138" i="3"/>
  <c r="M138" i="3" s="1"/>
  <c r="L132" i="3"/>
  <c r="M132" i="3" s="1"/>
  <c r="F111" i="3"/>
  <c r="F91" i="3"/>
  <c r="T77" i="3"/>
  <c r="N77" i="3"/>
  <c r="J77" i="3"/>
  <c r="I77" i="3"/>
  <c r="T47" i="3"/>
  <c r="S47" i="3"/>
  <c r="J47" i="3"/>
  <c r="I47" i="3"/>
  <c r="F141" i="3"/>
  <c r="I123" i="3"/>
  <c r="S123" i="3"/>
  <c r="T82" i="3"/>
  <c r="J82" i="3"/>
  <c r="S82" i="3"/>
  <c r="F76" i="3"/>
  <c r="M62" i="3"/>
  <c r="F42" i="3"/>
  <c r="T39" i="3"/>
  <c r="N39" i="3"/>
  <c r="S39" i="3"/>
  <c r="F34" i="3"/>
  <c r="T29" i="3"/>
  <c r="N29" i="3"/>
  <c r="I29" i="3"/>
  <c r="M135" i="3"/>
  <c r="L129" i="3"/>
  <c r="M129" i="3" s="1"/>
  <c r="M82" i="3"/>
  <c r="M69" i="3"/>
  <c r="O8" i="3"/>
  <c r="P8" i="3"/>
  <c r="L124" i="3"/>
  <c r="M124" i="3" s="1"/>
  <c r="M110" i="3"/>
  <c r="T35" i="3"/>
  <c r="J35" i="3"/>
  <c r="I35" i="3"/>
  <c r="N35" i="3"/>
  <c r="S35" i="3"/>
  <c r="M53" i="3"/>
  <c r="F117" i="3"/>
  <c r="M111" i="3"/>
  <c r="F73" i="3"/>
  <c r="M71" i="3"/>
  <c r="F58" i="3"/>
  <c r="M56" i="3"/>
  <c r="M15" i="3"/>
  <c r="M66" i="3"/>
  <c r="L31" i="3"/>
  <c r="M31" i="3"/>
  <c r="M25" i="3"/>
  <c r="M21" i="3"/>
  <c r="P15" i="3"/>
  <c r="M5" i="3"/>
  <c r="F151" i="3"/>
  <c r="M146" i="3"/>
  <c r="M114" i="3"/>
  <c r="T93" i="3"/>
  <c r="I93" i="3"/>
  <c r="T80" i="3"/>
  <c r="N80" i="3"/>
  <c r="S80" i="3"/>
  <c r="F18" i="3"/>
  <c r="T15" i="3"/>
  <c r="S15" i="3"/>
  <c r="M23" i="3"/>
  <c r="M12" i="3"/>
  <c r="R8" i="3"/>
  <c r="P108" i="3"/>
  <c r="F106" i="3"/>
  <c r="T63" i="3"/>
  <c r="N63" i="3"/>
  <c r="H23" i="3"/>
  <c r="R23" i="3" s="1"/>
  <c r="F92" i="3"/>
  <c r="F57" i="3"/>
  <c r="F33" i="3"/>
  <c r="M19" i="3"/>
  <c r="F84" i="3"/>
  <c r="M76" i="3"/>
  <c r="L36" i="3"/>
  <c r="M36" i="3" s="1"/>
  <c r="M26" i="3"/>
  <c r="F119" i="3"/>
  <c r="T108" i="3"/>
  <c r="I108" i="3"/>
  <c r="T50" i="3"/>
  <c r="I50" i="3"/>
  <c r="M123" i="3"/>
  <c r="M16" i="3"/>
  <c r="M125" i="3"/>
  <c r="F121" i="3"/>
  <c r="F97" i="3"/>
  <c r="M128" i="3"/>
  <c r="F109" i="3"/>
  <c r="F70" i="3"/>
  <c r="F115" i="3"/>
  <c r="F95" i="3"/>
  <c r="O453" i="3"/>
  <c r="L453" i="3"/>
  <c r="N435" i="3" l="1"/>
  <c r="J435" i="3"/>
  <c r="T435" i="3"/>
  <c r="I435" i="3"/>
  <c r="S435" i="3"/>
  <c r="N395" i="3"/>
  <c r="T395" i="3"/>
  <c r="I395" i="3"/>
  <c r="J395" i="3"/>
  <c r="S395" i="3"/>
  <c r="N403" i="3"/>
  <c r="J403" i="3"/>
  <c r="S403" i="3"/>
  <c r="I403" i="3"/>
  <c r="T403" i="3"/>
  <c r="J122" i="3"/>
  <c r="N122" i="3"/>
  <c r="I122" i="3"/>
  <c r="S122" i="3"/>
  <c r="T122" i="3"/>
  <c r="O175" i="3"/>
  <c r="P175" i="3" s="1"/>
  <c r="O285" i="3"/>
  <c r="P285" i="3"/>
  <c r="N449" i="3"/>
  <c r="S449" i="3"/>
  <c r="T449" i="3"/>
  <c r="J449" i="3"/>
  <c r="I449" i="3"/>
  <c r="S92" i="3"/>
  <c r="T92" i="3"/>
  <c r="I92" i="3"/>
  <c r="J92" i="3"/>
  <c r="N92" i="3"/>
  <c r="H59" i="3"/>
  <c r="R59" i="3" s="1"/>
  <c r="U59" i="3"/>
  <c r="T18" i="3"/>
  <c r="N18" i="3"/>
  <c r="J18" i="3"/>
  <c r="I18" i="3"/>
  <c r="S18" i="3"/>
  <c r="O29" i="3"/>
  <c r="P29" i="3" s="1"/>
  <c r="U37" i="3"/>
  <c r="H37" i="3"/>
  <c r="R37" i="3" s="1"/>
  <c r="O204" i="3"/>
  <c r="P204" i="3"/>
  <c r="U135" i="3"/>
  <c r="H135" i="3"/>
  <c r="R135" i="3" s="1"/>
  <c r="O246" i="3"/>
  <c r="P246" i="3"/>
  <c r="O56" i="3"/>
  <c r="P56" i="3" s="1"/>
  <c r="U176" i="3"/>
  <c r="H176" i="3"/>
  <c r="R176" i="3" s="1"/>
  <c r="T161" i="3"/>
  <c r="N161" i="3"/>
  <c r="S161" i="3"/>
  <c r="J161" i="3"/>
  <c r="I161" i="3"/>
  <c r="O157" i="3"/>
  <c r="P157" i="3"/>
  <c r="H182" i="3"/>
  <c r="R182" i="3" s="1"/>
  <c r="U182" i="3"/>
  <c r="O197" i="3"/>
  <c r="P197" i="3" s="1"/>
  <c r="N450" i="3"/>
  <c r="J450" i="3"/>
  <c r="I450" i="3"/>
  <c r="T450" i="3"/>
  <c r="S450" i="3"/>
  <c r="O319" i="3"/>
  <c r="P319" i="3"/>
  <c r="R198" i="3"/>
  <c r="O138" i="3"/>
  <c r="P138" i="3" s="1"/>
  <c r="P259" i="3"/>
  <c r="O259" i="3"/>
  <c r="N365" i="3"/>
  <c r="S365" i="3"/>
  <c r="I365" i="3"/>
  <c r="J365" i="3"/>
  <c r="T365" i="3"/>
  <c r="R234" i="3"/>
  <c r="P77" i="3"/>
  <c r="O77" i="3"/>
  <c r="O55" i="3"/>
  <c r="P55" i="3" s="1"/>
  <c r="U263" i="3"/>
  <c r="H263" i="3"/>
  <c r="R263" i="3" s="1"/>
  <c r="O53" i="3"/>
  <c r="P53" i="3" s="1"/>
  <c r="H246" i="3"/>
  <c r="R246" i="3" s="1"/>
  <c r="U246" i="3"/>
  <c r="U14" i="3"/>
  <c r="H14" i="3"/>
  <c r="R14" i="3" s="1"/>
  <c r="O10" i="3"/>
  <c r="P10" i="3"/>
  <c r="O298" i="3"/>
  <c r="P298" i="3"/>
  <c r="O226" i="3"/>
  <c r="P226" i="3"/>
  <c r="O176" i="3"/>
  <c r="P176" i="3" s="1"/>
  <c r="U202" i="3"/>
  <c r="H202" i="3"/>
  <c r="R202" i="3" s="1"/>
  <c r="O230" i="3"/>
  <c r="P230" i="3" s="1"/>
  <c r="R216" i="3"/>
  <c r="H197" i="3"/>
  <c r="R197" i="3" s="1"/>
  <c r="U197" i="3"/>
  <c r="U142" i="3"/>
  <c r="H142" i="3"/>
  <c r="R142" i="3" s="1"/>
  <c r="H393" i="3"/>
  <c r="R393" i="3" s="1"/>
  <c r="U393" i="3"/>
  <c r="U220" i="3"/>
  <c r="H220" i="3"/>
  <c r="R220" i="3" s="1"/>
  <c r="F361" i="3"/>
  <c r="O25" i="3"/>
  <c r="P25" i="3" s="1"/>
  <c r="O66" i="3"/>
  <c r="P66" i="3" s="1"/>
  <c r="U138" i="3"/>
  <c r="H138" i="3"/>
  <c r="R138" i="3" s="1"/>
  <c r="I425" i="3"/>
  <c r="N425" i="3"/>
  <c r="S425" i="3"/>
  <c r="T425" i="3"/>
  <c r="J425" i="3"/>
  <c r="S414" i="3"/>
  <c r="T414" i="3"/>
  <c r="J414" i="3"/>
  <c r="N414" i="3"/>
  <c r="I414" i="3"/>
  <c r="U251" i="3"/>
  <c r="H251" i="3"/>
  <c r="R251" i="3" s="1"/>
  <c r="H228" i="3"/>
  <c r="R228" i="3" s="1"/>
  <c r="U228" i="3"/>
  <c r="N445" i="3"/>
  <c r="J445" i="3"/>
  <c r="S445" i="3"/>
  <c r="I445" i="3"/>
  <c r="T445" i="3"/>
  <c r="N356" i="3"/>
  <c r="S356" i="3"/>
  <c r="T356" i="3"/>
  <c r="J356" i="3"/>
  <c r="I356" i="3"/>
  <c r="P451" i="3"/>
  <c r="O451" i="3"/>
  <c r="N440" i="3"/>
  <c r="T440" i="3"/>
  <c r="I440" i="3"/>
  <c r="J440" i="3"/>
  <c r="S440" i="3"/>
  <c r="U177" i="3"/>
  <c r="H177" i="3"/>
  <c r="R177" i="3" s="1"/>
  <c r="H260" i="3"/>
  <c r="R260" i="3" s="1"/>
  <c r="U260" i="3"/>
  <c r="O269" i="3"/>
  <c r="P269" i="3" s="1"/>
  <c r="U236" i="3"/>
  <c r="H236" i="3"/>
  <c r="R236" i="3" s="1"/>
  <c r="O165" i="3"/>
  <c r="P165" i="3"/>
  <c r="P303" i="3"/>
  <c r="O303" i="3"/>
  <c r="T73" i="3"/>
  <c r="J73" i="3"/>
  <c r="N73" i="3"/>
  <c r="I73" i="3"/>
  <c r="S73" i="3"/>
  <c r="H126" i="3"/>
  <c r="R126" i="3" s="1"/>
  <c r="U126" i="3"/>
  <c r="H51" i="3"/>
  <c r="R51" i="3" s="1"/>
  <c r="U51" i="3"/>
  <c r="O71" i="3"/>
  <c r="P71" i="3" s="1"/>
  <c r="H233" i="3"/>
  <c r="R233" i="3" s="1"/>
  <c r="U233" i="3"/>
  <c r="H49" i="3"/>
  <c r="R49" i="3" s="1"/>
  <c r="U49" i="3"/>
  <c r="U215" i="3"/>
  <c r="H215" i="3"/>
  <c r="R215" i="3" s="1"/>
  <c r="U298" i="3"/>
  <c r="H298" i="3"/>
  <c r="R298" i="3" s="1"/>
  <c r="U360" i="3"/>
  <c r="H360" i="3"/>
  <c r="R360" i="3" s="1"/>
  <c r="O12" i="3"/>
  <c r="P12" i="3" s="1"/>
  <c r="I376" i="3"/>
  <c r="T376" i="3"/>
  <c r="J376" i="3"/>
  <c r="N376" i="3"/>
  <c r="S376" i="3"/>
  <c r="O370" i="3"/>
  <c r="P370" i="3"/>
  <c r="T358" i="3"/>
  <c r="I358" i="3"/>
  <c r="J358" i="3"/>
  <c r="N358" i="3"/>
  <c r="S358" i="3"/>
  <c r="U29" i="3"/>
  <c r="H29" i="3"/>
  <c r="R29" i="3" s="1"/>
  <c r="U45" i="3"/>
  <c r="H45" i="3"/>
  <c r="R45" i="3" s="1"/>
  <c r="O21" i="3"/>
  <c r="P21" i="3"/>
  <c r="U221" i="3"/>
  <c r="H221" i="3"/>
  <c r="R221" i="3" s="1"/>
  <c r="P80" i="3"/>
  <c r="O80" i="3"/>
  <c r="I117" i="3"/>
  <c r="J117" i="3"/>
  <c r="S117" i="3"/>
  <c r="N117" i="3"/>
  <c r="T117" i="3"/>
  <c r="T34" i="3"/>
  <c r="I34" i="3"/>
  <c r="S34" i="3"/>
  <c r="J34" i="3"/>
  <c r="N34" i="3"/>
  <c r="H77" i="3"/>
  <c r="R77" i="3" s="1"/>
  <c r="U77" i="3"/>
  <c r="H232" i="3"/>
  <c r="R232" i="3" s="1"/>
  <c r="U232" i="3"/>
  <c r="P263" i="3"/>
  <c r="O263" i="3"/>
  <c r="H266" i="3"/>
  <c r="R266" i="3" s="1"/>
  <c r="U266" i="3"/>
  <c r="O221" i="3"/>
  <c r="P221" i="3"/>
  <c r="T20" i="3"/>
  <c r="I20" i="3"/>
  <c r="J20" i="3"/>
  <c r="N20" i="3"/>
  <c r="S20" i="3"/>
  <c r="U104" i="3"/>
  <c r="H104" i="3"/>
  <c r="R104" i="3" s="1"/>
  <c r="H56" i="3"/>
  <c r="R56" i="3" s="1"/>
  <c r="U56" i="3"/>
  <c r="H157" i="3"/>
  <c r="R157" i="3" s="1"/>
  <c r="U157" i="3"/>
  <c r="O136" i="3"/>
  <c r="P136" i="3" s="1"/>
  <c r="U230" i="3"/>
  <c r="H230" i="3"/>
  <c r="R230" i="3" s="1"/>
  <c r="O220" i="3"/>
  <c r="P220" i="3"/>
  <c r="O329" i="3"/>
  <c r="P329" i="3" s="1"/>
  <c r="H25" i="3"/>
  <c r="R25" i="3" s="1"/>
  <c r="U25" i="3"/>
  <c r="H66" i="3"/>
  <c r="R66" i="3" s="1"/>
  <c r="U66" i="3"/>
  <c r="O309" i="3"/>
  <c r="P309" i="3"/>
  <c r="U423" i="3"/>
  <c r="H423" i="3"/>
  <c r="R423" i="3" s="1"/>
  <c r="U259" i="3"/>
  <c r="H259" i="3"/>
  <c r="R259" i="3" s="1"/>
  <c r="U282" i="3"/>
  <c r="H282" i="3"/>
  <c r="R282" i="3" s="1"/>
  <c r="O373" i="3"/>
  <c r="P373" i="3" s="1"/>
  <c r="U62" i="3"/>
  <c r="H62" i="3"/>
  <c r="R62" i="3" s="1"/>
  <c r="T420" i="3"/>
  <c r="N420" i="3"/>
  <c r="I420" i="3"/>
  <c r="J420" i="3"/>
  <c r="S420" i="3"/>
  <c r="O328" i="3"/>
  <c r="P328" i="3"/>
  <c r="H80" i="3"/>
  <c r="R80" i="3" s="1"/>
  <c r="U80" i="3"/>
  <c r="N91" i="3"/>
  <c r="S91" i="3"/>
  <c r="I91" i="3"/>
  <c r="J91" i="3"/>
  <c r="T91" i="3"/>
  <c r="H159" i="3"/>
  <c r="R159" i="3" s="1"/>
  <c r="U159" i="3"/>
  <c r="H71" i="3"/>
  <c r="R71" i="3" s="1"/>
  <c r="U71" i="3"/>
  <c r="O31" i="3"/>
  <c r="P31" i="3" s="1"/>
  <c r="O103" i="3"/>
  <c r="P103" i="3"/>
  <c r="O266" i="3"/>
  <c r="P266" i="3"/>
  <c r="U94" i="3"/>
  <c r="H94" i="3"/>
  <c r="R94" i="3" s="1"/>
  <c r="O75" i="3"/>
  <c r="P75" i="3" s="1"/>
  <c r="O104" i="3"/>
  <c r="P104" i="3" s="1"/>
  <c r="U175" i="3"/>
  <c r="H175" i="3"/>
  <c r="R175" i="3" s="1"/>
  <c r="O205" i="3"/>
  <c r="P205" i="3" s="1"/>
  <c r="O324" i="3"/>
  <c r="P324" i="3" s="1"/>
  <c r="O231" i="3"/>
  <c r="P231" i="3" s="1"/>
  <c r="U312" i="3"/>
  <c r="H312" i="3"/>
  <c r="R312" i="3" s="1"/>
  <c r="O60" i="3"/>
  <c r="P60" i="3" s="1"/>
  <c r="U136" i="3"/>
  <c r="H136" i="3"/>
  <c r="R136" i="3" s="1"/>
  <c r="U12" i="3"/>
  <c r="H12" i="3"/>
  <c r="R12" i="3" s="1"/>
  <c r="H332" i="3"/>
  <c r="R332" i="3" s="1"/>
  <c r="U332" i="3"/>
  <c r="H200" i="3"/>
  <c r="R200" i="3" s="1"/>
  <c r="U200" i="3"/>
  <c r="N443" i="3"/>
  <c r="T443" i="3"/>
  <c r="S443" i="3"/>
  <c r="J443" i="3"/>
  <c r="I443" i="3"/>
  <c r="H437" i="3"/>
  <c r="R437" i="3" s="1"/>
  <c r="U437" i="3"/>
  <c r="O251" i="3"/>
  <c r="P251" i="3"/>
  <c r="O282" i="3"/>
  <c r="P282" i="3" s="1"/>
  <c r="P228" i="3"/>
  <c r="O228" i="3"/>
  <c r="U328" i="3"/>
  <c r="H328" i="3"/>
  <c r="R328" i="3" s="1"/>
  <c r="O46" i="3"/>
  <c r="P46" i="3"/>
  <c r="U373" i="3"/>
  <c r="H373" i="3"/>
  <c r="R373" i="3" s="1"/>
  <c r="O74" i="3"/>
  <c r="P74" i="3"/>
  <c r="O236" i="3"/>
  <c r="P236" i="3"/>
  <c r="T380" i="3"/>
  <c r="J380" i="3"/>
  <c r="S380" i="3"/>
  <c r="I380" i="3"/>
  <c r="N380" i="3"/>
  <c r="P413" i="3"/>
  <c r="O413" i="3"/>
  <c r="H285" i="3"/>
  <c r="R285" i="3" s="1"/>
  <c r="U285" i="3"/>
  <c r="S372" i="3"/>
  <c r="I372" i="3"/>
  <c r="J372" i="3"/>
  <c r="N372" i="3"/>
  <c r="T372" i="3"/>
  <c r="F407" i="3"/>
  <c r="O187" i="3"/>
  <c r="P187" i="3" s="1"/>
  <c r="O39" i="3"/>
  <c r="P39" i="3" s="1"/>
  <c r="O280" i="3"/>
  <c r="P280" i="3"/>
  <c r="H289" i="3"/>
  <c r="R289" i="3" s="1"/>
  <c r="U289" i="3"/>
  <c r="P437" i="3"/>
  <c r="O437" i="3"/>
  <c r="N95" i="3"/>
  <c r="J95" i="3"/>
  <c r="T95" i="3"/>
  <c r="I95" i="3"/>
  <c r="S95" i="3"/>
  <c r="I345" i="3"/>
  <c r="N345" i="3"/>
  <c r="S345" i="3"/>
  <c r="J345" i="3"/>
  <c r="T345" i="3"/>
  <c r="H53" i="3"/>
  <c r="R53" i="3" s="1"/>
  <c r="U53" i="3"/>
  <c r="J369" i="3"/>
  <c r="I369" i="3"/>
  <c r="S369" i="3"/>
  <c r="T369" i="3"/>
  <c r="N369" i="3"/>
  <c r="P200" i="3"/>
  <c r="O200" i="3"/>
  <c r="O237" i="3"/>
  <c r="P237" i="3" s="1"/>
  <c r="T428" i="3"/>
  <c r="S428" i="3"/>
  <c r="I428" i="3"/>
  <c r="J428" i="3"/>
  <c r="N428" i="3"/>
  <c r="P274" i="3"/>
  <c r="O274" i="3"/>
  <c r="N115" i="3"/>
  <c r="T115" i="3"/>
  <c r="I115" i="3"/>
  <c r="J115" i="3"/>
  <c r="S115" i="3"/>
  <c r="T33" i="3"/>
  <c r="J33" i="3"/>
  <c r="S33" i="3"/>
  <c r="N33" i="3"/>
  <c r="I33" i="3"/>
  <c r="T42" i="3"/>
  <c r="S42" i="3"/>
  <c r="N42" i="3"/>
  <c r="J42" i="3"/>
  <c r="I42" i="3"/>
  <c r="O201" i="3"/>
  <c r="P201" i="3"/>
  <c r="U105" i="3"/>
  <c r="H105" i="3"/>
  <c r="R105" i="3" s="1"/>
  <c r="O59" i="3"/>
  <c r="P59" i="3" s="1"/>
  <c r="H279" i="3"/>
  <c r="R279" i="3" s="1"/>
  <c r="U279" i="3"/>
  <c r="J101" i="3"/>
  <c r="N101" i="3"/>
  <c r="I101" i="3"/>
  <c r="S101" i="3"/>
  <c r="T101" i="3"/>
  <c r="U75" i="3"/>
  <c r="H75" i="3"/>
  <c r="R75" i="3" s="1"/>
  <c r="O120" i="3"/>
  <c r="P120" i="3"/>
  <c r="U302" i="3"/>
  <c r="H302" i="3"/>
  <c r="R302" i="3" s="1"/>
  <c r="H145" i="3"/>
  <c r="R145" i="3" s="1"/>
  <c r="U145" i="3"/>
  <c r="O257" i="3"/>
  <c r="P257" i="3" s="1"/>
  <c r="O317" i="3"/>
  <c r="P317" i="3"/>
  <c r="U375" i="3"/>
  <c r="H375" i="3"/>
  <c r="R375" i="3" s="1"/>
  <c r="O313" i="3"/>
  <c r="P313" i="3" s="1"/>
  <c r="H60" i="3"/>
  <c r="R60" i="3" s="1"/>
  <c r="U60" i="3"/>
  <c r="F347" i="3"/>
  <c r="F355" i="3"/>
  <c r="J412" i="3"/>
  <c r="S412" i="3"/>
  <c r="I412" i="3"/>
  <c r="T412" i="3"/>
  <c r="N412" i="3"/>
  <c r="H100" i="3"/>
  <c r="R100" i="3" s="1"/>
  <c r="U100" i="3"/>
  <c r="H128" i="3"/>
  <c r="R128" i="3" s="1"/>
  <c r="U128" i="3"/>
  <c r="U264" i="3"/>
  <c r="H264" i="3"/>
  <c r="R264" i="3" s="1"/>
  <c r="O416" i="3"/>
  <c r="P416" i="3" s="1"/>
  <c r="O441" i="3"/>
  <c r="P441" i="3" s="1"/>
  <c r="H181" i="3"/>
  <c r="R181" i="3" s="1"/>
  <c r="U181" i="3"/>
  <c r="U321" i="3"/>
  <c r="H321" i="3"/>
  <c r="R321" i="3" s="1"/>
  <c r="U46" i="3"/>
  <c r="H46" i="3"/>
  <c r="R46" i="3" s="1"/>
  <c r="T70" i="3"/>
  <c r="J70" i="3"/>
  <c r="N70" i="3"/>
  <c r="I70" i="3"/>
  <c r="S70" i="3"/>
  <c r="T57" i="3"/>
  <c r="N57" i="3"/>
  <c r="S57" i="3"/>
  <c r="J57" i="3"/>
  <c r="I57" i="3"/>
  <c r="T64" i="3"/>
  <c r="I64" i="3"/>
  <c r="J64" i="3"/>
  <c r="S64" i="3"/>
  <c r="N64" i="3"/>
  <c r="P28" i="3"/>
  <c r="O28" i="3"/>
  <c r="O61" i="3"/>
  <c r="P61" i="3"/>
  <c r="O225" i="3"/>
  <c r="P225" i="3" s="1"/>
  <c r="O323" i="3"/>
  <c r="P323" i="3" s="1"/>
  <c r="H277" i="3"/>
  <c r="R277" i="3" s="1"/>
  <c r="U277" i="3"/>
  <c r="H317" i="3"/>
  <c r="R317" i="3" s="1"/>
  <c r="U317" i="3"/>
  <c r="H187" i="3"/>
  <c r="R187" i="3" s="1"/>
  <c r="U187" i="3"/>
  <c r="H313" i="3"/>
  <c r="R313" i="3" s="1"/>
  <c r="U313" i="3"/>
  <c r="U139" i="3"/>
  <c r="H139" i="3"/>
  <c r="R139" i="3" s="1"/>
  <c r="U250" i="3"/>
  <c r="H250" i="3"/>
  <c r="R250" i="3" s="1"/>
  <c r="O362" i="3"/>
  <c r="P362" i="3" s="1"/>
  <c r="O392" i="3"/>
  <c r="P392" i="3" s="1"/>
  <c r="F366" i="3"/>
  <c r="O217" i="3"/>
  <c r="P217" i="3" s="1"/>
  <c r="U133" i="3"/>
  <c r="H133" i="3"/>
  <c r="R133" i="3" s="1"/>
  <c r="O181" i="3"/>
  <c r="P181" i="3"/>
  <c r="H326" i="3"/>
  <c r="R326" i="3" s="1"/>
  <c r="U326" i="3"/>
  <c r="N448" i="3"/>
  <c r="S448" i="3"/>
  <c r="T448" i="3"/>
  <c r="J448" i="3"/>
  <c r="I448" i="3"/>
  <c r="F382" i="3"/>
  <c r="O184" i="3"/>
  <c r="P184" i="3"/>
  <c r="H74" i="3"/>
  <c r="R74" i="3" s="1"/>
  <c r="U74" i="3"/>
  <c r="O232" i="3"/>
  <c r="P232" i="3" s="1"/>
  <c r="U209" i="3"/>
  <c r="H209" i="3"/>
  <c r="R209" i="3" s="1"/>
  <c r="H322" i="3"/>
  <c r="R322" i="3" s="1"/>
  <c r="U322" i="3"/>
  <c r="O32" i="3"/>
  <c r="P32" i="3" s="1"/>
  <c r="O375" i="3"/>
  <c r="P375" i="3" s="1"/>
  <c r="O69" i="3"/>
  <c r="P69" i="3"/>
  <c r="U273" i="3"/>
  <c r="H273" i="3"/>
  <c r="R273" i="3" s="1"/>
  <c r="O6" i="3"/>
  <c r="P6" i="3" s="1"/>
  <c r="U339" i="3"/>
  <c r="H339" i="3"/>
  <c r="R339" i="3" s="1"/>
  <c r="O100" i="3"/>
  <c r="P100" i="3"/>
  <c r="O128" i="3"/>
  <c r="P128" i="3" s="1"/>
  <c r="I409" i="3"/>
  <c r="J409" i="3"/>
  <c r="N409" i="3"/>
  <c r="S409" i="3"/>
  <c r="T409" i="3"/>
  <c r="N427" i="3"/>
  <c r="I427" i="3"/>
  <c r="J427" i="3"/>
  <c r="T427" i="3"/>
  <c r="S427" i="3"/>
  <c r="O133" i="3"/>
  <c r="P133" i="3"/>
  <c r="U274" i="3"/>
  <c r="H274" i="3"/>
  <c r="R274" i="3" s="1"/>
  <c r="N396" i="3"/>
  <c r="T396" i="3"/>
  <c r="I396" i="3"/>
  <c r="S396" i="3"/>
  <c r="J396" i="3"/>
  <c r="H413" i="3"/>
  <c r="R413" i="3" s="1"/>
  <c r="U413" i="3"/>
  <c r="U184" i="3"/>
  <c r="H184" i="3"/>
  <c r="R184" i="3" s="1"/>
  <c r="O13" i="3"/>
  <c r="P13" i="3"/>
  <c r="H290" i="3"/>
  <c r="R290" i="3" s="1"/>
  <c r="U290" i="3"/>
  <c r="O174" i="3"/>
  <c r="P174" i="3" s="1"/>
  <c r="T85" i="3"/>
  <c r="I85" i="3"/>
  <c r="J85" i="3"/>
  <c r="S85" i="3"/>
  <c r="N85" i="3"/>
  <c r="U129" i="3"/>
  <c r="H129" i="3"/>
  <c r="R129" i="3" s="1"/>
  <c r="H217" i="3"/>
  <c r="R217" i="3" s="1"/>
  <c r="U217" i="3"/>
  <c r="P264" i="3"/>
  <c r="O264" i="3"/>
  <c r="U237" i="3"/>
  <c r="H237" i="3"/>
  <c r="R237" i="3" s="1"/>
  <c r="U167" i="3"/>
  <c r="H167" i="3"/>
  <c r="R167" i="3" s="1"/>
  <c r="U21" i="3"/>
  <c r="H21" i="3"/>
  <c r="R21" i="3" s="1"/>
  <c r="O242" i="3"/>
  <c r="P242" i="3"/>
  <c r="O312" i="3"/>
  <c r="P312" i="3" s="1"/>
  <c r="U39" i="3"/>
  <c r="H39" i="3"/>
  <c r="R39" i="3" s="1"/>
  <c r="U54" i="3"/>
  <c r="H54" i="3"/>
  <c r="R54" i="3" s="1"/>
  <c r="F399" i="3"/>
  <c r="O163" i="3"/>
  <c r="P163" i="3"/>
  <c r="J385" i="3"/>
  <c r="I385" i="3"/>
  <c r="N385" i="3"/>
  <c r="S385" i="3"/>
  <c r="T385" i="3"/>
  <c r="O129" i="3"/>
  <c r="P129" i="3" s="1"/>
  <c r="O24" i="3"/>
  <c r="P24" i="3"/>
  <c r="F386" i="3"/>
  <c r="R342" i="3"/>
  <c r="U301" i="3"/>
  <c r="H301" i="3"/>
  <c r="R301" i="3" s="1"/>
  <c r="U288" i="3"/>
  <c r="H288" i="3"/>
  <c r="R288" i="3" s="1"/>
  <c r="O107" i="3"/>
  <c r="P107" i="3"/>
  <c r="O118" i="3"/>
  <c r="P118" i="3"/>
  <c r="R416" i="3"/>
  <c r="J121" i="3"/>
  <c r="T121" i="3"/>
  <c r="I121" i="3"/>
  <c r="S121" i="3"/>
  <c r="N121" i="3"/>
  <c r="O63" i="3"/>
  <c r="P63" i="3" s="1"/>
  <c r="U82" i="3"/>
  <c r="H82" i="3"/>
  <c r="R82" i="3" s="1"/>
  <c r="O9" i="3"/>
  <c r="P9" i="3" s="1"/>
  <c r="O7" i="3"/>
  <c r="P7" i="3"/>
  <c r="H17" i="3"/>
  <c r="R17" i="3" s="1"/>
  <c r="U17" i="3"/>
  <c r="F377" i="3"/>
  <c r="O156" i="3"/>
  <c r="P156" i="3" s="1"/>
  <c r="U88" i="3"/>
  <c r="H88" i="3"/>
  <c r="R88" i="3" s="1"/>
  <c r="J351" i="3"/>
  <c r="T351" i="3"/>
  <c r="I351" i="3"/>
  <c r="N351" i="3"/>
  <c r="S351" i="3"/>
  <c r="H162" i="3"/>
  <c r="R162" i="3" s="1"/>
  <c r="U162" i="3"/>
  <c r="O256" i="3"/>
  <c r="P256" i="3" s="1"/>
  <c r="H334" i="3"/>
  <c r="R334" i="3" s="1"/>
  <c r="U334" i="3"/>
  <c r="H86" i="3"/>
  <c r="R86" i="3" s="1"/>
  <c r="U86" i="3"/>
  <c r="O134" i="3"/>
  <c r="P134" i="3" s="1"/>
  <c r="H69" i="3"/>
  <c r="R69" i="3" s="1"/>
  <c r="U69" i="3"/>
  <c r="F434" i="3"/>
  <c r="R146" i="3"/>
  <c r="F389" i="3"/>
  <c r="O132" i="3"/>
  <c r="P132" i="3" s="1"/>
  <c r="H275" i="3"/>
  <c r="R275" i="3" s="1"/>
  <c r="U275" i="3"/>
  <c r="H6" i="3"/>
  <c r="R6" i="3" s="1"/>
  <c r="U6" i="3"/>
  <c r="O40" i="3"/>
  <c r="P40" i="3" s="1"/>
  <c r="H212" i="3"/>
  <c r="R212" i="3" s="1"/>
  <c r="U212" i="3"/>
  <c r="O288" i="3"/>
  <c r="P288" i="3"/>
  <c r="H107" i="3"/>
  <c r="R107" i="3" s="1"/>
  <c r="U107" i="3"/>
  <c r="F348" i="3"/>
  <c r="H118" i="3"/>
  <c r="R118" i="3" s="1"/>
  <c r="U118" i="3"/>
  <c r="O238" i="3"/>
  <c r="P238" i="3"/>
  <c r="F371" i="3"/>
  <c r="O167" i="3"/>
  <c r="P167" i="3" s="1"/>
  <c r="H447" i="3"/>
  <c r="R447" i="3" s="1"/>
  <c r="U447" i="3"/>
  <c r="I113" i="3"/>
  <c r="T113" i="3"/>
  <c r="N113" i="3"/>
  <c r="J113" i="3"/>
  <c r="S113" i="3"/>
  <c r="U130" i="3"/>
  <c r="H130" i="3"/>
  <c r="R130" i="3" s="1"/>
  <c r="H451" i="3"/>
  <c r="R451" i="3" s="1"/>
  <c r="U451" i="3"/>
  <c r="N147" i="3"/>
  <c r="J147" i="3"/>
  <c r="S147" i="3"/>
  <c r="I147" i="3"/>
  <c r="T147" i="3"/>
  <c r="H297" i="3"/>
  <c r="R297" i="3" s="1"/>
  <c r="U297" i="3"/>
  <c r="H72" i="3"/>
  <c r="R72" i="3" s="1"/>
  <c r="U72" i="3"/>
  <c r="F349" i="3"/>
  <c r="O326" i="3"/>
  <c r="P326" i="3"/>
  <c r="T38" i="3"/>
  <c r="J38" i="3"/>
  <c r="N38" i="3"/>
  <c r="I38" i="3"/>
  <c r="S38" i="3"/>
  <c r="R303" i="3"/>
  <c r="U27" i="3"/>
  <c r="H27" i="3"/>
  <c r="R27" i="3" s="1"/>
  <c r="H132" i="3"/>
  <c r="R132" i="3" s="1"/>
  <c r="U132" i="3"/>
  <c r="U430" i="3"/>
  <c r="H430" i="3"/>
  <c r="R430" i="3" s="1"/>
  <c r="O381" i="3"/>
  <c r="P381" i="3" s="1"/>
  <c r="O278" i="3"/>
  <c r="P278" i="3"/>
  <c r="O301" i="3"/>
  <c r="P301" i="3" s="1"/>
  <c r="O212" i="3"/>
  <c r="P212" i="3" s="1"/>
  <c r="R248" i="3"/>
  <c r="H13" i="3"/>
  <c r="R13" i="3" s="1"/>
  <c r="U13" i="3"/>
  <c r="J111" i="3"/>
  <c r="T111" i="3"/>
  <c r="N111" i="3"/>
  <c r="I111" i="3"/>
  <c r="S111" i="3"/>
  <c r="O11" i="3"/>
  <c r="P11" i="3"/>
  <c r="O54" i="3"/>
  <c r="P54" i="3"/>
  <c r="U10" i="3"/>
  <c r="H10" i="3"/>
  <c r="R10" i="3" s="1"/>
  <c r="P250" i="3"/>
  <c r="O250" i="3"/>
  <c r="O397" i="3"/>
  <c r="P397" i="3" s="1"/>
  <c r="H329" i="3"/>
  <c r="R329" i="3" s="1"/>
  <c r="U329" i="3"/>
  <c r="I109" i="3"/>
  <c r="J109" i="3"/>
  <c r="T109" i="3"/>
  <c r="N109" i="3"/>
  <c r="S109" i="3"/>
  <c r="O223" i="3"/>
  <c r="P223" i="3" s="1"/>
  <c r="O139" i="3"/>
  <c r="P139" i="3" s="1"/>
  <c r="O219" i="3"/>
  <c r="P219" i="3"/>
  <c r="O334" i="3"/>
  <c r="P334" i="3" s="1"/>
  <c r="O273" i="3"/>
  <c r="P273" i="3" s="1"/>
  <c r="U227" i="3"/>
  <c r="H227" i="3"/>
  <c r="R227" i="3" s="1"/>
  <c r="O255" i="3"/>
  <c r="P255" i="3"/>
  <c r="N444" i="3"/>
  <c r="I444" i="3"/>
  <c r="J444" i="3"/>
  <c r="S444" i="3"/>
  <c r="T444" i="3"/>
  <c r="F388" i="3"/>
  <c r="U338" i="3"/>
  <c r="H338" i="3"/>
  <c r="R338" i="3" s="1"/>
  <c r="O131" i="3"/>
  <c r="P131" i="3"/>
  <c r="H192" i="3"/>
  <c r="R192" i="3" s="1"/>
  <c r="U192" i="3"/>
  <c r="R203" i="3"/>
  <c r="O169" i="3"/>
  <c r="P169" i="3"/>
  <c r="U55" i="3"/>
  <c r="H55" i="3"/>
  <c r="R55" i="3" s="1"/>
  <c r="H120" i="3"/>
  <c r="R120" i="3" s="1"/>
  <c r="U120" i="3"/>
  <c r="O332" i="3"/>
  <c r="P332" i="3" s="1"/>
  <c r="J401" i="3"/>
  <c r="I401" i="3"/>
  <c r="T401" i="3"/>
  <c r="N401" i="3"/>
  <c r="S401" i="3"/>
  <c r="U441" i="3"/>
  <c r="H441" i="3"/>
  <c r="R441" i="3" s="1"/>
  <c r="S394" i="3"/>
  <c r="N394" i="3"/>
  <c r="J394" i="3"/>
  <c r="T394" i="3"/>
  <c r="I394" i="3"/>
  <c r="U127" i="3"/>
  <c r="H127" i="3"/>
  <c r="R127" i="3" s="1"/>
  <c r="O145" i="3"/>
  <c r="P145" i="3" s="1"/>
  <c r="O130" i="3"/>
  <c r="P130" i="3" s="1"/>
  <c r="T151" i="3"/>
  <c r="I151" i="3"/>
  <c r="N151" i="3"/>
  <c r="S151" i="3"/>
  <c r="J151" i="3"/>
  <c r="O127" i="3"/>
  <c r="P127" i="3" s="1"/>
  <c r="P224" i="3"/>
  <c r="O224" i="3"/>
  <c r="T148" i="3"/>
  <c r="N148" i="3"/>
  <c r="S148" i="3"/>
  <c r="I148" i="3"/>
  <c r="J148" i="3"/>
  <c r="O27" i="3"/>
  <c r="P27" i="3" s="1"/>
  <c r="O68" i="3"/>
  <c r="P68" i="3" s="1"/>
  <c r="U63" i="3"/>
  <c r="H63" i="3"/>
  <c r="R63" i="3" s="1"/>
  <c r="U52" i="3"/>
  <c r="H52" i="3"/>
  <c r="R52" i="3" s="1"/>
  <c r="H235" i="3"/>
  <c r="R235" i="3" s="1"/>
  <c r="U235" i="3"/>
  <c r="J431" i="3"/>
  <c r="S431" i="3"/>
  <c r="I431" i="3"/>
  <c r="T431" i="3"/>
  <c r="N431" i="3"/>
  <c r="P19" i="3"/>
  <c r="O19" i="3"/>
  <c r="O41" i="3"/>
  <c r="P41" i="3" s="1"/>
  <c r="I432" i="3"/>
  <c r="N432" i="3"/>
  <c r="S432" i="3"/>
  <c r="J432" i="3"/>
  <c r="T432" i="3"/>
  <c r="J106" i="3"/>
  <c r="I106" i="3"/>
  <c r="T106" i="3"/>
  <c r="N106" i="3"/>
  <c r="S106" i="3"/>
  <c r="H9" i="3"/>
  <c r="R9" i="3" s="1"/>
  <c r="U9" i="3"/>
  <c r="J137" i="3"/>
  <c r="N137" i="3"/>
  <c r="S137" i="3"/>
  <c r="I137" i="3"/>
  <c r="T137" i="3"/>
  <c r="P81" i="3"/>
  <c r="O81" i="3"/>
  <c r="O235" i="3"/>
  <c r="P235" i="3" s="1"/>
  <c r="O153" i="3"/>
  <c r="P153" i="3" s="1"/>
  <c r="O144" i="3"/>
  <c r="P144" i="3"/>
  <c r="R165" i="3"/>
  <c r="O26" i="3"/>
  <c r="P26" i="3"/>
  <c r="H210" i="3"/>
  <c r="R210" i="3" s="1"/>
  <c r="U210" i="3"/>
  <c r="U320" i="3"/>
  <c r="H320" i="3"/>
  <c r="R320" i="3" s="1"/>
  <c r="P164" i="3"/>
  <c r="O164" i="3"/>
  <c r="F359" i="3"/>
  <c r="O390" i="3"/>
  <c r="P390" i="3"/>
  <c r="U278" i="3"/>
  <c r="H278" i="3"/>
  <c r="R278" i="3" s="1"/>
  <c r="H400" i="3"/>
  <c r="R400" i="3" s="1"/>
  <c r="U400" i="3"/>
  <c r="O152" i="3"/>
  <c r="P152" i="3" s="1"/>
  <c r="U155" i="3"/>
  <c r="H155" i="3"/>
  <c r="R155" i="3" s="1"/>
  <c r="U7" i="3"/>
  <c r="H7" i="3"/>
  <c r="R7" i="3" s="1"/>
  <c r="H114" i="3"/>
  <c r="R114" i="3" s="1"/>
  <c r="U114" i="3"/>
  <c r="S398" i="3"/>
  <c r="T398" i="3"/>
  <c r="I398" i="3"/>
  <c r="N398" i="3"/>
  <c r="J398" i="3"/>
  <c r="O262" i="3"/>
  <c r="P262" i="3"/>
  <c r="S383" i="3"/>
  <c r="T383" i="3"/>
  <c r="N383" i="3"/>
  <c r="I383" i="3"/>
  <c r="J383" i="3"/>
  <c r="U340" i="3"/>
  <c r="H340" i="3"/>
  <c r="R340" i="3" s="1"/>
  <c r="H24" i="3"/>
  <c r="R24" i="3" s="1"/>
  <c r="U24" i="3"/>
  <c r="O189" i="3"/>
  <c r="P189" i="3"/>
  <c r="O173" i="3"/>
  <c r="P173" i="3"/>
  <c r="T405" i="3"/>
  <c r="S405" i="3"/>
  <c r="I405" i="3"/>
  <c r="J405" i="3"/>
  <c r="N405" i="3"/>
  <c r="O44" i="3"/>
  <c r="P44" i="3" s="1"/>
  <c r="U164" i="3"/>
  <c r="H164" i="3"/>
  <c r="R164" i="3" s="1"/>
  <c r="I350" i="3"/>
  <c r="T350" i="3"/>
  <c r="S350" i="3"/>
  <c r="N350" i="3"/>
  <c r="J350" i="3"/>
  <c r="R418" i="3"/>
  <c r="H40" i="3"/>
  <c r="R40" i="3" s="1"/>
  <c r="U40" i="3"/>
  <c r="O270" i="3"/>
  <c r="P270" i="3" s="1"/>
  <c r="H281" i="3"/>
  <c r="R281" i="3" s="1"/>
  <c r="U281" i="3"/>
  <c r="O430" i="3"/>
  <c r="P430" i="3"/>
  <c r="O374" i="3"/>
  <c r="P374" i="3"/>
  <c r="U390" i="3"/>
  <c r="H390" i="3"/>
  <c r="R390" i="3" s="1"/>
  <c r="U238" i="3"/>
  <c r="H238" i="3"/>
  <c r="R238" i="3" s="1"/>
  <c r="I367" i="3"/>
  <c r="S367" i="3"/>
  <c r="T367" i="3"/>
  <c r="J367" i="3"/>
  <c r="N367" i="3"/>
  <c r="U300" i="3"/>
  <c r="H300" i="3"/>
  <c r="R300" i="3" s="1"/>
  <c r="U93" i="3"/>
  <c r="H93" i="3"/>
  <c r="R93" i="3" s="1"/>
  <c r="H11" i="3"/>
  <c r="R11" i="3" s="1"/>
  <c r="U11" i="3"/>
  <c r="H35" i="3"/>
  <c r="R35" i="3" s="1"/>
  <c r="U35" i="3"/>
  <c r="U28" i="3"/>
  <c r="H28" i="3"/>
  <c r="R28" i="3" s="1"/>
  <c r="H286" i="3"/>
  <c r="R286" i="3" s="1"/>
  <c r="U286" i="3"/>
  <c r="O300" i="3"/>
  <c r="P300" i="3" s="1"/>
  <c r="U61" i="3"/>
  <c r="H61" i="3"/>
  <c r="R61" i="3" s="1"/>
  <c r="H99" i="3"/>
  <c r="R99" i="3" s="1"/>
  <c r="U99" i="3"/>
  <c r="H32" i="3"/>
  <c r="R32" i="3" s="1"/>
  <c r="U32" i="3"/>
  <c r="H68" i="3"/>
  <c r="R68" i="3" s="1"/>
  <c r="U68" i="3"/>
  <c r="O114" i="3"/>
  <c r="P114" i="3" s="1"/>
  <c r="O190" i="3"/>
  <c r="P190" i="3"/>
  <c r="U134" i="3"/>
  <c r="H134" i="3"/>
  <c r="R134" i="3" s="1"/>
  <c r="H173" i="3"/>
  <c r="R173" i="3" s="1"/>
  <c r="U173" i="3"/>
  <c r="T79" i="3"/>
  <c r="I79" i="3"/>
  <c r="N79" i="3"/>
  <c r="J79" i="3"/>
  <c r="S79" i="3"/>
  <c r="P112" i="3"/>
  <c r="O112" i="3"/>
  <c r="H193" i="3"/>
  <c r="R193" i="3" s="1"/>
  <c r="U193" i="3"/>
  <c r="F378" i="3"/>
  <c r="F442" i="3"/>
  <c r="F417" i="3"/>
  <c r="R324" i="3"/>
  <c r="S141" i="3"/>
  <c r="T141" i="3"/>
  <c r="I141" i="3"/>
  <c r="N141" i="3"/>
  <c r="J141" i="3"/>
  <c r="I98" i="3"/>
  <c r="J98" i="3"/>
  <c r="N98" i="3"/>
  <c r="S98" i="3"/>
  <c r="T98" i="3"/>
  <c r="H81" i="3"/>
  <c r="R81" i="3" s="1"/>
  <c r="U81" i="3"/>
  <c r="O146" i="3"/>
  <c r="P146" i="3"/>
  <c r="H153" i="3"/>
  <c r="R153" i="3" s="1"/>
  <c r="U153" i="3"/>
  <c r="P214" i="3"/>
  <c r="O214" i="3"/>
  <c r="H243" i="3"/>
  <c r="R243" i="3" s="1"/>
  <c r="U243" i="3"/>
  <c r="R207" i="3"/>
  <c r="U292" i="3"/>
  <c r="H292" i="3"/>
  <c r="R292" i="3" s="1"/>
  <c r="U41" i="3"/>
  <c r="H41" i="3"/>
  <c r="R41" i="3" s="1"/>
  <c r="F343" i="3"/>
  <c r="H180" i="3"/>
  <c r="R180" i="3" s="1"/>
  <c r="U180" i="3"/>
  <c r="O293" i="3"/>
  <c r="P293" i="3"/>
  <c r="J391" i="3"/>
  <c r="S391" i="3"/>
  <c r="T391" i="3"/>
  <c r="I391" i="3"/>
  <c r="N391" i="3"/>
  <c r="O330" i="3"/>
  <c r="P330" i="3"/>
  <c r="O48" i="3"/>
  <c r="P48" i="3" s="1"/>
  <c r="H189" i="3"/>
  <c r="R189" i="3" s="1"/>
  <c r="U189" i="3"/>
  <c r="U327" i="3"/>
  <c r="H327" i="3"/>
  <c r="R327" i="3" s="1"/>
  <c r="R112" i="3"/>
  <c r="U314" i="3"/>
  <c r="H314" i="3"/>
  <c r="R314" i="3" s="1"/>
  <c r="H270" i="3"/>
  <c r="R270" i="3" s="1"/>
  <c r="U270" i="3"/>
  <c r="N354" i="3"/>
  <c r="I354" i="3"/>
  <c r="J354" i="3"/>
  <c r="S354" i="3"/>
  <c r="T354" i="3"/>
  <c r="O311" i="3"/>
  <c r="P311" i="3" s="1"/>
  <c r="R224" i="3"/>
  <c r="H183" i="3"/>
  <c r="R183" i="3" s="1"/>
  <c r="U183" i="3"/>
  <c r="O338" i="3"/>
  <c r="P338" i="3" s="1"/>
  <c r="O192" i="3"/>
  <c r="P192" i="3" s="1"/>
  <c r="O447" i="3"/>
  <c r="P447" i="3"/>
  <c r="O213" i="3"/>
  <c r="P213" i="3"/>
  <c r="T76" i="3"/>
  <c r="J76" i="3"/>
  <c r="N76" i="3"/>
  <c r="I76" i="3"/>
  <c r="S76" i="3"/>
  <c r="O185" i="3"/>
  <c r="P185" i="3"/>
  <c r="O83" i="3"/>
  <c r="P83" i="3"/>
  <c r="U144" i="3"/>
  <c r="H144" i="3"/>
  <c r="R144" i="3" s="1"/>
  <c r="U26" i="3"/>
  <c r="H26" i="3"/>
  <c r="R26" i="3" s="1"/>
  <c r="O340" i="3"/>
  <c r="P340" i="3"/>
  <c r="U169" i="3"/>
  <c r="H169" i="3"/>
  <c r="R169" i="3" s="1"/>
  <c r="O186" i="3"/>
  <c r="P186" i="3"/>
  <c r="H170" i="3"/>
  <c r="R170" i="3" s="1"/>
  <c r="U170" i="3"/>
  <c r="H87" i="3"/>
  <c r="R87" i="3" s="1"/>
  <c r="U87" i="3"/>
  <c r="U5" i="3"/>
  <c r="H5" i="3"/>
  <c r="R5" i="3" s="1"/>
  <c r="U208" i="3"/>
  <c r="H208" i="3"/>
  <c r="R208" i="3" s="1"/>
  <c r="R163" i="3"/>
  <c r="O292" i="3"/>
  <c r="P292" i="3" s="1"/>
  <c r="O22" i="3"/>
  <c r="P22" i="3" s="1"/>
  <c r="H262" i="3"/>
  <c r="R262" i="3" s="1"/>
  <c r="U262" i="3"/>
  <c r="O180" i="3"/>
  <c r="P180" i="3"/>
  <c r="H299" i="3"/>
  <c r="R299" i="3" s="1"/>
  <c r="U299" i="3"/>
  <c r="R223" i="3"/>
  <c r="F410" i="3"/>
  <c r="H44" i="3"/>
  <c r="R44" i="3" s="1"/>
  <c r="U44" i="3"/>
  <c r="T368" i="3"/>
  <c r="I368" i="3"/>
  <c r="J368" i="3"/>
  <c r="N368" i="3"/>
  <c r="S368" i="3"/>
  <c r="H211" i="3"/>
  <c r="R211" i="3" s="1"/>
  <c r="U211" i="3"/>
  <c r="O314" i="3"/>
  <c r="P314" i="3" s="1"/>
  <c r="F422" i="3"/>
  <c r="I346" i="3"/>
  <c r="N346" i="3"/>
  <c r="J346" i="3"/>
  <c r="S346" i="3"/>
  <c r="T346" i="3"/>
  <c r="O294" i="3"/>
  <c r="P294" i="3" s="1"/>
  <c r="O333" i="3"/>
  <c r="P333" i="3"/>
  <c r="U143" i="3"/>
  <c r="H143" i="3"/>
  <c r="R143" i="3" s="1"/>
  <c r="U404" i="3"/>
  <c r="H404" i="3"/>
  <c r="R404" i="3" s="1"/>
  <c r="H311" i="3"/>
  <c r="R311" i="3" s="1"/>
  <c r="U311" i="3"/>
  <c r="F446" i="3"/>
  <c r="I426" i="3"/>
  <c r="J426" i="3"/>
  <c r="T426" i="3"/>
  <c r="S426" i="3"/>
  <c r="N426" i="3"/>
  <c r="O194" i="3"/>
  <c r="P194" i="3" s="1"/>
  <c r="R397" i="3"/>
  <c r="R364" i="3"/>
  <c r="U318" i="3"/>
  <c r="H318" i="3"/>
  <c r="R318" i="3" s="1"/>
  <c r="U240" i="3"/>
  <c r="H240" i="3"/>
  <c r="R240" i="3" s="1"/>
  <c r="O419" i="3"/>
  <c r="P419" i="3" s="1"/>
  <c r="J411" i="3"/>
  <c r="N411" i="3"/>
  <c r="I411" i="3"/>
  <c r="S411" i="3"/>
  <c r="T411" i="3"/>
  <c r="H225" i="3"/>
  <c r="R225" i="3" s="1"/>
  <c r="U225" i="3"/>
  <c r="U381" i="3"/>
  <c r="H381" i="3"/>
  <c r="R381" i="3" s="1"/>
  <c r="U131" i="3"/>
  <c r="H131" i="3"/>
  <c r="R131" i="3" s="1"/>
  <c r="H190" i="3"/>
  <c r="R190" i="3" s="1"/>
  <c r="U190" i="3"/>
  <c r="I402" i="3"/>
  <c r="J402" i="3"/>
  <c r="T402" i="3"/>
  <c r="S402" i="3"/>
  <c r="N402" i="3"/>
  <c r="U419" i="3"/>
  <c r="H419" i="3"/>
  <c r="R419" i="3" s="1"/>
  <c r="O126" i="3"/>
  <c r="P126" i="3"/>
  <c r="R199" i="3"/>
  <c r="O36" i="3"/>
  <c r="P36" i="3" s="1"/>
  <c r="U48" i="3"/>
  <c r="H48" i="3"/>
  <c r="R48" i="3" s="1"/>
  <c r="O439" i="3"/>
  <c r="P439" i="3"/>
  <c r="O142" i="3"/>
  <c r="P142" i="3" s="1"/>
  <c r="H319" i="3"/>
  <c r="R319" i="3" s="1"/>
  <c r="U319" i="3"/>
  <c r="U196" i="3"/>
  <c r="H196" i="3"/>
  <c r="R196" i="3" s="1"/>
  <c r="O143" i="3"/>
  <c r="P143" i="3" s="1"/>
  <c r="O258" i="3"/>
  <c r="P258" i="3"/>
  <c r="O404" i="3"/>
  <c r="P404" i="3"/>
  <c r="F363" i="3"/>
  <c r="N452" i="3"/>
  <c r="J452" i="3"/>
  <c r="S452" i="3"/>
  <c r="T452" i="3"/>
  <c r="I452" i="3"/>
  <c r="O183" i="3"/>
  <c r="P183" i="3" s="1"/>
  <c r="O267" i="3"/>
  <c r="P267" i="3"/>
  <c r="F429" i="3"/>
  <c r="R284" i="3"/>
  <c r="T84" i="3"/>
  <c r="N84" i="3"/>
  <c r="J84" i="3"/>
  <c r="I84" i="3"/>
  <c r="S84" i="3"/>
  <c r="H166" i="3"/>
  <c r="R166" i="3" s="1"/>
  <c r="U166" i="3"/>
  <c r="O277" i="3"/>
  <c r="P277" i="3" s="1"/>
  <c r="H308" i="3"/>
  <c r="R308" i="3" s="1"/>
  <c r="U308" i="3"/>
  <c r="O234" i="3"/>
  <c r="P234" i="3" s="1"/>
  <c r="P35" i="3"/>
  <c r="O35" i="3"/>
  <c r="O166" i="3"/>
  <c r="P166" i="3" s="1"/>
  <c r="H31" i="3"/>
  <c r="R31" i="3" s="1"/>
  <c r="U31" i="3"/>
  <c r="U78" i="3"/>
  <c r="H78" i="3"/>
  <c r="R78" i="3" s="1"/>
  <c r="U156" i="3"/>
  <c r="H156" i="3"/>
  <c r="R156" i="3" s="1"/>
  <c r="U257" i="3"/>
  <c r="H257" i="3"/>
  <c r="R257" i="3" s="1"/>
  <c r="F415" i="3"/>
  <c r="U16" i="3"/>
  <c r="H16" i="3"/>
  <c r="R16" i="3" s="1"/>
  <c r="S379" i="3"/>
  <c r="J379" i="3"/>
  <c r="I379" i="3"/>
  <c r="T379" i="3"/>
  <c r="N379" i="3"/>
  <c r="I97" i="3"/>
  <c r="J97" i="3"/>
  <c r="S97" i="3"/>
  <c r="N97" i="3"/>
  <c r="T97" i="3"/>
  <c r="H268" i="3"/>
  <c r="R268" i="3" s="1"/>
  <c r="U268" i="3"/>
  <c r="O17" i="3"/>
  <c r="P17" i="3"/>
  <c r="O305" i="3"/>
  <c r="P305" i="3" s="1"/>
  <c r="H50" i="3"/>
  <c r="R50" i="3" s="1"/>
  <c r="U50" i="3"/>
  <c r="H43" i="3"/>
  <c r="R43" i="3" s="1"/>
  <c r="U43" i="3"/>
  <c r="O199" i="3"/>
  <c r="P199" i="3" s="1"/>
  <c r="O51" i="3"/>
  <c r="P51" i="3" s="1"/>
  <c r="P252" i="3"/>
  <c r="O252" i="3"/>
  <c r="O170" i="3"/>
  <c r="P170" i="3"/>
  <c r="U19" i="3"/>
  <c r="H19" i="3"/>
  <c r="R19" i="3" s="1"/>
  <c r="O5" i="3"/>
  <c r="P5" i="3"/>
  <c r="S421" i="3"/>
  <c r="T421" i="3"/>
  <c r="I421" i="3"/>
  <c r="J421" i="3"/>
  <c r="N421" i="3"/>
  <c r="U90" i="3"/>
  <c r="H90" i="3"/>
  <c r="R90" i="3" s="1"/>
  <c r="U330" i="3"/>
  <c r="H330" i="3"/>
  <c r="R330" i="3" s="1"/>
  <c r="P65" i="3"/>
  <c r="O65" i="3"/>
  <c r="O357" i="3"/>
  <c r="P357" i="3" s="1"/>
  <c r="H140" i="3"/>
  <c r="R140" i="3" s="1"/>
  <c r="U140" i="3"/>
  <c r="O196" i="3"/>
  <c r="P196" i="3" s="1"/>
  <c r="H333" i="3"/>
  <c r="R333" i="3" s="1"/>
  <c r="U333" i="3"/>
  <c r="U258" i="3"/>
  <c r="H258" i="3"/>
  <c r="R258" i="3" s="1"/>
  <c r="H352" i="3"/>
  <c r="R352" i="3" s="1"/>
  <c r="U352" i="3"/>
  <c r="U194" i="3"/>
  <c r="H194" i="3"/>
  <c r="R194" i="3" s="1"/>
  <c r="U149" i="3"/>
  <c r="H149" i="3"/>
  <c r="R149" i="3" s="1"/>
  <c r="O318" i="3"/>
  <c r="P318" i="3" s="1"/>
  <c r="T406" i="3"/>
  <c r="S406" i="3"/>
  <c r="J406" i="3"/>
  <c r="N406" i="3"/>
  <c r="I406" i="3"/>
  <c r="O240" i="3"/>
  <c r="P240" i="3"/>
  <c r="R269" i="3"/>
  <c r="U30" i="3"/>
  <c r="H30" i="3"/>
  <c r="R30" i="3" s="1"/>
  <c r="O110" i="3"/>
  <c r="P110" i="3"/>
  <c r="O45" i="3"/>
  <c r="P45" i="3"/>
  <c r="U108" i="3"/>
  <c r="H108" i="3"/>
  <c r="R108" i="3" s="1"/>
  <c r="T58" i="3"/>
  <c r="I58" i="3"/>
  <c r="J58" i="3"/>
  <c r="S58" i="3"/>
  <c r="N58" i="3"/>
  <c r="U47" i="3"/>
  <c r="H47" i="3"/>
  <c r="R47" i="3" s="1"/>
  <c r="H83" i="3"/>
  <c r="R83" i="3" s="1"/>
  <c r="U83" i="3"/>
  <c r="O244" i="3"/>
  <c r="P244" i="3" s="1"/>
  <c r="U67" i="3"/>
  <c r="H67" i="3"/>
  <c r="R67" i="3" s="1"/>
  <c r="U335" i="3"/>
  <c r="H335" i="3"/>
  <c r="R335" i="3" s="1"/>
  <c r="U214" i="3"/>
  <c r="H214" i="3"/>
  <c r="R214" i="3" s="1"/>
  <c r="O249" i="3"/>
  <c r="P249" i="3"/>
  <c r="U291" i="3"/>
  <c r="H291" i="3"/>
  <c r="R291" i="3" s="1"/>
  <c r="U293" i="3"/>
  <c r="H293" i="3"/>
  <c r="R293" i="3" s="1"/>
  <c r="J119" i="3"/>
  <c r="I119" i="3"/>
  <c r="N119" i="3"/>
  <c r="T119" i="3"/>
  <c r="S119" i="3"/>
  <c r="H15" i="3"/>
  <c r="R15" i="3" s="1"/>
  <c r="U15" i="3"/>
  <c r="O37" i="3"/>
  <c r="P37" i="3"/>
  <c r="U204" i="3"/>
  <c r="H204" i="3"/>
  <c r="R204" i="3" s="1"/>
  <c r="O272" i="3"/>
  <c r="P272" i="3"/>
  <c r="U89" i="3"/>
  <c r="H89" i="3"/>
  <c r="R89" i="3" s="1"/>
  <c r="U188" i="3"/>
  <c r="H188" i="3"/>
  <c r="R188" i="3" s="1"/>
  <c r="P125" i="3"/>
  <c r="O125" i="3"/>
  <c r="I408" i="3"/>
  <c r="J408" i="3"/>
  <c r="S408" i="3"/>
  <c r="N408" i="3"/>
  <c r="T408" i="3"/>
  <c r="U103" i="3"/>
  <c r="H103" i="3"/>
  <c r="R103" i="3" s="1"/>
  <c r="O14" i="3"/>
  <c r="P14" i="3" s="1"/>
  <c r="O171" i="3"/>
  <c r="P171" i="3" s="1"/>
  <c r="U22" i="3"/>
  <c r="H22" i="3"/>
  <c r="R22" i="3" s="1"/>
  <c r="O291" i="3"/>
  <c r="P291" i="3" s="1"/>
  <c r="P198" i="3"/>
  <c r="O198" i="3"/>
  <c r="H226" i="3"/>
  <c r="R226" i="3" s="1"/>
  <c r="U226" i="3"/>
  <c r="P307" i="3"/>
  <c r="O307" i="3"/>
  <c r="U36" i="3"/>
  <c r="H36" i="3"/>
  <c r="R36" i="3" s="1"/>
  <c r="R249" i="3"/>
  <c r="F387" i="3"/>
  <c r="H65" i="3"/>
  <c r="R65" i="3" s="1"/>
  <c r="U65" i="3"/>
  <c r="U384" i="3"/>
  <c r="H384" i="3"/>
  <c r="R384" i="3" s="1"/>
  <c r="U295" i="3"/>
  <c r="H295" i="3"/>
  <c r="R295" i="3" s="1"/>
  <c r="O211" i="3"/>
  <c r="P211" i="3"/>
  <c r="T160" i="3"/>
  <c r="N160" i="3"/>
  <c r="I160" i="3"/>
  <c r="J160" i="3"/>
  <c r="S160" i="3"/>
  <c r="O352" i="3"/>
  <c r="P352" i="3"/>
  <c r="F433" i="3"/>
  <c r="R331" i="3"/>
  <c r="U370" i="3"/>
  <c r="H370" i="3"/>
  <c r="R370" i="3" s="1"/>
  <c r="F438" i="3"/>
  <c r="O149" i="3"/>
  <c r="P149" i="3" s="1"/>
  <c r="N436" i="3"/>
  <c r="S436" i="3"/>
  <c r="T436" i="3"/>
  <c r="I436" i="3"/>
  <c r="J436" i="3"/>
  <c r="U267" i="3"/>
  <c r="H267" i="3"/>
  <c r="R267" i="3" s="1"/>
  <c r="B452" i="11"/>
  <c r="AI10" i="11"/>
  <c r="AJ10" i="11"/>
  <c r="AI11" i="11"/>
  <c r="AJ11" i="11"/>
  <c r="AI12" i="11"/>
  <c r="AJ12" i="11"/>
  <c r="AI13" i="11"/>
  <c r="AJ13" i="11"/>
  <c r="AI14" i="11"/>
  <c r="AJ14" i="11"/>
  <c r="AI15" i="11"/>
  <c r="AJ15" i="11"/>
  <c r="AI16" i="11"/>
  <c r="AJ16" i="11"/>
  <c r="AI17" i="11"/>
  <c r="AJ17" i="11"/>
  <c r="AI18" i="11"/>
  <c r="AJ18" i="11"/>
  <c r="AI19" i="11"/>
  <c r="AJ19" i="11"/>
  <c r="AI20" i="11"/>
  <c r="AJ20" i="11"/>
  <c r="AI21" i="11"/>
  <c r="AJ21" i="11"/>
  <c r="AI22" i="11"/>
  <c r="AJ22" i="11"/>
  <c r="AI23" i="11"/>
  <c r="AJ23" i="11"/>
  <c r="AI24" i="11"/>
  <c r="AJ24" i="11"/>
  <c r="AI25" i="11"/>
  <c r="AJ25" i="11"/>
  <c r="AI26" i="11"/>
  <c r="AJ26" i="11"/>
  <c r="AI27" i="11"/>
  <c r="AJ27" i="11"/>
  <c r="AI28" i="11"/>
  <c r="AJ28" i="11"/>
  <c r="AI29" i="11"/>
  <c r="AJ29" i="11"/>
  <c r="AI30" i="11"/>
  <c r="AJ30" i="11"/>
  <c r="AI31" i="11"/>
  <c r="AJ31" i="11"/>
  <c r="AI32" i="11"/>
  <c r="AJ32" i="11"/>
  <c r="AI33" i="11"/>
  <c r="AJ33" i="11"/>
  <c r="AI34" i="11"/>
  <c r="AJ34" i="11"/>
  <c r="AI35" i="11"/>
  <c r="AJ35" i="11"/>
  <c r="AI36" i="11"/>
  <c r="AJ36" i="11"/>
  <c r="AI37" i="11"/>
  <c r="AJ37" i="11"/>
  <c r="AI38" i="11"/>
  <c r="AJ38" i="11"/>
  <c r="AI39" i="11"/>
  <c r="AJ39" i="11"/>
  <c r="AI40" i="11"/>
  <c r="AJ40" i="11"/>
  <c r="AI41" i="11"/>
  <c r="AJ41" i="11"/>
  <c r="AI42" i="11"/>
  <c r="AJ42" i="11"/>
  <c r="AI43" i="11"/>
  <c r="AJ43" i="11"/>
  <c r="AI44" i="11"/>
  <c r="AJ44" i="11"/>
  <c r="AI45" i="11"/>
  <c r="AJ45" i="11"/>
  <c r="AI46" i="11"/>
  <c r="AJ46" i="11"/>
  <c r="AI47" i="11"/>
  <c r="AJ47" i="11"/>
  <c r="AI48" i="11"/>
  <c r="AJ48" i="11"/>
  <c r="AI49" i="11"/>
  <c r="AJ49" i="11"/>
  <c r="AI50" i="11"/>
  <c r="AJ50" i="11"/>
  <c r="AI51" i="11"/>
  <c r="AJ51" i="11"/>
  <c r="AI52" i="11"/>
  <c r="AJ52" i="11"/>
  <c r="AI53" i="11"/>
  <c r="AJ53" i="11"/>
  <c r="AI54" i="11"/>
  <c r="AJ54" i="11"/>
  <c r="AI55" i="11"/>
  <c r="AJ55" i="11"/>
  <c r="AI56" i="11"/>
  <c r="AJ56" i="11"/>
  <c r="AI57" i="11"/>
  <c r="AJ57" i="11"/>
  <c r="AI58" i="11"/>
  <c r="AJ58" i="11"/>
  <c r="AI59" i="11"/>
  <c r="AJ59" i="11"/>
  <c r="AI60" i="11"/>
  <c r="AJ60" i="11"/>
  <c r="AI61" i="11"/>
  <c r="AJ61" i="11"/>
  <c r="AI62" i="11"/>
  <c r="AJ62" i="11"/>
  <c r="AI63" i="11"/>
  <c r="AJ63" i="11"/>
  <c r="AI64" i="11"/>
  <c r="AJ64" i="11"/>
  <c r="AI65" i="11"/>
  <c r="AJ65" i="11"/>
  <c r="AI66" i="11"/>
  <c r="AJ66" i="11"/>
  <c r="AI67" i="11"/>
  <c r="AJ67" i="11"/>
  <c r="AI68" i="11"/>
  <c r="AJ68" i="11"/>
  <c r="AI69" i="11"/>
  <c r="AJ69" i="11"/>
  <c r="AI70" i="11"/>
  <c r="AJ70" i="11"/>
  <c r="AI71" i="11"/>
  <c r="AJ71" i="11"/>
  <c r="AI72" i="11"/>
  <c r="AJ72" i="11"/>
  <c r="AI73" i="11"/>
  <c r="AJ73" i="11"/>
  <c r="AI74" i="11"/>
  <c r="AJ74" i="11"/>
  <c r="AI75" i="11"/>
  <c r="AJ75" i="11"/>
  <c r="AI76" i="11"/>
  <c r="AJ76" i="11"/>
  <c r="AI77" i="11"/>
  <c r="AJ77" i="11"/>
  <c r="AI78" i="11"/>
  <c r="AJ78" i="11"/>
  <c r="AI79" i="11"/>
  <c r="AJ79" i="11"/>
  <c r="AI80" i="11"/>
  <c r="AJ80" i="11"/>
  <c r="AI81" i="11"/>
  <c r="AJ81" i="11"/>
  <c r="AI82" i="11"/>
  <c r="AJ82" i="11"/>
  <c r="AI83" i="11"/>
  <c r="AJ83" i="11"/>
  <c r="AI84" i="11"/>
  <c r="AJ84" i="11"/>
  <c r="AI85" i="11"/>
  <c r="AJ85" i="11"/>
  <c r="AI86" i="11"/>
  <c r="AJ86" i="11"/>
  <c r="AI87" i="11"/>
  <c r="AJ87" i="11"/>
  <c r="AI88" i="11"/>
  <c r="AJ88" i="11"/>
  <c r="AI89" i="11"/>
  <c r="AJ89" i="11"/>
  <c r="AI90" i="11"/>
  <c r="AJ90" i="11"/>
  <c r="AI91" i="11"/>
  <c r="AJ91" i="11"/>
  <c r="AI92" i="11"/>
  <c r="AJ92" i="11"/>
  <c r="AI93" i="11"/>
  <c r="AJ93" i="11"/>
  <c r="AI94" i="11"/>
  <c r="AJ94" i="11"/>
  <c r="AI95" i="11"/>
  <c r="AJ95" i="11"/>
  <c r="AI96" i="11"/>
  <c r="AJ96" i="11"/>
  <c r="AI97" i="11"/>
  <c r="AJ97" i="11"/>
  <c r="AI98" i="11"/>
  <c r="AJ98" i="11"/>
  <c r="AI99" i="11"/>
  <c r="AJ99" i="11"/>
  <c r="AI100" i="11"/>
  <c r="AJ100" i="11"/>
  <c r="AI101" i="11"/>
  <c r="AJ101" i="11"/>
  <c r="AI102" i="11"/>
  <c r="AJ102" i="11"/>
  <c r="AI103" i="11"/>
  <c r="AJ103" i="11"/>
  <c r="AI104" i="11"/>
  <c r="AJ104" i="11"/>
  <c r="AI105" i="11"/>
  <c r="AJ105" i="11"/>
  <c r="AI106" i="11"/>
  <c r="AJ106" i="11"/>
  <c r="AI107" i="11"/>
  <c r="AJ107" i="11"/>
  <c r="AI108" i="11"/>
  <c r="AJ108" i="11"/>
  <c r="AI109" i="11"/>
  <c r="AJ109" i="11"/>
  <c r="AI110" i="11"/>
  <c r="AJ110" i="11"/>
  <c r="AI111" i="11"/>
  <c r="AJ111" i="11"/>
  <c r="AI112" i="11"/>
  <c r="AJ112" i="11"/>
  <c r="AI113" i="11"/>
  <c r="AJ113" i="11"/>
  <c r="AI114" i="11"/>
  <c r="AJ114" i="11"/>
  <c r="AI115" i="11"/>
  <c r="AJ115" i="11"/>
  <c r="AI116" i="11"/>
  <c r="AJ116" i="11"/>
  <c r="AI117" i="11"/>
  <c r="AJ117" i="11"/>
  <c r="AI118" i="11"/>
  <c r="AJ118" i="11"/>
  <c r="AI119" i="11"/>
  <c r="AJ119" i="11"/>
  <c r="AI120" i="11"/>
  <c r="AJ120" i="11"/>
  <c r="AI121" i="11"/>
  <c r="AJ121" i="11"/>
  <c r="AI122" i="11"/>
  <c r="AJ122" i="11"/>
  <c r="AI123" i="11"/>
  <c r="AJ123" i="11"/>
  <c r="AI124" i="11"/>
  <c r="AJ124" i="11"/>
  <c r="AI125" i="11"/>
  <c r="AJ125" i="11"/>
  <c r="AI126" i="11"/>
  <c r="AJ126" i="11"/>
  <c r="AI127" i="11"/>
  <c r="AJ127" i="11"/>
  <c r="AI128" i="11"/>
  <c r="AJ128" i="11"/>
  <c r="AI129" i="11"/>
  <c r="AJ129" i="11"/>
  <c r="AI130" i="11"/>
  <c r="AJ130" i="11"/>
  <c r="AI131" i="11"/>
  <c r="AJ131" i="11"/>
  <c r="AI132" i="11"/>
  <c r="AJ132" i="11"/>
  <c r="AI133" i="11"/>
  <c r="AJ133" i="11"/>
  <c r="AI134" i="11"/>
  <c r="AJ134" i="11"/>
  <c r="AI135" i="11"/>
  <c r="AJ135" i="11"/>
  <c r="AI136" i="11"/>
  <c r="AJ136" i="11"/>
  <c r="AI137" i="11"/>
  <c r="AJ137" i="11"/>
  <c r="AI138" i="11"/>
  <c r="AJ138" i="11"/>
  <c r="AI139" i="11"/>
  <c r="AJ139" i="11"/>
  <c r="AI140" i="11"/>
  <c r="AJ140" i="11"/>
  <c r="AI141" i="11"/>
  <c r="AJ141" i="11"/>
  <c r="AI142" i="11"/>
  <c r="AJ142" i="11"/>
  <c r="AI143" i="11"/>
  <c r="AJ143" i="11"/>
  <c r="AI144" i="11"/>
  <c r="AJ144" i="11"/>
  <c r="AI145" i="11"/>
  <c r="AJ145" i="11"/>
  <c r="AI146" i="11"/>
  <c r="AJ146" i="11"/>
  <c r="AI147" i="11"/>
  <c r="AJ147" i="11"/>
  <c r="AI148" i="11"/>
  <c r="AJ148" i="11"/>
  <c r="AI149" i="11"/>
  <c r="AJ149" i="11"/>
  <c r="AI150" i="11"/>
  <c r="AJ150" i="11"/>
  <c r="AI151" i="11"/>
  <c r="AJ151" i="11"/>
  <c r="AI152" i="11"/>
  <c r="AJ152" i="11"/>
  <c r="AI153" i="11"/>
  <c r="AJ153" i="11"/>
  <c r="AI154" i="11"/>
  <c r="AJ154" i="11"/>
  <c r="AI155" i="11"/>
  <c r="AJ155" i="11"/>
  <c r="AI156" i="11"/>
  <c r="AJ156" i="11"/>
  <c r="AI157" i="11"/>
  <c r="AJ157" i="11"/>
  <c r="AI158" i="11"/>
  <c r="AJ158" i="11"/>
  <c r="AI159" i="11"/>
  <c r="AJ159" i="11"/>
  <c r="AI160" i="11"/>
  <c r="AJ160" i="11"/>
  <c r="AI161" i="11"/>
  <c r="AJ161" i="11"/>
  <c r="AI162" i="11"/>
  <c r="AJ162" i="11"/>
  <c r="AI163" i="11"/>
  <c r="AJ163" i="11"/>
  <c r="AI164" i="11"/>
  <c r="AJ164" i="11"/>
  <c r="AI165" i="11"/>
  <c r="AJ165" i="11"/>
  <c r="AI166" i="11"/>
  <c r="AJ166" i="11"/>
  <c r="AI167" i="11"/>
  <c r="AJ167" i="11"/>
  <c r="AI168" i="11"/>
  <c r="AJ168" i="11"/>
  <c r="AI169" i="11"/>
  <c r="AJ169" i="11"/>
  <c r="AI170" i="11"/>
  <c r="AJ170" i="11"/>
  <c r="AI171" i="11"/>
  <c r="AJ171" i="11"/>
  <c r="AI172" i="11"/>
  <c r="AJ172" i="11"/>
  <c r="AI173" i="11"/>
  <c r="AJ173" i="11"/>
  <c r="AI174" i="11"/>
  <c r="AJ174" i="11"/>
  <c r="AI175" i="11"/>
  <c r="AJ175" i="11"/>
  <c r="AI176" i="11"/>
  <c r="AJ176" i="11"/>
  <c r="AI177" i="11"/>
  <c r="AJ177" i="11"/>
  <c r="AI178" i="11"/>
  <c r="AJ178" i="11"/>
  <c r="AI179" i="11"/>
  <c r="AJ179" i="11"/>
  <c r="AI180" i="11"/>
  <c r="AJ180" i="11"/>
  <c r="AI181" i="11"/>
  <c r="AJ181" i="11"/>
  <c r="AI182" i="11"/>
  <c r="AJ182" i="11"/>
  <c r="AI183" i="11"/>
  <c r="AJ183" i="11"/>
  <c r="AI184" i="11"/>
  <c r="AJ184" i="11"/>
  <c r="AI185" i="11"/>
  <c r="AJ185" i="11"/>
  <c r="AI186" i="11"/>
  <c r="AJ186" i="11"/>
  <c r="AI187" i="11"/>
  <c r="AJ187" i="11"/>
  <c r="AI188" i="11"/>
  <c r="AJ188" i="11"/>
  <c r="AI189" i="11"/>
  <c r="AJ189" i="11"/>
  <c r="AI190" i="11"/>
  <c r="AJ190" i="11"/>
  <c r="AI191" i="11"/>
  <c r="AJ191" i="11"/>
  <c r="AI192" i="11"/>
  <c r="AJ192" i="11"/>
  <c r="AI193" i="11"/>
  <c r="AJ193" i="11"/>
  <c r="AI194" i="11"/>
  <c r="AJ194" i="11"/>
  <c r="AI195" i="11"/>
  <c r="AJ195" i="11"/>
  <c r="AI196" i="11"/>
  <c r="AJ196" i="11"/>
  <c r="AI197" i="11"/>
  <c r="AJ197" i="11"/>
  <c r="AI198" i="11"/>
  <c r="AJ198" i="11"/>
  <c r="AI199" i="11"/>
  <c r="AJ199" i="11"/>
  <c r="AI200" i="11"/>
  <c r="AJ200" i="11"/>
  <c r="AI201" i="11"/>
  <c r="AJ201" i="11"/>
  <c r="AI202" i="11"/>
  <c r="AJ202" i="11"/>
  <c r="AI203" i="11"/>
  <c r="AJ203" i="11"/>
  <c r="AI204" i="11"/>
  <c r="AJ204" i="11"/>
  <c r="AI205" i="11"/>
  <c r="AJ205" i="11"/>
  <c r="AI206" i="11"/>
  <c r="AJ206" i="11"/>
  <c r="AI207" i="11"/>
  <c r="AJ207" i="11"/>
  <c r="AI208" i="11"/>
  <c r="AJ208" i="11"/>
  <c r="AI209" i="11"/>
  <c r="AJ209" i="11"/>
  <c r="AI210" i="11"/>
  <c r="AJ210" i="11"/>
  <c r="AI211" i="11"/>
  <c r="AJ211" i="11"/>
  <c r="AI212" i="11"/>
  <c r="AJ212" i="11"/>
  <c r="AI213" i="11"/>
  <c r="AJ213" i="11"/>
  <c r="AI214" i="11"/>
  <c r="AJ214" i="11"/>
  <c r="AI215" i="11"/>
  <c r="AJ215" i="11"/>
  <c r="AI216" i="11"/>
  <c r="AJ216" i="11"/>
  <c r="AI217" i="11"/>
  <c r="AJ217" i="11"/>
  <c r="AI218" i="11"/>
  <c r="AJ218" i="11"/>
  <c r="AI219" i="11"/>
  <c r="AJ219" i="11"/>
  <c r="AI220" i="11"/>
  <c r="AJ220" i="11"/>
  <c r="AI221" i="11"/>
  <c r="AJ221" i="11"/>
  <c r="AI222" i="11"/>
  <c r="AJ222" i="11"/>
  <c r="AI223" i="11"/>
  <c r="AJ223" i="11"/>
  <c r="AI224" i="11"/>
  <c r="AJ224" i="11"/>
  <c r="AI225" i="11"/>
  <c r="AJ225" i="11"/>
  <c r="AI226" i="11"/>
  <c r="AJ226" i="11"/>
  <c r="AI227" i="11"/>
  <c r="AJ227" i="11"/>
  <c r="AI228" i="11"/>
  <c r="AJ228" i="11"/>
  <c r="AI229" i="11"/>
  <c r="AJ229" i="11"/>
  <c r="AI230" i="11"/>
  <c r="AJ230" i="11"/>
  <c r="AI231" i="11"/>
  <c r="AJ231" i="11"/>
  <c r="AI232" i="11"/>
  <c r="AJ232" i="11"/>
  <c r="AI233" i="11"/>
  <c r="AJ233" i="11"/>
  <c r="AI234" i="11"/>
  <c r="AJ234" i="11"/>
  <c r="AI235" i="11"/>
  <c r="AJ235" i="11"/>
  <c r="AI236" i="11"/>
  <c r="AJ236" i="11"/>
  <c r="AI237" i="11"/>
  <c r="AJ237" i="11"/>
  <c r="AI238" i="11"/>
  <c r="AJ238" i="11"/>
  <c r="AI239" i="11"/>
  <c r="AJ239" i="11"/>
  <c r="AI240" i="11"/>
  <c r="AJ240" i="11"/>
  <c r="AI241" i="11"/>
  <c r="AJ241" i="11"/>
  <c r="AI242" i="11"/>
  <c r="AJ242" i="11"/>
  <c r="AI243" i="11"/>
  <c r="AJ243" i="11"/>
  <c r="AI244" i="11"/>
  <c r="AJ244" i="11"/>
  <c r="AI245" i="11"/>
  <c r="AJ245" i="11"/>
  <c r="AI246" i="11"/>
  <c r="AJ246" i="11"/>
  <c r="AI247" i="11"/>
  <c r="AJ247" i="11"/>
  <c r="AI248" i="11"/>
  <c r="AJ248" i="11"/>
  <c r="AI249" i="11"/>
  <c r="AJ249" i="11"/>
  <c r="AI250" i="11"/>
  <c r="AJ250" i="11"/>
  <c r="AI251" i="11"/>
  <c r="AJ251" i="11"/>
  <c r="AI252" i="11"/>
  <c r="AJ252" i="11"/>
  <c r="AI253" i="11"/>
  <c r="AJ253" i="11"/>
  <c r="AI254" i="11"/>
  <c r="AJ254" i="11"/>
  <c r="AI255" i="11"/>
  <c r="AJ255" i="11"/>
  <c r="AI256" i="11"/>
  <c r="AJ256" i="11"/>
  <c r="AI257" i="11"/>
  <c r="AJ257" i="11"/>
  <c r="AI258" i="11"/>
  <c r="AJ258" i="11"/>
  <c r="AI259" i="11"/>
  <c r="AJ259" i="11"/>
  <c r="AI260" i="11"/>
  <c r="AJ260" i="11"/>
  <c r="AI261" i="11"/>
  <c r="AJ261" i="11"/>
  <c r="AI262" i="11"/>
  <c r="AJ262" i="11"/>
  <c r="AI263" i="11"/>
  <c r="AJ263" i="11"/>
  <c r="AI264" i="11"/>
  <c r="AJ264" i="11"/>
  <c r="AI265" i="11"/>
  <c r="AJ265" i="11"/>
  <c r="AI266" i="11"/>
  <c r="AJ266" i="11"/>
  <c r="AI267" i="11"/>
  <c r="AJ267" i="11"/>
  <c r="AI268" i="11"/>
  <c r="AJ268" i="11"/>
  <c r="AI269" i="11"/>
  <c r="AJ269" i="11"/>
  <c r="AI270" i="11"/>
  <c r="AJ270" i="11"/>
  <c r="AI271" i="11"/>
  <c r="AJ271" i="11"/>
  <c r="AI272" i="11"/>
  <c r="AJ272" i="11"/>
  <c r="AI273" i="11"/>
  <c r="AJ273" i="11"/>
  <c r="AI274" i="11"/>
  <c r="AJ274" i="11"/>
  <c r="AI275" i="11"/>
  <c r="AJ275" i="11"/>
  <c r="AI276" i="11"/>
  <c r="AJ276" i="11"/>
  <c r="AI277" i="11"/>
  <c r="AJ277" i="11"/>
  <c r="AI278" i="11"/>
  <c r="AJ278" i="11"/>
  <c r="AI279" i="11"/>
  <c r="AJ279" i="11"/>
  <c r="AI280" i="11"/>
  <c r="AJ280" i="11"/>
  <c r="AI281" i="11"/>
  <c r="AJ281" i="11"/>
  <c r="AI282" i="11"/>
  <c r="AJ282" i="11"/>
  <c r="AI283" i="11"/>
  <c r="AJ283" i="11"/>
  <c r="AI284" i="11"/>
  <c r="AJ284" i="11"/>
  <c r="AI285" i="11"/>
  <c r="AJ285" i="11"/>
  <c r="AI286" i="11"/>
  <c r="AJ286" i="11"/>
  <c r="AI287" i="11"/>
  <c r="AJ287" i="11"/>
  <c r="AI288" i="11"/>
  <c r="AJ288" i="11"/>
  <c r="AI289" i="11"/>
  <c r="AJ289" i="11"/>
  <c r="AI290" i="11"/>
  <c r="AJ290" i="11"/>
  <c r="AI291" i="11"/>
  <c r="AJ291" i="11"/>
  <c r="AI292" i="11"/>
  <c r="AJ292" i="11"/>
  <c r="AI293" i="11"/>
  <c r="AJ293" i="11"/>
  <c r="AI294" i="11"/>
  <c r="AJ294" i="11"/>
  <c r="AI295" i="11"/>
  <c r="AJ295" i="11"/>
  <c r="AI296" i="11"/>
  <c r="AJ296" i="11"/>
  <c r="AI297" i="11"/>
  <c r="AJ297" i="11"/>
  <c r="AI298" i="11"/>
  <c r="AJ298" i="11"/>
  <c r="AI299" i="11"/>
  <c r="AJ299" i="11"/>
  <c r="AI300" i="11"/>
  <c r="AJ300" i="11"/>
  <c r="AI301" i="11"/>
  <c r="AJ301" i="11"/>
  <c r="AI302" i="11"/>
  <c r="AJ302" i="11"/>
  <c r="AI303" i="11"/>
  <c r="AJ303" i="11"/>
  <c r="AI304" i="11"/>
  <c r="AJ304" i="11"/>
  <c r="AI305" i="11"/>
  <c r="AJ305" i="11"/>
  <c r="AI306" i="11"/>
  <c r="AJ306" i="11"/>
  <c r="AI307" i="11"/>
  <c r="AJ307" i="11"/>
  <c r="AI308" i="11"/>
  <c r="AJ308" i="11"/>
  <c r="AI309" i="11"/>
  <c r="AJ309" i="11"/>
  <c r="AI310" i="11"/>
  <c r="AJ310" i="11"/>
  <c r="AI311" i="11"/>
  <c r="AJ311" i="11"/>
  <c r="AI312" i="11"/>
  <c r="AJ312" i="11"/>
  <c r="AI313" i="11"/>
  <c r="AJ313" i="11"/>
  <c r="AI314" i="11"/>
  <c r="AJ314" i="11"/>
  <c r="AI315" i="11"/>
  <c r="AJ315" i="11"/>
  <c r="AI316" i="11"/>
  <c r="AJ316" i="11"/>
  <c r="AI317" i="11"/>
  <c r="AJ317" i="11"/>
  <c r="AI318" i="11"/>
  <c r="AJ318" i="11"/>
  <c r="AI319" i="11"/>
  <c r="AJ319" i="11"/>
  <c r="AI320" i="11"/>
  <c r="AJ320" i="11"/>
  <c r="AI321" i="11"/>
  <c r="AJ321" i="11"/>
  <c r="AI322" i="11"/>
  <c r="AJ322" i="11"/>
  <c r="AI323" i="11"/>
  <c r="AJ323" i="11"/>
  <c r="AI324" i="11"/>
  <c r="AJ324" i="11"/>
  <c r="AI325" i="11"/>
  <c r="AJ325" i="11"/>
  <c r="AI326" i="11"/>
  <c r="AJ326" i="11"/>
  <c r="AI327" i="11"/>
  <c r="AJ327" i="11"/>
  <c r="AI328" i="11"/>
  <c r="AJ328" i="11"/>
  <c r="AI329" i="11"/>
  <c r="AJ329" i="11"/>
  <c r="AI330" i="11"/>
  <c r="AJ330" i="11"/>
  <c r="AI331" i="11"/>
  <c r="AJ331" i="11"/>
  <c r="AI332" i="11"/>
  <c r="AJ332" i="11"/>
  <c r="AI333" i="11"/>
  <c r="AJ333" i="11"/>
  <c r="AI334" i="11"/>
  <c r="AJ334" i="11"/>
  <c r="AI335" i="11"/>
  <c r="AJ335" i="11"/>
  <c r="AI336" i="11"/>
  <c r="AJ336" i="11"/>
  <c r="AI337" i="11"/>
  <c r="AJ337" i="11"/>
  <c r="AI338" i="11"/>
  <c r="AJ338" i="11"/>
  <c r="AI339" i="11"/>
  <c r="AJ339" i="11"/>
  <c r="AI340" i="11"/>
  <c r="AJ340" i="11"/>
  <c r="AI341" i="11"/>
  <c r="AJ341" i="11"/>
  <c r="AI342" i="11"/>
  <c r="AJ342" i="11"/>
  <c r="AI343" i="11"/>
  <c r="AJ343" i="11"/>
  <c r="AI344" i="11"/>
  <c r="AJ344" i="11"/>
  <c r="AI345" i="11"/>
  <c r="AJ345" i="11"/>
  <c r="AI346" i="11"/>
  <c r="AJ346" i="11"/>
  <c r="AI347" i="11"/>
  <c r="AJ347" i="11"/>
  <c r="AI348" i="11"/>
  <c r="AJ348" i="11"/>
  <c r="AI349" i="11"/>
  <c r="AJ349" i="11"/>
  <c r="AI350" i="11"/>
  <c r="AJ350" i="11"/>
  <c r="AI351" i="11"/>
  <c r="AJ351" i="11"/>
  <c r="AI352" i="11"/>
  <c r="AJ352" i="11"/>
  <c r="AI353" i="11"/>
  <c r="AJ353" i="11"/>
  <c r="AI354" i="11"/>
  <c r="AJ354" i="11"/>
  <c r="AI355" i="11"/>
  <c r="AJ355" i="11"/>
  <c r="AI356" i="11"/>
  <c r="AJ356" i="11"/>
  <c r="AI357" i="11"/>
  <c r="AJ357" i="11"/>
  <c r="AI358" i="11"/>
  <c r="AJ358" i="11"/>
  <c r="AI359" i="11"/>
  <c r="AJ359" i="11"/>
  <c r="AI360" i="11"/>
  <c r="AJ360" i="11"/>
  <c r="AI361" i="11"/>
  <c r="AJ361" i="11"/>
  <c r="AI362" i="11"/>
  <c r="AJ362" i="11"/>
  <c r="AI363" i="11"/>
  <c r="AJ363" i="11"/>
  <c r="AI364" i="11"/>
  <c r="AJ364" i="11"/>
  <c r="AI365" i="11"/>
  <c r="AJ365" i="11"/>
  <c r="AI366" i="11"/>
  <c r="AJ366" i="11"/>
  <c r="AI367" i="11"/>
  <c r="AJ367" i="11"/>
  <c r="AI368" i="11"/>
  <c r="AJ368" i="11"/>
  <c r="AI369" i="11"/>
  <c r="AJ369" i="11"/>
  <c r="AI370" i="11"/>
  <c r="AJ370" i="11"/>
  <c r="AI371" i="11"/>
  <c r="AJ371" i="11"/>
  <c r="AI372" i="11"/>
  <c r="AJ372" i="11"/>
  <c r="AI373" i="11"/>
  <c r="AJ373" i="11"/>
  <c r="AI374" i="11"/>
  <c r="AJ374" i="11"/>
  <c r="AI375" i="11"/>
  <c r="AJ375" i="11"/>
  <c r="AI376" i="11"/>
  <c r="AJ376" i="11"/>
  <c r="AI377" i="11"/>
  <c r="AJ377" i="11"/>
  <c r="AI378" i="11"/>
  <c r="AJ378" i="11"/>
  <c r="AI379" i="11"/>
  <c r="AJ379" i="11"/>
  <c r="AI380" i="11"/>
  <c r="AJ380" i="11"/>
  <c r="AI381" i="11"/>
  <c r="AJ381" i="11"/>
  <c r="AI382" i="11"/>
  <c r="AJ382" i="11"/>
  <c r="AI383" i="11"/>
  <c r="AJ383" i="11"/>
  <c r="AI384" i="11"/>
  <c r="AJ384" i="11"/>
  <c r="AI385" i="11"/>
  <c r="AJ385" i="11"/>
  <c r="AI386" i="11"/>
  <c r="AJ386" i="11"/>
  <c r="AI387" i="11"/>
  <c r="AJ387" i="11"/>
  <c r="AI388" i="11"/>
  <c r="AJ388" i="11"/>
  <c r="AI389" i="11"/>
  <c r="AJ389" i="11"/>
  <c r="AI390" i="11"/>
  <c r="AJ390" i="11"/>
  <c r="AI391" i="11"/>
  <c r="AJ391" i="11"/>
  <c r="AI392" i="11"/>
  <c r="AJ392" i="11"/>
  <c r="AI393" i="11"/>
  <c r="AJ393" i="11"/>
  <c r="AI394" i="11"/>
  <c r="AJ394" i="11"/>
  <c r="AI395" i="11"/>
  <c r="AJ395" i="11"/>
  <c r="AI396" i="11"/>
  <c r="AJ396" i="11"/>
  <c r="AI397" i="11"/>
  <c r="AJ397" i="11"/>
  <c r="AI398" i="11"/>
  <c r="AJ398" i="11"/>
  <c r="AI399" i="11"/>
  <c r="AJ399" i="11"/>
  <c r="AI400" i="11"/>
  <c r="AJ400" i="11"/>
  <c r="AI401" i="11"/>
  <c r="AJ401" i="11"/>
  <c r="AI402" i="11"/>
  <c r="AJ402" i="11"/>
  <c r="AI403" i="11"/>
  <c r="AJ403" i="11"/>
  <c r="AI404" i="11"/>
  <c r="AJ404" i="11"/>
  <c r="AI405" i="11"/>
  <c r="AJ405" i="11"/>
  <c r="AI406" i="11"/>
  <c r="AJ406" i="11"/>
  <c r="AI407" i="11"/>
  <c r="AJ407" i="11"/>
  <c r="AI408" i="11"/>
  <c r="AJ408" i="11"/>
  <c r="AI409" i="11"/>
  <c r="AJ409" i="11"/>
  <c r="AI410" i="11"/>
  <c r="AJ410" i="11"/>
  <c r="AI411" i="11"/>
  <c r="AJ411" i="11"/>
  <c r="AI412" i="11"/>
  <c r="AJ412" i="11"/>
  <c r="AI413" i="11"/>
  <c r="AJ413" i="11"/>
  <c r="AI414" i="11"/>
  <c r="AJ414" i="11"/>
  <c r="AI415" i="11"/>
  <c r="AJ415" i="11"/>
  <c r="AI416" i="11"/>
  <c r="AJ416" i="11"/>
  <c r="AI417" i="11"/>
  <c r="AJ417" i="11"/>
  <c r="AI418" i="11"/>
  <c r="AJ418" i="11"/>
  <c r="AI419" i="11"/>
  <c r="AJ419" i="11"/>
  <c r="AI420" i="11"/>
  <c r="AJ420" i="11"/>
  <c r="AI421" i="11"/>
  <c r="AJ421" i="11"/>
  <c r="AI422" i="11"/>
  <c r="AJ422" i="11"/>
  <c r="AI423" i="11"/>
  <c r="AJ423" i="11"/>
  <c r="AI424" i="11"/>
  <c r="AJ424" i="11"/>
  <c r="AI425" i="11"/>
  <c r="AJ425" i="11"/>
  <c r="AI426" i="11"/>
  <c r="AJ426" i="11"/>
  <c r="AI427" i="11"/>
  <c r="AJ427" i="11"/>
  <c r="AI428" i="11"/>
  <c r="AJ428" i="11"/>
  <c r="AI429" i="11"/>
  <c r="AJ429" i="11"/>
  <c r="AI430" i="11"/>
  <c r="AJ430" i="11"/>
  <c r="AI431" i="11"/>
  <c r="AJ431" i="11"/>
  <c r="AI432" i="11"/>
  <c r="AJ432" i="11"/>
  <c r="AI433" i="11"/>
  <c r="AJ433" i="11"/>
  <c r="AI434" i="11"/>
  <c r="AJ434" i="11"/>
  <c r="AI435" i="11"/>
  <c r="AJ435" i="11"/>
  <c r="AI436" i="11"/>
  <c r="AJ436" i="11"/>
  <c r="AI437" i="11"/>
  <c r="AJ437" i="11"/>
  <c r="AI438" i="11"/>
  <c r="AJ438" i="11"/>
  <c r="AI439" i="11"/>
  <c r="AJ439" i="11"/>
  <c r="AI440" i="11"/>
  <c r="AJ440" i="11"/>
  <c r="AI441" i="11"/>
  <c r="AJ441" i="11"/>
  <c r="AI442" i="11"/>
  <c r="AJ442" i="11"/>
  <c r="AI443" i="11"/>
  <c r="AJ443" i="11"/>
  <c r="AI444" i="11"/>
  <c r="AJ444" i="11"/>
  <c r="AI445" i="11"/>
  <c r="AJ445" i="11"/>
  <c r="AI446" i="11"/>
  <c r="AJ446" i="11"/>
  <c r="AI447" i="11"/>
  <c r="AJ447" i="11"/>
  <c r="AI448" i="11"/>
  <c r="AJ448" i="11"/>
  <c r="AI449" i="11"/>
  <c r="AJ449" i="11"/>
  <c r="AI450" i="11"/>
  <c r="AJ450" i="11"/>
  <c r="AI451" i="11"/>
  <c r="AJ451" i="11"/>
  <c r="O409" i="3" l="1"/>
  <c r="P409" i="3"/>
  <c r="O368" i="3"/>
  <c r="P368" i="3"/>
  <c r="H394" i="3"/>
  <c r="R394" i="3" s="1"/>
  <c r="U394" i="3"/>
  <c r="O448" i="3"/>
  <c r="P448" i="3" s="1"/>
  <c r="O18" i="3"/>
  <c r="P18" i="3"/>
  <c r="O137" i="3"/>
  <c r="P137" i="3"/>
  <c r="U431" i="3"/>
  <c r="H431" i="3"/>
  <c r="R431" i="3" s="1"/>
  <c r="O148" i="3"/>
  <c r="P148" i="3"/>
  <c r="U115" i="3"/>
  <c r="H115" i="3"/>
  <c r="R115" i="3" s="1"/>
  <c r="H18" i="3"/>
  <c r="R18" i="3" s="1"/>
  <c r="U18" i="3"/>
  <c r="O421" i="3"/>
  <c r="P421" i="3"/>
  <c r="H122" i="3"/>
  <c r="R122" i="3" s="1"/>
  <c r="U122" i="3"/>
  <c r="O431" i="3"/>
  <c r="P431" i="3" s="1"/>
  <c r="O350" i="3"/>
  <c r="P350" i="3"/>
  <c r="N438" i="3"/>
  <c r="S438" i="3"/>
  <c r="T438" i="3"/>
  <c r="I438" i="3"/>
  <c r="J438" i="3"/>
  <c r="U421" i="3"/>
  <c r="H421" i="3"/>
  <c r="R421" i="3" s="1"/>
  <c r="U452" i="3"/>
  <c r="H452" i="3"/>
  <c r="R452" i="3" s="1"/>
  <c r="H148" i="3"/>
  <c r="R148" i="3" s="1"/>
  <c r="U148" i="3"/>
  <c r="O394" i="3"/>
  <c r="P394" i="3" s="1"/>
  <c r="N348" i="3"/>
  <c r="I348" i="3"/>
  <c r="T348" i="3"/>
  <c r="S348" i="3"/>
  <c r="J348" i="3"/>
  <c r="I389" i="3"/>
  <c r="S389" i="3"/>
  <c r="J389" i="3"/>
  <c r="N389" i="3"/>
  <c r="T389" i="3"/>
  <c r="O351" i="3"/>
  <c r="P351" i="3"/>
  <c r="O412" i="3"/>
  <c r="P412" i="3"/>
  <c r="O115" i="3"/>
  <c r="P115" i="3"/>
  <c r="U345" i="3"/>
  <c r="H345" i="3"/>
  <c r="R345" i="3" s="1"/>
  <c r="O122" i="3"/>
  <c r="P122" i="3" s="1"/>
  <c r="N378" i="3"/>
  <c r="S378" i="3"/>
  <c r="I378" i="3"/>
  <c r="J378" i="3"/>
  <c r="T378" i="3"/>
  <c r="O147" i="3"/>
  <c r="P147" i="3"/>
  <c r="H445" i="3"/>
  <c r="R445" i="3" s="1"/>
  <c r="U445" i="3"/>
  <c r="O406" i="3"/>
  <c r="P406" i="3"/>
  <c r="N415" i="3"/>
  <c r="T415" i="3"/>
  <c r="S415" i="3"/>
  <c r="I415" i="3"/>
  <c r="J415" i="3"/>
  <c r="U368" i="3"/>
  <c r="H368" i="3"/>
  <c r="R368" i="3" s="1"/>
  <c r="U350" i="3"/>
  <c r="H350" i="3"/>
  <c r="R350" i="3" s="1"/>
  <c r="O38" i="3"/>
  <c r="P38" i="3"/>
  <c r="I386" i="3"/>
  <c r="N386" i="3"/>
  <c r="T386" i="3"/>
  <c r="J386" i="3"/>
  <c r="S386" i="3"/>
  <c r="H412" i="3"/>
  <c r="R412" i="3" s="1"/>
  <c r="U412" i="3"/>
  <c r="N407" i="3"/>
  <c r="I407" i="3"/>
  <c r="J407" i="3"/>
  <c r="S407" i="3"/>
  <c r="T407" i="3"/>
  <c r="H443" i="3"/>
  <c r="R443" i="3" s="1"/>
  <c r="U443" i="3"/>
  <c r="O445" i="3"/>
  <c r="P445" i="3"/>
  <c r="J434" i="3"/>
  <c r="N434" i="3"/>
  <c r="S434" i="3"/>
  <c r="T434" i="3"/>
  <c r="I434" i="3"/>
  <c r="U351" i="3"/>
  <c r="H351" i="3"/>
  <c r="R351" i="3" s="1"/>
  <c r="O85" i="3"/>
  <c r="P85" i="3"/>
  <c r="U372" i="3"/>
  <c r="H372" i="3"/>
  <c r="R372" i="3" s="1"/>
  <c r="O443" i="3"/>
  <c r="P443" i="3"/>
  <c r="O420" i="3"/>
  <c r="P420" i="3"/>
  <c r="U450" i="3"/>
  <c r="H450" i="3"/>
  <c r="R450" i="3" s="1"/>
  <c r="H403" i="3"/>
  <c r="R403" i="3" s="1"/>
  <c r="U403" i="3"/>
  <c r="O58" i="3"/>
  <c r="P58" i="3"/>
  <c r="O428" i="3"/>
  <c r="P428" i="3"/>
  <c r="O372" i="3"/>
  <c r="P372" i="3" s="1"/>
  <c r="O92" i="3"/>
  <c r="P92" i="3" s="1"/>
  <c r="U406" i="3"/>
  <c r="H406" i="3"/>
  <c r="R406" i="3" s="1"/>
  <c r="H98" i="3"/>
  <c r="R98" i="3" s="1"/>
  <c r="U98" i="3"/>
  <c r="O121" i="3"/>
  <c r="P121" i="3" s="1"/>
  <c r="O396" i="3"/>
  <c r="P396" i="3"/>
  <c r="O34" i="3"/>
  <c r="P34" i="3" s="1"/>
  <c r="H161" i="3"/>
  <c r="R161" i="3" s="1"/>
  <c r="U161" i="3"/>
  <c r="O452" i="3"/>
  <c r="P452" i="3" s="1"/>
  <c r="T343" i="3"/>
  <c r="S343" i="3"/>
  <c r="J343" i="3"/>
  <c r="N343" i="3"/>
  <c r="I343" i="3"/>
  <c r="I433" i="3"/>
  <c r="J433" i="3"/>
  <c r="S433" i="3"/>
  <c r="T433" i="3"/>
  <c r="N433" i="3"/>
  <c r="I410" i="3"/>
  <c r="J410" i="3"/>
  <c r="N410" i="3"/>
  <c r="T410" i="3"/>
  <c r="S410" i="3"/>
  <c r="O79" i="3"/>
  <c r="P79" i="3" s="1"/>
  <c r="O383" i="3"/>
  <c r="P383" i="3" s="1"/>
  <c r="O106" i="3"/>
  <c r="P106" i="3" s="1"/>
  <c r="N355" i="3"/>
  <c r="J355" i="3"/>
  <c r="T355" i="3"/>
  <c r="S355" i="3"/>
  <c r="I355" i="3"/>
  <c r="S361" i="3"/>
  <c r="J361" i="3"/>
  <c r="T361" i="3"/>
  <c r="I361" i="3"/>
  <c r="N361" i="3"/>
  <c r="O450" i="3"/>
  <c r="P450" i="3" s="1"/>
  <c r="O436" i="3"/>
  <c r="P436" i="3"/>
  <c r="J363" i="3"/>
  <c r="I363" i="3"/>
  <c r="N363" i="3"/>
  <c r="T363" i="3"/>
  <c r="S363" i="3"/>
  <c r="U58" i="3"/>
  <c r="H58" i="3"/>
  <c r="R58" i="3" s="1"/>
  <c r="H346" i="3"/>
  <c r="R346" i="3" s="1"/>
  <c r="U346" i="3"/>
  <c r="O98" i="3"/>
  <c r="P98" i="3" s="1"/>
  <c r="U383" i="3"/>
  <c r="H383" i="3"/>
  <c r="R383" i="3" s="1"/>
  <c r="U106" i="3"/>
  <c r="H106" i="3"/>
  <c r="R106" i="3" s="1"/>
  <c r="P401" i="3"/>
  <c r="O401" i="3"/>
  <c r="S349" i="3"/>
  <c r="T349" i="3"/>
  <c r="J349" i="3"/>
  <c r="I349" i="3"/>
  <c r="N349" i="3"/>
  <c r="O113" i="3"/>
  <c r="P113" i="3"/>
  <c r="H385" i="3"/>
  <c r="R385" i="3" s="1"/>
  <c r="U385" i="3"/>
  <c r="H85" i="3"/>
  <c r="R85" i="3" s="1"/>
  <c r="U85" i="3"/>
  <c r="I347" i="3"/>
  <c r="J347" i="3"/>
  <c r="S347" i="3"/>
  <c r="T347" i="3"/>
  <c r="N347" i="3"/>
  <c r="P73" i="3"/>
  <c r="O73" i="3"/>
  <c r="H92" i="3"/>
  <c r="R92" i="3" s="1"/>
  <c r="U92" i="3"/>
  <c r="O403" i="3"/>
  <c r="P403" i="3" s="1"/>
  <c r="H70" i="3"/>
  <c r="R70" i="3" s="1"/>
  <c r="U70" i="3"/>
  <c r="O426" i="3"/>
  <c r="P426" i="3"/>
  <c r="H79" i="3"/>
  <c r="R79" i="3" s="1"/>
  <c r="U79" i="3"/>
  <c r="O151" i="3"/>
  <c r="P151" i="3"/>
  <c r="U401" i="3"/>
  <c r="H401" i="3"/>
  <c r="R401" i="3" s="1"/>
  <c r="H113" i="3"/>
  <c r="R113" i="3" s="1"/>
  <c r="U113" i="3"/>
  <c r="H121" i="3"/>
  <c r="R121" i="3" s="1"/>
  <c r="U121" i="3"/>
  <c r="U64" i="3"/>
  <c r="H64" i="3"/>
  <c r="R64" i="3" s="1"/>
  <c r="H428" i="3"/>
  <c r="R428" i="3" s="1"/>
  <c r="U428" i="3"/>
  <c r="H95" i="3"/>
  <c r="R95" i="3" s="1"/>
  <c r="U95" i="3"/>
  <c r="O20" i="3"/>
  <c r="P20" i="3" s="1"/>
  <c r="U440" i="3"/>
  <c r="H440" i="3"/>
  <c r="R440" i="3" s="1"/>
  <c r="I387" i="3"/>
  <c r="J387" i="3"/>
  <c r="T387" i="3"/>
  <c r="S387" i="3"/>
  <c r="N387" i="3"/>
  <c r="U408" i="3"/>
  <c r="H408" i="3"/>
  <c r="R408" i="3" s="1"/>
  <c r="O405" i="3"/>
  <c r="P405" i="3"/>
  <c r="O385" i="3"/>
  <c r="P385" i="3" s="1"/>
  <c r="O42" i="3"/>
  <c r="P42" i="3"/>
  <c r="H34" i="3"/>
  <c r="R34" i="3" s="1"/>
  <c r="U34" i="3"/>
  <c r="O358" i="3"/>
  <c r="P358" i="3"/>
  <c r="U73" i="3"/>
  <c r="H73" i="3"/>
  <c r="R73" i="3" s="1"/>
  <c r="O440" i="3"/>
  <c r="P440" i="3" s="1"/>
  <c r="U38" i="3"/>
  <c r="H38" i="3"/>
  <c r="R38" i="3" s="1"/>
  <c r="U396" i="3"/>
  <c r="H396" i="3"/>
  <c r="R396" i="3" s="1"/>
  <c r="O64" i="3"/>
  <c r="P64" i="3"/>
  <c r="O345" i="3"/>
  <c r="P345" i="3"/>
  <c r="H420" i="3"/>
  <c r="R420" i="3" s="1"/>
  <c r="U420" i="3"/>
  <c r="H97" i="3"/>
  <c r="R97" i="3" s="1"/>
  <c r="U97" i="3"/>
  <c r="O408" i="3"/>
  <c r="P408" i="3" s="1"/>
  <c r="O97" i="3"/>
  <c r="P97" i="3"/>
  <c r="U426" i="3"/>
  <c r="H426" i="3"/>
  <c r="R426" i="3" s="1"/>
  <c r="O346" i="3"/>
  <c r="P346" i="3"/>
  <c r="H354" i="3"/>
  <c r="R354" i="3" s="1"/>
  <c r="U354" i="3"/>
  <c r="H432" i="3"/>
  <c r="R432" i="3" s="1"/>
  <c r="U432" i="3"/>
  <c r="H151" i="3"/>
  <c r="R151" i="3" s="1"/>
  <c r="U151" i="3"/>
  <c r="N388" i="3"/>
  <c r="T388" i="3"/>
  <c r="I388" i="3"/>
  <c r="S388" i="3"/>
  <c r="J388" i="3"/>
  <c r="O95" i="3"/>
  <c r="P95" i="3"/>
  <c r="U91" i="3"/>
  <c r="H91" i="3"/>
  <c r="R91" i="3" s="1"/>
  <c r="H117" i="3"/>
  <c r="R117" i="3" s="1"/>
  <c r="U117" i="3"/>
  <c r="O414" i="3"/>
  <c r="P414" i="3"/>
  <c r="H365" i="3"/>
  <c r="R365" i="3" s="1"/>
  <c r="U365" i="3"/>
  <c r="H411" i="3"/>
  <c r="R411" i="3" s="1"/>
  <c r="U411" i="3"/>
  <c r="O141" i="3"/>
  <c r="P141" i="3" s="1"/>
  <c r="U444" i="3"/>
  <c r="H444" i="3"/>
  <c r="R444" i="3" s="1"/>
  <c r="I377" i="3"/>
  <c r="S377" i="3"/>
  <c r="T377" i="3"/>
  <c r="J377" i="3"/>
  <c r="N377" i="3"/>
  <c r="N366" i="3"/>
  <c r="I366" i="3"/>
  <c r="J366" i="3"/>
  <c r="S366" i="3"/>
  <c r="T366" i="3"/>
  <c r="H101" i="3"/>
  <c r="R101" i="3" s="1"/>
  <c r="U101" i="3"/>
  <c r="U42" i="3"/>
  <c r="H42" i="3"/>
  <c r="R42" i="3" s="1"/>
  <c r="H20" i="3"/>
  <c r="R20" i="3" s="1"/>
  <c r="U20" i="3"/>
  <c r="O117" i="3"/>
  <c r="P117" i="3" s="1"/>
  <c r="U449" i="3"/>
  <c r="H449" i="3"/>
  <c r="R449" i="3" s="1"/>
  <c r="H395" i="3"/>
  <c r="R395" i="3" s="1"/>
  <c r="U395" i="3"/>
  <c r="U376" i="3"/>
  <c r="H376" i="3"/>
  <c r="R376" i="3" s="1"/>
  <c r="P160" i="3"/>
  <c r="O160" i="3"/>
  <c r="T422" i="3"/>
  <c r="J422" i="3"/>
  <c r="I422" i="3"/>
  <c r="N422" i="3"/>
  <c r="S422" i="3"/>
  <c r="U427" i="3"/>
  <c r="H427" i="3"/>
  <c r="R427" i="3" s="1"/>
  <c r="O57" i="3"/>
  <c r="P57" i="3"/>
  <c r="U358" i="3"/>
  <c r="H358" i="3"/>
  <c r="R358" i="3" s="1"/>
  <c r="U414" i="3"/>
  <c r="H414" i="3"/>
  <c r="R414" i="3" s="1"/>
  <c r="P395" i="3"/>
  <c r="O395" i="3"/>
  <c r="O449" i="3"/>
  <c r="P449" i="3"/>
  <c r="H119" i="3"/>
  <c r="R119" i="3" s="1"/>
  <c r="U119" i="3"/>
  <c r="O379" i="3"/>
  <c r="P379" i="3"/>
  <c r="O402" i="3"/>
  <c r="P402" i="3"/>
  <c r="O411" i="3"/>
  <c r="P411" i="3" s="1"/>
  <c r="O354" i="3"/>
  <c r="P354" i="3" s="1"/>
  <c r="O391" i="3"/>
  <c r="P391" i="3" s="1"/>
  <c r="U109" i="3"/>
  <c r="H109" i="3"/>
  <c r="R109" i="3" s="1"/>
  <c r="U111" i="3"/>
  <c r="H111" i="3"/>
  <c r="R111" i="3" s="1"/>
  <c r="H147" i="3"/>
  <c r="R147" i="3" s="1"/>
  <c r="U147" i="3"/>
  <c r="S399" i="3"/>
  <c r="J399" i="3"/>
  <c r="I399" i="3"/>
  <c r="N399" i="3"/>
  <c r="T399" i="3"/>
  <c r="T382" i="3"/>
  <c r="S382" i="3"/>
  <c r="I382" i="3"/>
  <c r="J382" i="3"/>
  <c r="N382" i="3"/>
  <c r="P101" i="3"/>
  <c r="O101" i="3"/>
  <c r="H369" i="3"/>
  <c r="R369" i="3" s="1"/>
  <c r="U369" i="3"/>
  <c r="O91" i="3"/>
  <c r="P91" i="3"/>
  <c r="O365" i="3"/>
  <c r="P365" i="3" s="1"/>
  <c r="O84" i="3"/>
  <c r="P84" i="3"/>
  <c r="U160" i="3"/>
  <c r="H160" i="3"/>
  <c r="R160" i="3" s="1"/>
  <c r="H84" i="3"/>
  <c r="R84" i="3" s="1"/>
  <c r="U84" i="3"/>
  <c r="N446" i="3"/>
  <c r="I446" i="3"/>
  <c r="S446" i="3"/>
  <c r="T446" i="3"/>
  <c r="J446" i="3"/>
  <c r="O76" i="3"/>
  <c r="P76" i="3" s="1"/>
  <c r="H141" i="3"/>
  <c r="R141" i="3" s="1"/>
  <c r="U141" i="3"/>
  <c r="H405" i="3"/>
  <c r="R405" i="3" s="1"/>
  <c r="U405" i="3"/>
  <c r="O398" i="3"/>
  <c r="P398" i="3" s="1"/>
  <c r="O432" i="3"/>
  <c r="P432" i="3"/>
  <c r="O109" i="3"/>
  <c r="P109" i="3"/>
  <c r="O111" i="3"/>
  <c r="P111" i="3" s="1"/>
  <c r="U57" i="3"/>
  <c r="H57" i="3"/>
  <c r="R57" i="3" s="1"/>
  <c r="P33" i="3"/>
  <c r="O33" i="3"/>
  <c r="O369" i="3"/>
  <c r="P369" i="3"/>
  <c r="O380" i="3"/>
  <c r="P380" i="3" s="1"/>
  <c r="O119" i="3"/>
  <c r="P119" i="3" s="1"/>
  <c r="H379" i="3"/>
  <c r="R379" i="3" s="1"/>
  <c r="U379" i="3"/>
  <c r="S429" i="3"/>
  <c r="T429" i="3"/>
  <c r="I429" i="3"/>
  <c r="J429" i="3"/>
  <c r="N429" i="3"/>
  <c r="U76" i="3"/>
  <c r="H76" i="3"/>
  <c r="R76" i="3" s="1"/>
  <c r="O367" i="3"/>
  <c r="P367" i="3" s="1"/>
  <c r="U398" i="3"/>
  <c r="H398" i="3"/>
  <c r="R398" i="3" s="1"/>
  <c r="O444" i="3"/>
  <c r="P444" i="3" s="1"/>
  <c r="J371" i="3"/>
  <c r="I371" i="3"/>
  <c r="N371" i="3"/>
  <c r="S371" i="3"/>
  <c r="T371" i="3"/>
  <c r="O427" i="3"/>
  <c r="P427" i="3"/>
  <c r="H356" i="3"/>
  <c r="R356" i="3" s="1"/>
  <c r="U356" i="3"/>
  <c r="H425" i="3"/>
  <c r="R425" i="3" s="1"/>
  <c r="U425" i="3"/>
  <c r="H435" i="3"/>
  <c r="R435" i="3" s="1"/>
  <c r="U435" i="3"/>
  <c r="U436" i="3"/>
  <c r="H436" i="3"/>
  <c r="R436" i="3" s="1"/>
  <c r="H402" i="3"/>
  <c r="R402" i="3" s="1"/>
  <c r="U402" i="3"/>
  <c r="U391" i="3"/>
  <c r="H391" i="3"/>
  <c r="R391" i="3" s="1"/>
  <c r="T417" i="3"/>
  <c r="I417" i="3"/>
  <c r="J417" i="3"/>
  <c r="S417" i="3"/>
  <c r="N417" i="3"/>
  <c r="S359" i="3"/>
  <c r="N359" i="3"/>
  <c r="I359" i="3"/>
  <c r="J359" i="3"/>
  <c r="T359" i="3"/>
  <c r="H409" i="3"/>
  <c r="R409" i="3" s="1"/>
  <c r="U409" i="3"/>
  <c r="O70" i="3"/>
  <c r="P70" i="3" s="1"/>
  <c r="H33" i="3"/>
  <c r="R33" i="3" s="1"/>
  <c r="U33" i="3"/>
  <c r="O376" i="3"/>
  <c r="P376" i="3"/>
  <c r="N442" i="3"/>
  <c r="S442" i="3"/>
  <c r="I442" i="3"/>
  <c r="J442" i="3"/>
  <c r="T442" i="3"/>
  <c r="U367" i="3"/>
  <c r="H367" i="3"/>
  <c r="R367" i="3" s="1"/>
  <c r="U137" i="3"/>
  <c r="H137" i="3"/>
  <c r="R137" i="3" s="1"/>
  <c r="U448" i="3"/>
  <c r="H448" i="3"/>
  <c r="R448" i="3" s="1"/>
  <c r="H380" i="3"/>
  <c r="R380" i="3" s="1"/>
  <c r="U380" i="3"/>
  <c r="O356" i="3"/>
  <c r="P356" i="3" s="1"/>
  <c r="P425" i="3"/>
  <c r="O425" i="3"/>
  <c r="O161" i="3"/>
  <c r="P161" i="3"/>
  <c r="O435" i="3"/>
  <c r="P435" i="3"/>
  <c r="G454" i="3"/>
  <c r="P347" i="3" l="1"/>
  <c r="O347" i="3"/>
  <c r="O407" i="3"/>
  <c r="P407" i="3"/>
  <c r="H382" i="3"/>
  <c r="R382" i="3" s="1"/>
  <c r="U382" i="3"/>
  <c r="U343" i="3"/>
  <c r="H343" i="3"/>
  <c r="R343" i="3" s="1"/>
  <c r="H417" i="3"/>
  <c r="R417" i="3" s="1"/>
  <c r="U417" i="3"/>
  <c r="O399" i="3"/>
  <c r="P399" i="3"/>
  <c r="P434" i="3"/>
  <c r="O434" i="3"/>
  <c r="H433" i="3"/>
  <c r="R433" i="3" s="1"/>
  <c r="U433" i="3"/>
  <c r="U388" i="3"/>
  <c r="H388" i="3"/>
  <c r="R388" i="3" s="1"/>
  <c r="H399" i="3"/>
  <c r="R399" i="3" s="1"/>
  <c r="U399" i="3"/>
  <c r="O410" i="3"/>
  <c r="P410" i="3"/>
  <c r="U361" i="3"/>
  <c r="H361" i="3"/>
  <c r="R361" i="3" s="1"/>
  <c r="P386" i="3"/>
  <c r="O386" i="3"/>
  <c r="O433" i="3"/>
  <c r="P433" i="3"/>
  <c r="O387" i="3"/>
  <c r="P387" i="3" s="1"/>
  <c r="O389" i="3"/>
  <c r="P389" i="3"/>
  <c r="O422" i="3"/>
  <c r="P422" i="3" s="1"/>
  <c r="H359" i="3"/>
  <c r="R359" i="3" s="1"/>
  <c r="U359" i="3"/>
  <c r="O388" i="3"/>
  <c r="P388" i="3"/>
  <c r="U387" i="3"/>
  <c r="H387" i="3"/>
  <c r="R387" i="3" s="1"/>
  <c r="O349" i="3"/>
  <c r="P349" i="3"/>
  <c r="U355" i="3"/>
  <c r="H355" i="3"/>
  <c r="R355" i="3" s="1"/>
  <c r="U438" i="3"/>
  <c r="H438" i="3"/>
  <c r="R438" i="3" s="1"/>
  <c r="O377" i="3"/>
  <c r="P377" i="3" s="1"/>
  <c r="U415" i="3"/>
  <c r="H415" i="3"/>
  <c r="R415" i="3" s="1"/>
  <c r="U410" i="3"/>
  <c r="H410" i="3"/>
  <c r="R410" i="3" s="1"/>
  <c r="O415" i="3"/>
  <c r="P415" i="3"/>
  <c r="U347" i="3"/>
  <c r="H347" i="3"/>
  <c r="R347" i="3" s="1"/>
  <c r="O429" i="3"/>
  <c r="P429" i="3" s="1"/>
  <c r="O348" i="3"/>
  <c r="P348" i="3"/>
  <c r="H378" i="3"/>
  <c r="R378" i="3" s="1"/>
  <c r="U378" i="3"/>
  <c r="U446" i="3"/>
  <c r="H446" i="3"/>
  <c r="R446" i="3" s="1"/>
  <c r="O355" i="3"/>
  <c r="P355" i="3"/>
  <c r="O359" i="3"/>
  <c r="P359" i="3" s="1"/>
  <c r="H349" i="3"/>
  <c r="R349" i="3" s="1"/>
  <c r="U349" i="3"/>
  <c r="H429" i="3"/>
  <c r="R429" i="3" s="1"/>
  <c r="U429" i="3"/>
  <c r="O366" i="3"/>
  <c r="P366" i="3"/>
  <c r="H377" i="3"/>
  <c r="R377" i="3" s="1"/>
  <c r="U377" i="3"/>
  <c r="O361" i="3"/>
  <c r="P361" i="3" s="1"/>
  <c r="H386" i="3"/>
  <c r="R386" i="3" s="1"/>
  <c r="U386" i="3"/>
  <c r="H434" i="3"/>
  <c r="R434" i="3" s="1"/>
  <c r="U434" i="3"/>
  <c r="H442" i="3"/>
  <c r="R442" i="3" s="1"/>
  <c r="U442" i="3"/>
  <c r="H422" i="3"/>
  <c r="R422" i="3" s="1"/>
  <c r="U422" i="3"/>
  <c r="H363" i="3"/>
  <c r="R363" i="3" s="1"/>
  <c r="U363" i="3"/>
  <c r="O343" i="3"/>
  <c r="P343" i="3" s="1"/>
  <c r="H407" i="3"/>
  <c r="R407" i="3" s="1"/>
  <c r="U407" i="3"/>
  <c r="U348" i="3"/>
  <c r="H348" i="3"/>
  <c r="R348" i="3" s="1"/>
  <c r="H371" i="3"/>
  <c r="R371" i="3" s="1"/>
  <c r="U371" i="3"/>
  <c r="O371" i="3"/>
  <c r="P371" i="3"/>
  <c r="H389" i="3"/>
  <c r="R389" i="3" s="1"/>
  <c r="U389" i="3"/>
  <c r="O438" i="3"/>
  <c r="P438" i="3"/>
  <c r="O442" i="3"/>
  <c r="P442" i="3"/>
  <c r="O417" i="3"/>
  <c r="P417" i="3" s="1"/>
  <c r="O446" i="3"/>
  <c r="P446" i="3"/>
  <c r="O382" i="3"/>
  <c r="P382" i="3" s="1"/>
  <c r="H366" i="3"/>
  <c r="R366" i="3" s="1"/>
  <c r="U366" i="3"/>
  <c r="O363" i="3"/>
  <c r="P363" i="3"/>
  <c r="O378" i="3"/>
  <c r="P378" i="3"/>
  <c r="C452" i="11"/>
  <c r="A3" i="21" l="1"/>
  <c r="F3" i="21" l="1"/>
  <c r="C3" i="21"/>
  <c r="B3" i="21"/>
  <c r="B2" i="13"/>
  <c r="B2" i="20" l="1"/>
  <c r="AL5" i="11" l="1"/>
  <c r="AL6" i="11" s="1"/>
  <c r="AL4" i="11"/>
  <c r="AJ9" i="11" l="1"/>
  <c r="S611" i="4"/>
  <c r="V611" i="4"/>
  <c r="S612" i="4"/>
  <c r="V612" i="4"/>
  <c r="S613" i="4"/>
  <c r="V613" i="4"/>
  <c r="S614" i="4"/>
  <c r="V614" i="4"/>
  <c r="S615" i="4"/>
  <c r="V615" i="4"/>
  <c r="S616" i="4"/>
  <c r="V616" i="4"/>
  <c r="S617" i="4"/>
  <c r="V617" i="4"/>
  <c r="S618" i="4"/>
  <c r="V618" i="4"/>
  <c r="S619" i="4"/>
  <c r="V619" i="4"/>
  <c r="S620" i="4"/>
  <c r="V620" i="4"/>
  <c r="S621" i="4"/>
  <c r="V621" i="4"/>
  <c r="S622" i="4"/>
  <c r="V622" i="4"/>
  <c r="S623" i="4"/>
  <c r="V623" i="4"/>
  <c r="S624" i="4"/>
  <c r="V624" i="4"/>
  <c r="S625" i="4"/>
  <c r="V625" i="4"/>
  <c r="S626" i="4"/>
  <c r="V626" i="4"/>
  <c r="S627" i="4"/>
  <c r="V627" i="4"/>
  <c r="S628" i="4"/>
  <c r="V628" i="4"/>
  <c r="S629" i="4"/>
  <c r="V629" i="4"/>
  <c r="S630" i="4"/>
  <c r="V630" i="4"/>
  <c r="S631" i="4"/>
  <c r="V631" i="4"/>
  <c r="S632" i="4"/>
  <c r="V632" i="4"/>
  <c r="S633" i="4"/>
  <c r="V633" i="4"/>
  <c r="S634" i="4"/>
  <c r="V634" i="4"/>
  <c r="S635" i="4"/>
  <c r="V635" i="4"/>
  <c r="S636" i="4"/>
  <c r="V636" i="4"/>
  <c r="S637" i="4"/>
  <c r="V637" i="4"/>
  <c r="S638" i="4"/>
  <c r="V638" i="4"/>
  <c r="S639" i="4"/>
  <c r="V639" i="4"/>
  <c r="S640" i="4"/>
  <c r="V640" i="4"/>
  <c r="S641" i="4"/>
  <c r="V641" i="4"/>
  <c r="S642" i="4"/>
  <c r="V642" i="4"/>
  <c r="S643" i="4"/>
  <c r="V643" i="4"/>
  <c r="S644" i="4"/>
  <c r="V644" i="4"/>
  <c r="S645" i="4"/>
  <c r="V645" i="4"/>
  <c r="S646" i="4"/>
  <c r="V646" i="4"/>
  <c r="S647" i="4"/>
  <c r="V647" i="4"/>
  <c r="S648" i="4"/>
  <c r="V648" i="4"/>
  <c r="S649" i="4"/>
  <c r="V649" i="4"/>
  <c r="S650" i="4"/>
  <c r="V650" i="4"/>
  <c r="S651" i="4"/>
  <c r="V651" i="4"/>
  <c r="V562" i="4"/>
  <c r="V563" i="4"/>
  <c r="V564" i="4"/>
  <c r="V565" i="4"/>
  <c r="V566" i="4"/>
  <c r="V567" i="4"/>
  <c r="V568" i="4"/>
  <c r="V569" i="4"/>
  <c r="V570" i="4"/>
  <c r="V571" i="4"/>
  <c r="V572" i="4"/>
  <c r="V573" i="4"/>
  <c r="V574" i="4"/>
  <c r="V575" i="4"/>
  <c r="V576" i="4"/>
  <c r="V577" i="4"/>
  <c r="V578" i="4"/>
  <c r="V579" i="4"/>
  <c r="V580" i="4"/>
  <c r="V581" i="4"/>
  <c r="V582" i="4"/>
  <c r="V583" i="4"/>
  <c r="V584" i="4"/>
  <c r="V585" i="4"/>
  <c r="V586" i="4"/>
  <c r="V587" i="4"/>
  <c r="V588" i="4"/>
  <c r="V589" i="4"/>
  <c r="V590" i="4"/>
  <c r="V591" i="4"/>
  <c r="V592" i="4"/>
  <c r="V593" i="4"/>
  <c r="V594" i="4"/>
  <c r="V595" i="4"/>
  <c r="V596" i="4"/>
  <c r="V597" i="4"/>
  <c r="V598" i="4"/>
  <c r="V599" i="4"/>
  <c r="V600" i="4"/>
  <c r="V601" i="4"/>
  <c r="V602" i="4"/>
  <c r="V603" i="4"/>
  <c r="V604" i="4"/>
  <c r="V605" i="4"/>
  <c r="V606" i="4"/>
  <c r="V607" i="4"/>
  <c r="S608" i="4"/>
  <c r="V608" i="4"/>
  <c r="S609" i="4"/>
  <c r="V609" i="4"/>
  <c r="S610" i="4"/>
  <c r="V610" i="4"/>
  <c r="AJ8" i="11" l="1"/>
  <c r="A607" i="4"/>
  <c r="A608" i="4"/>
  <c r="A609" i="4" s="1"/>
  <c r="A610" i="4" l="1"/>
  <c r="A611" i="4" s="1"/>
  <c r="A612" i="4" l="1"/>
  <c r="A613" i="4" l="1"/>
  <c r="C7" i="1"/>
  <c r="C8" i="1" s="1"/>
  <c r="A614" i="4" l="1"/>
  <c r="A615" i="4" l="1"/>
  <c r="A616" i="4" l="1"/>
  <c r="A617" i="4" l="1"/>
  <c r="D19" i="20"/>
  <c r="D7" i="20"/>
  <c r="A618" i="4" l="1"/>
  <c r="A619" i="4" l="1"/>
  <c r="A620" i="4" l="1"/>
  <c r="A4" i="3"/>
  <c r="AM9" i="11"/>
  <c r="AL9" i="11"/>
  <c r="C9" i="11"/>
  <c r="B9" i="11"/>
  <c r="A621" i="4" l="1"/>
  <c r="B4" i="3"/>
  <c r="C4" i="3"/>
  <c r="A622" i="4" l="1"/>
  <c r="V554" i="4"/>
  <c r="V555" i="4"/>
  <c r="V556" i="4"/>
  <c r="V557" i="4"/>
  <c r="V558" i="4"/>
  <c r="V559" i="4"/>
  <c r="V560" i="4"/>
  <c r="V561" i="4"/>
  <c r="V543" i="4"/>
  <c r="V544" i="4"/>
  <c r="V545" i="4"/>
  <c r="V546" i="4"/>
  <c r="V547" i="4"/>
  <c r="V548" i="4"/>
  <c r="V549" i="4"/>
  <c r="V550" i="4"/>
  <c r="V551" i="4"/>
  <c r="V552" i="4"/>
  <c r="V553" i="4"/>
  <c r="A623" i="4" l="1"/>
  <c r="V502" i="4"/>
  <c r="V503" i="4"/>
  <c r="V504" i="4"/>
  <c r="V505" i="4"/>
  <c r="V506" i="4"/>
  <c r="V507" i="4"/>
  <c r="V508" i="4"/>
  <c r="V509" i="4"/>
  <c r="V510" i="4"/>
  <c r="V511" i="4"/>
  <c r="V512" i="4"/>
  <c r="V513" i="4"/>
  <c r="V514" i="4"/>
  <c r="V515" i="4"/>
  <c r="V516" i="4"/>
  <c r="V517" i="4"/>
  <c r="V518" i="4"/>
  <c r="V519" i="4"/>
  <c r="V520" i="4"/>
  <c r="V521" i="4"/>
  <c r="V522" i="4"/>
  <c r="V523" i="4"/>
  <c r="V524" i="4"/>
  <c r="V525" i="4"/>
  <c r="V526" i="4"/>
  <c r="V527" i="4"/>
  <c r="V528" i="4"/>
  <c r="V529" i="4"/>
  <c r="V530" i="4"/>
  <c r="V531" i="4"/>
  <c r="V532" i="4"/>
  <c r="V533" i="4"/>
  <c r="V534" i="4"/>
  <c r="V535" i="4"/>
  <c r="V536" i="4"/>
  <c r="V537" i="4"/>
  <c r="V538" i="4"/>
  <c r="V539" i="4"/>
  <c r="V540" i="4"/>
  <c r="V541" i="4"/>
  <c r="V542" i="4"/>
  <c r="A624" i="4" l="1"/>
  <c r="D14" i="19"/>
  <c r="C19" i="19" s="1"/>
  <c r="V194" i="4"/>
  <c r="A625" i="4" l="1"/>
  <c r="E14" i="19"/>
  <c r="D19" i="19" s="1"/>
  <c r="A626" i="4" l="1"/>
  <c r="V55" i="4"/>
  <c r="A627" i="4" l="1"/>
  <c r="F9" i="1"/>
  <c r="A628" i="4" l="1"/>
  <c r="C9" i="1"/>
  <c r="D12" i="12"/>
  <c r="D12" i="19"/>
  <c r="D14" i="12"/>
  <c r="A629" i="4" l="1"/>
  <c r="A630" i="4" l="1"/>
  <c r="B2" i="3"/>
  <c r="A631" i="4" l="1"/>
  <c r="V261" i="4"/>
  <c r="A632" i="4" l="1"/>
  <c r="A633" i="4" l="1"/>
  <c r="A634" i="4" l="1"/>
  <c r="V220" i="4"/>
  <c r="V232" i="4"/>
  <c r="A635" i="4" l="1"/>
  <c r="A636" i="4" l="1"/>
  <c r="A637" i="4" l="1"/>
  <c r="A638" i="4" l="1"/>
  <c r="A639" i="4" l="1"/>
  <c r="AI9" i="11"/>
  <c r="A640" i="4" l="1"/>
  <c r="A641" i="4" l="1"/>
  <c r="D7" i="13"/>
  <c r="V3" i="4"/>
  <c r="V4" i="4"/>
  <c r="V5" i="4"/>
  <c r="V6" i="4"/>
  <c r="V7" i="4"/>
  <c r="V8" i="4"/>
  <c r="V9" i="4"/>
  <c r="V10" i="4"/>
  <c r="V11" i="4"/>
  <c r="V12" i="4"/>
  <c r="V13" i="4"/>
  <c r="V14" i="4"/>
  <c r="V15" i="4"/>
  <c r="V16" i="4"/>
  <c r="V17" i="4"/>
  <c r="V18" i="4"/>
  <c r="V19" i="4"/>
  <c r="V20" i="4"/>
  <c r="V21" i="4"/>
  <c r="V22" i="4"/>
  <c r="V23" i="4"/>
  <c r="V24" i="4"/>
  <c r="V25" i="4"/>
  <c r="V26" i="4"/>
  <c r="V27" i="4"/>
  <c r="V28" i="4"/>
  <c r="V29" i="4"/>
  <c r="V30" i="4"/>
  <c r="V31" i="4"/>
  <c r="V32" i="4"/>
  <c r="V33" i="4"/>
  <c r="V34" i="4"/>
  <c r="V35" i="4"/>
  <c r="V36" i="4"/>
  <c r="V37" i="4"/>
  <c r="V38" i="4"/>
  <c r="V39" i="4"/>
  <c r="V40" i="4"/>
  <c r="V41" i="4"/>
  <c r="V42" i="4"/>
  <c r="V43" i="4"/>
  <c r="V44" i="4"/>
  <c r="V45" i="4"/>
  <c r="V46" i="4"/>
  <c r="V47" i="4"/>
  <c r="V48" i="4"/>
  <c r="V49" i="4"/>
  <c r="V50" i="4"/>
  <c r="V51" i="4"/>
  <c r="V52" i="4"/>
  <c r="V53" i="4"/>
  <c r="V54" i="4"/>
  <c r="V56" i="4"/>
  <c r="V57" i="4"/>
  <c r="V58" i="4"/>
  <c r="V59" i="4"/>
  <c r="V60" i="4"/>
  <c r="V61" i="4"/>
  <c r="V62" i="4"/>
  <c r="V63" i="4"/>
  <c r="V64" i="4"/>
  <c r="V65" i="4"/>
  <c r="V66" i="4"/>
  <c r="V67" i="4"/>
  <c r="V68" i="4"/>
  <c r="V69" i="4"/>
  <c r="V70" i="4"/>
  <c r="V71" i="4"/>
  <c r="V72" i="4"/>
  <c r="V73" i="4"/>
  <c r="V74" i="4"/>
  <c r="V75" i="4"/>
  <c r="V76" i="4"/>
  <c r="V77" i="4"/>
  <c r="V78" i="4"/>
  <c r="V79" i="4"/>
  <c r="V80" i="4"/>
  <c r="V81" i="4"/>
  <c r="V82" i="4"/>
  <c r="V83" i="4"/>
  <c r="V84" i="4"/>
  <c r="V85" i="4"/>
  <c r="V86" i="4"/>
  <c r="V87" i="4"/>
  <c r="V88" i="4"/>
  <c r="V89" i="4"/>
  <c r="V90" i="4"/>
  <c r="V91" i="4"/>
  <c r="V92" i="4"/>
  <c r="V93" i="4"/>
  <c r="V94" i="4"/>
  <c r="V95" i="4"/>
  <c r="V96" i="4"/>
  <c r="V97" i="4"/>
  <c r="V98" i="4"/>
  <c r="V99" i="4"/>
  <c r="V100" i="4"/>
  <c r="V101" i="4"/>
  <c r="V102" i="4"/>
  <c r="V103" i="4"/>
  <c r="V104" i="4"/>
  <c r="V105" i="4"/>
  <c r="V106" i="4"/>
  <c r="V107" i="4"/>
  <c r="V108" i="4"/>
  <c r="V109" i="4"/>
  <c r="V110" i="4"/>
  <c r="V111" i="4"/>
  <c r="V112" i="4"/>
  <c r="V113" i="4"/>
  <c r="V114" i="4"/>
  <c r="V115" i="4"/>
  <c r="V116" i="4"/>
  <c r="V117" i="4"/>
  <c r="V118" i="4"/>
  <c r="V119" i="4"/>
  <c r="V120" i="4"/>
  <c r="V121" i="4"/>
  <c r="V122" i="4"/>
  <c r="V123" i="4"/>
  <c r="V124" i="4"/>
  <c r="V125" i="4"/>
  <c r="V126" i="4"/>
  <c r="V127" i="4"/>
  <c r="V128" i="4"/>
  <c r="V129" i="4"/>
  <c r="V130" i="4"/>
  <c r="V131" i="4"/>
  <c r="V132" i="4"/>
  <c r="V133" i="4"/>
  <c r="V134" i="4"/>
  <c r="V135" i="4"/>
  <c r="V136" i="4"/>
  <c r="V137" i="4"/>
  <c r="V138" i="4"/>
  <c r="V139" i="4"/>
  <c r="V140" i="4"/>
  <c r="V141" i="4"/>
  <c r="V142" i="4"/>
  <c r="V143" i="4"/>
  <c r="V144" i="4"/>
  <c r="V145" i="4"/>
  <c r="V146" i="4"/>
  <c r="V147" i="4"/>
  <c r="V148" i="4"/>
  <c r="V149" i="4"/>
  <c r="V150" i="4"/>
  <c r="V151" i="4"/>
  <c r="V152" i="4"/>
  <c r="V153" i="4"/>
  <c r="V154" i="4"/>
  <c r="V155" i="4"/>
  <c r="V156" i="4"/>
  <c r="V157" i="4"/>
  <c r="V158" i="4"/>
  <c r="V159" i="4"/>
  <c r="V160" i="4"/>
  <c r="V161" i="4"/>
  <c r="V162" i="4"/>
  <c r="V163" i="4"/>
  <c r="V164" i="4"/>
  <c r="V165" i="4"/>
  <c r="V166" i="4"/>
  <c r="V167" i="4"/>
  <c r="V168" i="4"/>
  <c r="V169" i="4"/>
  <c r="V170" i="4"/>
  <c r="V171" i="4"/>
  <c r="V172" i="4"/>
  <c r="V173" i="4"/>
  <c r="V174" i="4"/>
  <c r="V175" i="4"/>
  <c r="V176" i="4"/>
  <c r="V177" i="4"/>
  <c r="V178" i="4"/>
  <c r="V179" i="4"/>
  <c r="V180" i="4"/>
  <c r="V181" i="4"/>
  <c r="V182" i="4"/>
  <c r="V183" i="4"/>
  <c r="V184" i="4"/>
  <c r="V185" i="4"/>
  <c r="V186" i="4"/>
  <c r="V187" i="4"/>
  <c r="V188" i="4"/>
  <c r="V189" i="4"/>
  <c r="V190" i="4"/>
  <c r="V191" i="4"/>
  <c r="V192" i="4"/>
  <c r="V193" i="4"/>
  <c r="V195" i="4"/>
  <c r="V196" i="4"/>
  <c r="V197" i="4"/>
  <c r="V198" i="4"/>
  <c r="V199" i="4"/>
  <c r="V200" i="4"/>
  <c r="V201" i="4"/>
  <c r="V202" i="4"/>
  <c r="V203" i="4"/>
  <c r="V204" i="4"/>
  <c r="V205" i="4"/>
  <c r="V206" i="4"/>
  <c r="V207" i="4"/>
  <c r="V208" i="4"/>
  <c r="V209" i="4"/>
  <c r="V210" i="4"/>
  <c r="V211" i="4"/>
  <c r="V212" i="4"/>
  <c r="V213" i="4"/>
  <c r="V214" i="4"/>
  <c r="V215" i="4"/>
  <c r="V216" i="4"/>
  <c r="V217" i="4"/>
  <c r="V218" i="4"/>
  <c r="V219" i="4"/>
  <c r="V221" i="4"/>
  <c r="V222" i="4"/>
  <c r="V223" i="4"/>
  <c r="V224" i="4"/>
  <c r="V225" i="4"/>
  <c r="V226" i="4"/>
  <c r="V227" i="4"/>
  <c r="V228" i="4"/>
  <c r="V229" i="4"/>
  <c r="V230" i="4"/>
  <c r="V231" i="4"/>
  <c r="V233" i="4"/>
  <c r="V234" i="4"/>
  <c r="V235" i="4"/>
  <c r="V236" i="4"/>
  <c r="V237" i="4"/>
  <c r="V238" i="4"/>
  <c r="V239" i="4"/>
  <c r="V240" i="4"/>
  <c r="V241" i="4"/>
  <c r="V242" i="4"/>
  <c r="V243" i="4"/>
  <c r="V244" i="4"/>
  <c r="V245" i="4"/>
  <c r="V246" i="4"/>
  <c r="V247" i="4"/>
  <c r="V248" i="4"/>
  <c r="V249" i="4"/>
  <c r="V250" i="4"/>
  <c r="V251" i="4"/>
  <c r="V252" i="4"/>
  <c r="V253" i="4"/>
  <c r="V254" i="4"/>
  <c r="V255" i="4"/>
  <c r="V256" i="4"/>
  <c r="V257" i="4"/>
  <c r="V258" i="4"/>
  <c r="V259" i="4"/>
  <c r="V260" i="4"/>
  <c r="V262" i="4"/>
  <c r="V263" i="4"/>
  <c r="V264" i="4"/>
  <c r="V265" i="4"/>
  <c r="V266" i="4"/>
  <c r="V267" i="4"/>
  <c r="V268" i="4"/>
  <c r="V269" i="4"/>
  <c r="V270" i="4"/>
  <c r="V271" i="4"/>
  <c r="V272" i="4"/>
  <c r="V273" i="4"/>
  <c r="V274" i="4"/>
  <c r="V275" i="4"/>
  <c r="V276" i="4"/>
  <c r="V277" i="4"/>
  <c r="V278" i="4"/>
  <c r="V279" i="4"/>
  <c r="V280" i="4"/>
  <c r="V281" i="4"/>
  <c r="V282" i="4"/>
  <c r="V283" i="4"/>
  <c r="V284" i="4"/>
  <c r="V285" i="4"/>
  <c r="V286" i="4"/>
  <c r="V287" i="4"/>
  <c r="V288" i="4"/>
  <c r="V289" i="4"/>
  <c r="V290" i="4"/>
  <c r="V291" i="4"/>
  <c r="V292" i="4"/>
  <c r="V293" i="4"/>
  <c r="V294" i="4"/>
  <c r="V295" i="4"/>
  <c r="V296" i="4"/>
  <c r="V297" i="4"/>
  <c r="V298" i="4"/>
  <c r="V299" i="4"/>
  <c r="V300" i="4"/>
  <c r="V301" i="4"/>
  <c r="V302" i="4"/>
  <c r="V303" i="4"/>
  <c r="V304" i="4"/>
  <c r="V305" i="4"/>
  <c r="V306" i="4"/>
  <c r="V307" i="4"/>
  <c r="V308" i="4"/>
  <c r="V309" i="4"/>
  <c r="V310" i="4"/>
  <c r="V311" i="4"/>
  <c r="V312" i="4"/>
  <c r="V313" i="4"/>
  <c r="V314" i="4"/>
  <c r="V315" i="4"/>
  <c r="V316" i="4"/>
  <c r="V317" i="4"/>
  <c r="V318" i="4"/>
  <c r="V319" i="4"/>
  <c r="V320" i="4"/>
  <c r="V321" i="4"/>
  <c r="V322" i="4"/>
  <c r="V323" i="4"/>
  <c r="V324" i="4"/>
  <c r="V325" i="4"/>
  <c r="V326" i="4"/>
  <c r="V327" i="4"/>
  <c r="V328" i="4"/>
  <c r="V329" i="4"/>
  <c r="V330" i="4"/>
  <c r="V331" i="4"/>
  <c r="V332" i="4"/>
  <c r="V333" i="4"/>
  <c r="V334" i="4"/>
  <c r="V335" i="4"/>
  <c r="V336" i="4"/>
  <c r="V337" i="4"/>
  <c r="V338" i="4"/>
  <c r="V339" i="4"/>
  <c r="V340" i="4"/>
  <c r="V341" i="4"/>
  <c r="V342" i="4"/>
  <c r="V343" i="4"/>
  <c r="V344" i="4"/>
  <c r="V345" i="4"/>
  <c r="V346" i="4"/>
  <c r="V347" i="4"/>
  <c r="V348" i="4"/>
  <c r="V349" i="4"/>
  <c r="V350" i="4"/>
  <c r="V351" i="4"/>
  <c r="V352" i="4"/>
  <c r="V353" i="4"/>
  <c r="V354" i="4"/>
  <c r="V355" i="4"/>
  <c r="V356" i="4"/>
  <c r="V357" i="4"/>
  <c r="V358" i="4"/>
  <c r="V359" i="4"/>
  <c r="V360" i="4"/>
  <c r="V361" i="4"/>
  <c r="V362" i="4"/>
  <c r="V363" i="4"/>
  <c r="V364" i="4"/>
  <c r="V365" i="4"/>
  <c r="V366" i="4"/>
  <c r="V367" i="4"/>
  <c r="V368" i="4"/>
  <c r="V369" i="4"/>
  <c r="V370" i="4"/>
  <c r="V371" i="4"/>
  <c r="V372" i="4"/>
  <c r="V373" i="4"/>
  <c r="V374" i="4"/>
  <c r="V375" i="4"/>
  <c r="V376" i="4"/>
  <c r="V377" i="4"/>
  <c r="V378" i="4"/>
  <c r="V379" i="4"/>
  <c r="V380" i="4"/>
  <c r="V381" i="4"/>
  <c r="V382" i="4"/>
  <c r="V383" i="4"/>
  <c r="V384" i="4"/>
  <c r="V385" i="4"/>
  <c r="V386" i="4"/>
  <c r="V387" i="4"/>
  <c r="V388" i="4"/>
  <c r="V389" i="4"/>
  <c r="V390" i="4"/>
  <c r="V391" i="4"/>
  <c r="V392" i="4"/>
  <c r="V393" i="4"/>
  <c r="V394" i="4"/>
  <c r="V395" i="4"/>
  <c r="V396" i="4"/>
  <c r="V397" i="4"/>
  <c r="V398" i="4"/>
  <c r="V399" i="4"/>
  <c r="V400" i="4"/>
  <c r="V401" i="4"/>
  <c r="V402" i="4"/>
  <c r="V403" i="4"/>
  <c r="V404" i="4"/>
  <c r="V405" i="4"/>
  <c r="V406" i="4"/>
  <c r="V407" i="4"/>
  <c r="V408" i="4"/>
  <c r="V409" i="4"/>
  <c r="V410" i="4"/>
  <c r="V411" i="4"/>
  <c r="V412" i="4"/>
  <c r="V413" i="4"/>
  <c r="V414" i="4"/>
  <c r="V415" i="4"/>
  <c r="V416" i="4"/>
  <c r="V417" i="4"/>
  <c r="V418" i="4"/>
  <c r="V419" i="4"/>
  <c r="V420" i="4"/>
  <c r="V421" i="4"/>
  <c r="V422" i="4"/>
  <c r="V423" i="4"/>
  <c r="V424" i="4"/>
  <c r="V425" i="4"/>
  <c r="V426" i="4"/>
  <c r="V427" i="4"/>
  <c r="V428" i="4"/>
  <c r="V429" i="4"/>
  <c r="V430" i="4"/>
  <c r="V431" i="4"/>
  <c r="V432" i="4"/>
  <c r="V433" i="4"/>
  <c r="V434" i="4"/>
  <c r="V435" i="4"/>
  <c r="V436" i="4"/>
  <c r="V437" i="4"/>
  <c r="V438" i="4"/>
  <c r="V439" i="4"/>
  <c r="V440" i="4"/>
  <c r="V441" i="4"/>
  <c r="V442" i="4"/>
  <c r="V443" i="4"/>
  <c r="V444" i="4"/>
  <c r="V445" i="4"/>
  <c r="V446" i="4"/>
  <c r="V447" i="4"/>
  <c r="V448" i="4"/>
  <c r="V449" i="4"/>
  <c r="V450" i="4"/>
  <c r="V451" i="4"/>
  <c r="V452" i="4"/>
  <c r="V453" i="4"/>
  <c r="V454" i="4"/>
  <c r="V455" i="4"/>
  <c r="V456" i="4"/>
  <c r="V457" i="4"/>
  <c r="V458" i="4"/>
  <c r="V459" i="4"/>
  <c r="V460" i="4"/>
  <c r="V461" i="4"/>
  <c r="V462" i="4"/>
  <c r="V463" i="4"/>
  <c r="V464" i="4"/>
  <c r="V465" i="4"/>
  <c r="V466" i="4"/>
  <c r="V467" i="4"/>
  <c r="V468" i="4"/>
  <c r="V469" i="4"/>
  <c r="V470" i="4"/>
  <c r="V471" i="4"/>
  <c r="V472" i="4"/>
  <c r="V473" i="4"/>
  <c r="V474" i="4"/>
  <c r="V475" i="4"/>
  <c r="V476" i="4"/>
  <c r="V477" i="4"/>
  <c r="V478" i="4"/>
  <c r="V479" i="4"/>
  <c r="V480" i="4"/>
  <c r="V481" i="4"/>
  <c r="V482" i="4"/>
  <c r="V483" i="4"/>
  <c r="V484" i="4"/>
  <c r="V485" i="4"/>
  <c r="V486" i="4"/>
  <c r="V487" i="4"/>
  <c r="V488" i="4"/>
  <c r="V489" i="4"/>
  <c r="V490" i="4"/>
  <c r="V491" i="4"/>
  <c r="V492" i="4"/>
  <c r="V493" i="4"/>
  <c r="V494" i="4"/>
  <c r="V495" i="4"/>
  <c r="V496" i="4"/>
  <c r="V497" i="4"/>
  <c r="V498" i="4"/>
  <c r="V499" i="4"/>
  <c r="V500" i="4"/>
  <c r="V501" i="4"/>
  <c r="V2" i="4"/>
  <c r="A642" i="4" l="1"/>
  <c r="A643" i="4" l="1"/>
  <c r="A644" i="4" l="1"/>
  <c r="A645" i="4" l="1"/>
  <c r="A646" i="4" l="1"/>
  <c r="A647" i="4" l="1"/>
  <c r="A648" i="4" l="1"/>
  <c r="A649" i="4" l="1"/>
  <c r="A3" i="4"/>
  <c r="A4" i="21" l="1"/>
  <c r="A650" i="4"/>
  <c r="A4" i="4"/>
  <c r="E14" i="12"/>
  <c r="D19" i="12" s="1"/>
  <c r="C19" i="12"/>
  <c r="A5" i="21" l="1"/>
  <c r="B4" i="21"/>
  <c r="F4" i="21"/>
  <c r="C4" i="21"/>
  <c r="A651" i="4"/>
  <c r="A5" i="4"/>
  <c r="A6" i="21" l="1"/>
  <c r="B5" i="21"/>
  <c r="C5" i="21"/>
  <c r="F5" i="21"/>
  <c r="A6" i="4"/>
  <c r="G4" i="21" l="1"/>
  <c r="A7" i="21"/>
  <c r="B6" i="21"/>
  <c r="C6" i="21"/>
  <c r="F6" i="21"/>
  <c r="A7" i="4"/>
  <c r="G5" i="21" l="1"/>
  <c r="A8" i="21"/>
  <c r="G7" i="21"/>
  <c r="B7" i="21"/>
  <c r="C7" i="21"/>
  <c r="F7" i="21"/>
  <c r="A8" i="4"/>
  <c r="G6" i="21" l="1"/>
  <c r="B8" i="21"/>
  <c r="F8" i="21"/>
  <c r="G8" i="21"/>
  <c r="C8" i="21"/>
  <c r="A9" i="21"/>
  <c r="A9" i="4"/>
  <c r="A10" i="21" l="1"/>
  <c r="B9" i="21"/>
  <c r="C9" i="21"/>
  <c r="F9" i="21"/>
  <c r="A10" i="4"/>
  <c r="A11" i="21" l="1"/>
  <c r="G10" i="21"/>
  <c r="B10" i="21"/>
  <c r="C10" i="21"/>
  <c r="F10" i="21"/>
  <c r="A11" i="4"/>
  <c r="A12" i="21" l="1"/>
  <c r="G11" i="21"/>
  <c r="F11" i="21"/>
  <c r="B11" i="21"/>
  <c r="C11" i="21"/>
  <c r="G9" i="21"/>
  <c r="A12" i="4"/>
  <c r="B12" i="21" l="1"/>
  <c r="F12" i="21"/>
  <c r="G12" i="21"/>
  <c r="C12" i="21"/>
  <c r="A13" i="21"/>
  <c r="A13" i="4"/>
  <c r="B13" i="21" l="1"/>
  <c r="F13" i="21"/>
  <c r="G13" i="21"/>
  <c r="C13" i="21"/>
  <c r="A14" i="21"/>
  <c r="A14" i="4"/>
  <c r="C14" i="21" l="1"/>
  <c r="F14" i="21"/>
  <c r="B14" i="21"/>
  <c r="G14" i="21"/>
  <c r="A15" i="21"/>
  <c r="A15" i="4"/>
  <c r="G15" i="21" l="1"/>
  <c r="F15" i="21"/>
  <c r="B15" i="21"/>
  <c r="C15" i="21"/>
  <c r="A16" i="21"/>
  <c r="A16" i="4"/>
  <c r="A17" i="4"/>
  <c r="A17" i="21" l="1"/>
  <c r="B16" i="21"/>
  <c r="F16" i="21"/>
  <c r="G16" i="21"/>
  <c r="C16" i="21"/>
  <c r="A18" i="21"/>
  <c r="A18" i="4"/>
  <c r="AI8" i="11"/>
  <c r="C18" i="21" l="1"/>
  <c r="F18" i="21"/>
  <c r="G18" i="21"/>
  <c r="B18" i="21"/>
  <c r="A19" i="21"/>
  <c r="B17" i="21"/>
  <c r="F17" i="21"/>
  <c r="G17" i="21"/>
  <c r="C17" i="21"/>
  <c r="A19" i="4"/>
  <c r="A20" i="4"/>
  <c r="A20" i="21" l="1"/>
  <c r="G19" i="21"/>
  <c r="C19" i="21"/>
  <c r="F19" i="21"/>
  <c r="B19" i="21"/>
  <c r="A21" i="21"/>
  <c r="A21" i="4"/>
  <c r="B20" i="21" l="1"/>
  <c r="F20" i="21"/>
  <c r="G20" i="21"/>
  <c r="C20" i="21"/>
  <c r="A22" i="21"/>
  <c r="B21" i="21"/>
  <c r="C21" i="21"/>
  <c r="F21" i="21"/>
  <c r="G21" i="21"/>
  <c r="A22" i="4"/>
  <c r="A23" i="21" l="1"/>
  <c r="G22" i="21"/>
  <c r="B22" i="21"/>
  <c r="C22" i="21"/>
  <c r="F22" i="21"/>
  <c r="A23" i="4"/>
  <c r="I7" i="1"/>
  <c r="B16" i="2"/>
  <c r="A19" i="2"/>
  <c r="D19" i="2"/>
  <c r="A20" i="2"/>
  <c r="A21" i="2"/>
  <c r="C17" i="1"/>
  <c r="C19" i="1" s="1"/>
  <c r="A24" i="21" l="1"/>
  <c r="G23" i="21"/>
  <c r="C23" i="21"/>
  <c r="F23" i="21"/>
  <c r="B23" i="21"/>
  <c r="A24" i="4"/>
  <c r="A25" i="4"/>
  <c r="E4" i="3"/>
  <c r="D4" i="3"/>
  <c r="C18" i="1"/>
  <c r="C10" i="1"/>
  <c r="C11" i="1" s="1"/>
  <c r="H7" i="1"/>
  <c r="H8" i="1" s="1"/>
  <c r="B24" i="21" l="1"/>
  <c r="G24" i="21"/>
  <c r="F24" i="21"/>
  <c r="C24" i="21"/>
  <c r="A26" i="21"/>
  <c r="A25" i="21"/>
  <c r="H10" i="1"/>
  <c r="I9" i="1"/>
  <c r="A26" i="4"/>
  <c r="F4" i="3"/>
  <c r="N4" i="3" s="1"/>
  <c r="K4" i="3"/>
  <c r="C20" i="1"/>
  <c r="C14" i="1"/>
  <c r="C13" i="1"/>
  <c r="O4" i="3" l="1"/>
  <c r="P4" i="3" s="1"/>
  <c r="L4" i="3"/>
  <c r="M4" i="3" s="1"/>
  <c r="B25" i="21"/>
  <c r="G25" i="21"/>
  <c r="C25" i="21"/>
  <c r="F25" i="21"/>
  <c r="A27" i="21"/>
  <c r="F26" i="21"/>
  <c r="G26" i="21"/>
  <c r="B26" i="21"/>
  <c r="C26" i="21"/>
  <c r="K454" i="3"/>
  <c r="S4" i="3"/>
  <c r="A27" i="4"/>
  <c r="I4" i="3"/>
  <c r="C15" i="1"/>
  <c r="I8" i="1"/>
  <c r="H9" i="1" s="1"/>
  <c r="I10" i="1" s="1"/>
  <c r="A28" i="21" l="1"/>
  <c r="G27" i="21"/>
  <c r="B27" i="21"/>
  <c r="C27" i="21"/>
  <c r="F27" i="21"/>
  <c r="A28" i="4"/>
  <c r="C16" i="1"/>
  <c r="B28" i="21" l="1"/>
  <c r="F28" i="21"/>
  <c r="G28" i="21"/>
  <c r="C28" i="21"/>
  <c r="A29" i="21"/>
  <c r="A29" i="4"/>
  <c r="A30" i="21" l="1"/>
  <c r="B29" i="21"/>
  <c r="C29" i="21"/>
  <c r="F29" i="21"/>
  <c r="G29" i="21"/>
  <c r="A30" i="4"/>
  <c r="A31" i="21" l="1"/>
  <c r="B30" i="21"/>
  <c r="C30" i="21"/>
  <c r="F30" i="21"/>
  <c r="G30" i="21"/>
  <c r="A31" i="4"/>
  <c r="A32" i="21" l="1"/>
  <c r="G31" i="21"/>
  <c r="B31" i="21"/>
  <c r="C31" i="21"/>
  <c r="F31" i="21"/>
  <c r="A32" i="4"/>
  <c r="B32" i="21" l="1"/>
  <c r="F32" i="21"/>
  <c r="G32" i="21"/>
  <c r="C32" i="21"/>
  <c r="A33" i="21"/>
  <c r="A33" i="4"/>
  <c r="A34" i="21" l="1"/>
  <c r="B33" i="21"/>
  <c r="C33" i="21"/>
  <c r="F33" i="21"/>
  <c r="G33" i="21"/>
  <c r="A34" i="4"/>
  <c r="A35" i="21" l="1"/>
  <c r="G34" i="21"/>
  <c r="B34" i="21"/>
  <c r="C34" i="21"/>
  <c r="F34" i="21"/>
  <c r="A35" i="4"/>
  <c r="A36" i="21" l="1"/>
  <c r="G35" i="21"/>
  <c r="B35" i="21"/>
  <c r="C35" i="21"/>
  <c r="F35" i="21"/>
  <c r="A36" i="4"/>
  <c r="A37" i="21" l="1"/>
  <c r="B36" i="21"/>
  <c r="F36" i="21"/>
  <c r="G36" i="21"/>
  <c r="C36" i="21"/>
  <c r="A37" i="4"/>
  <c r="A38" i="21" l="1"/>
  <c r="B37" i="21"/>
  <c r="F37" i="21"/>
  <c r="G37" i="21"/>
  <c r="C37" i="21"/>
  <c r="A38" i="4"/>
  <c r="C38" i="21" l="1"/>
  <c r="F38" i="21"/>
  <c r="G38" i="21"/>
  <c r="B38" i="21"/>
  <c r="A39" i="21"/>
  <c r="A39" i="4"/>
  <c r="A40" i="21" l="1"/>
  <c r="G39" i="21"/>
  <c r="B39" i="21"/>
  <c r="C39" i="21"/>
  <c r="F39" i="21"/>
  <c r="A40" i="4"/>
  <c r="B40" i="21" l="1"/>
  <c r="F40" i="21"/>
  <c r="G40" i="21"/>
  <c r="C40" i="21"/>
  <c r="A41" i="21"/>
  <c r="A41" i="4"/>
  <c r="B41" i="21" l="1"/>
  <c r="C41" i="21"/>
  <c r="F41" i="21"/>
  <c r="G41" i="21"/>
  <c r="A42" i="21"/>
  <c r="A42" i="4"/>
  <c r="B42" i="21" l="1"/>
  <c r="C42" i="21"/>
  <c r="F42" i="21"/>
  <c r="G42" i="21"/>
  <c r="A43" i="21"/>
  <c r="A43" i="4"/>
  <c r="G43" i="21" l="1"/>
  <c r="F43" i="21"/>
  <c r="B43" i="21"/>
  <c r="C43" i="21"/>
  <c r="A44" i="21"/>
  <c r="A44" i="4"/>
  <c r="A45" i="21" l="1"/>
  <c r="B44" i="21"/>
  <c r="G44" i="21"/>
  <c r="F44" i="21"/>
  <c r="C44" i="21"/>
  <c r="A45" i="4"/>
  <c r="A46" i="21" l="1"/>
  <c r="B45" i="21"/>
  <c r="G45" i="21"/>
  <c r="C45" i="21"/>
  <c r="F45" i="21"/>
  <c r="A46" i="4"/>
  <c r="A47" i="21" l="1"/>
  <c r="F46" i="21"/>
  <c r="G46" i="21"/>
  <c r="B46" i="21"/>
  <c r="C46" i="21"/>
  <c r="A47" i="4"/>
  <c r="A48" i="21" l="1"/>
  <c r="G47" i="21"/>
  <c r="F47" i="21"/>
  <c r="B47" i="21"/>
  <c r="C47" i="21"/>
  <c r="A48" i="4"/>
  <c r="A49" i="21" l="1"/>
  <c r="B48" i="21"/>
  <c r="F48" i="21"/>
  <c r="G48" i="21"/>
  <c r="C48" i="21"/>
  <c r="A49" i="4"/>
  <c r="A50" i="21" l="1"/>
  <c r="B49" i="21"/>
  <c r="F49" i="21"/>
  <c r="G49" i="21"/>
  <c r="C49" i="21"/>
  <c r="A50" i="4"/>
  <c r="A51" i="21" l="1"/>
  <c r="C50" i="21"/>
  <c r="F50" i="21"/>
  <c r="G50" i="21"/>
  <c r="B50" i="21"/>
  <c r="A51" i="4"/>
  <c r="A52" i="21" l="1"/>
  <c r="G51" i="21"/>
  <c r="C51" i="21"/>
  <c r="F51" i="21"/>
  <c r="B51" i="21"/>
  <c r="A52" i="4"/>
  <c r="A53" i="21" l="1"/>
  <c r="B52" i="21"/>
  <c r="F52" i="21"/>
  <c r="G52" i="21"/>
  <c r="C52" i="21"/>
  <c r="A53" i="4"/>
  <c r="A54" i="21" l="1"/>
  <c r="B53" i="21"/>
  <c r="C53" i="21"/>
  <c r="F53" i="21"/>
  <c r="G53" i="21"/>
  <c r="A54" i="4"/>
  <c r="G54" i="21" l="1"/>
  <c r="B54" i="21"/>
  <c r="C54" i="21"/>
  <c r="F54" i="21"/>
  <c r="A55" i="21"/>
  <c r="A55" i="4"/>
  <c r="A56" i="21" l="1"/>
  <c r="B55" i="21"/>
  <c r="C55" i="21"/>
  <c r="F55" i="21"/>
  <c r="G55" i="21"/>
  <c r="A56" i="4"/>
  <c r="A57" i="21" l="1"/>
  <c r="G56" i="21"/>
  <c r="B56" i="21"/>
  <c r="C56" i="21"/>
  <c r="F56" i="21"/>
  <c r="A57" i="4"/>
  <c r="A58" i="21" l="1"/>
  <c r="B57" i="21"/>
  <c r="C57" i="21"/>
  <c r="F57" i="21"/>
  <c r="G57" i="21"/>
  <c r="A58" i="4"/>
  <c r="A59" i="21" l="1"/>
  <c r="B58" i="21"/>
  <c r="C58" i="21"/>
  <c r="F58" i="21"/>
  <c r="G58" i="21"/>
  <c r="A59" i="4"/>
  <c r="A60" i="21" l="1"/>
  <c r="C59" i="21"/>
  <c r="F59" i="21"/>
  <c r="B59" i="21"/>
  <c r="G59" i="21"/>
  <c r="A60" i="4"/>
  <c r="A61" i="21" l="1"/>
  <c r="F60" i="21"/>
  <c r="G60" i="21"/>
  <c r="B60" i="21"/>
  <c r="C60" i="21"/>
  <c r="A61" i="4"/>
  <c r="B61" i="21" l="1"/>
  <c r="C61" i="21"/>
  <c r="F61" i="21"/>
  <c r="G61" i="21"/>
  <c r="A62" i="21"/>
  <c r="A62" i="4"/>
  <c r="A63" i="21" l="1"/>
  <c r="G62" i="21"/>
  <c r="B62" i="21"/>
  <c r="C62" i="21"/>
  <c r="F62" i="21"/>
  <c r="A63" i="4"/>
  <c r="A64" i="21" l="1"/>
  <c r="B63" i="21"/>
  <c r="G63" i="21"/>
  <c r="C63" i="21"/>
  <c r="F63" i="21"/>
  <c r="A64" i="4"/>
  <c r="F64" i="21" l="1"/>
  <c r="G64" i="21"/>
  <c r="B64" i="21"/>
  <c r="C64" i="21"/>
  <c r="A65" i="21"/>
  <c r="A65" i="4"/>
  <c r="B65" i="21" l="1"/>
  <c r="F65" i="21"/>
  <c r="G65" i="21"/>
  <c r="C65" i="21"/>
  <c r="A66" i="21"/>
  <c r="A66" i="4"/>
  <c r="C66" i="21" l="1"/>
  <c r="F66" i="21"/>
  <c r="G66" i="21"/>
  <c r="B66" i="21"/>
  <c r="A67" i="21"/>
  <c r="A67" i="4"/>
  <c r="A68" i="21" l="1"/>
  <c r="B67" i="21"/>
  <c r="G67" i="21"/>
  <c r="C67" i="21"/>
  <c r="F67" i="21"/>
  <c r="A68" i="4"/>
  <c r="A69" i="21" l="1"/>
  <c r="F68" i="21"/>
  <c r="G68" i="21"/>
  <c r="B68" i="21"/>
  <c r="C68" i="21"/>
  <c r="A69" i="4"/>
  <c r="A70" i="21" l="1"/>
  <c r="B69" i="21"/>
  <c r="F69" i="21"/>
  <c r="G69" i="21"/>
  <c r="C69" i="21"/>
  <c r="A70" i="4"/>
  <c r="A71" i="21" l="1"/>
  <c r="C70" i="21"/>
  <c r="F70" i="21"/>
  <c r="G70" i="21"/>
  <c r="B70" i="21"/>
  <c r="A71" i="4"/>
  <c r="A72" i="21" l="1"/>
  <c r="B71" i="21"/>
  <c r="G71" i="21"/>
  <c r="C71" i="21"/>
  <c r="F71" i="21"/>
  <c r="A72" i="4"/>
  <c r="A73" i="21" l="1"/>
  <c r="B72" i="21"/>
  <c r="C72" i="21"/>
  <c r="F72" i="21"/>
  <c r="G72" i="21"/>
  <c r="A73" i="4"/>
  <c r="A74" i="21" l="1"/>
  <c r="B73" i="21"/>
  <c r="G73" i="21"/>
  <c r="C73" i="21"/>
  <c r="F73" i="21"/>
  <c r="A74" i="4"/>
  <c r="A75" i="21" l="1"/>
  <c r="F74" i="21"/>
  <c r="G74" i="21"/>
  <c r="B74" i="21"/>
  <c r="C74" i="21"/>
  <c r="A75" i="4"/>
  <c r="A76" i="21" l="1"/>
  <c r="G75" i="21"/>
  <c r="C75" i="21"/>
  <c r="F75" i="21"/>
  <c r="B75" i="21"/>
  <c r="A76" i="4"/>
  <c r="A77" i="21" l="1"/>
  <c r="F76" i="21"/>
  <c r="G76" i="21"/>
  <c r="B76" i="21"/>
  <c r="C76" i="21"/>
  <c r="A77" i="4"/>
  <c r="A78" i="21" l="1"/>
  <c r="B77" i="21"/>
  <c r="F77" i="21"/>
  <c r="G77" i="21"/>
  <c r="C77" i="21"/>
  <c r="A78" i="4"/>
  <c r="C78" i="21" l="1"/>
  <c r="F78" i="21"/>
  <c r="G78" i="21"/>
  <c r="B78" i="21"/>
  <c r="A79" i="21"/>
  <c r="A79" i="4"/>
  <c r="A80" i="21" l="1"/>
  <c r="B79" i="21"/>
  <c r="G79" i="21"/>
  <c r="C79" i="21"/>
  <c r="F79" i="21"/>
  <c r="A80" i="4"/>
  <c r="A81" i="21" l="1"/>
  <c r="F80" i="21"/>
  <c r="G80" i="21"/>
  <c r="B80" i="21"/>
  <c r="C80" i="21"/>
  <c r="A81" i="4"/>
  <c r="B81" i="21" l="1"/>
  <c r="C81" i="21"/>
  <c r="F81" i="21"/>
  <c r="G81" i="21"/>
  <c r="A82" i="21"/>
  <c r="A82" i="4"/>
  <c r="G82" i="21" l="1"/>
  <c r="B82" i="21"/>
  <c r="C82" i="21"/>
  <c r="F82" i="21"/>
  <c r="A83" i="21"/>
  <c r="A83" i="4"/>
  <c r="A84" i="21" l="1"/>
  <c r="B83" i="21"/>
  <c r="G83" i="21"/>
  <c r="C83" i="21"/>
  <c r="F83" i="21"/>
  <c r="A84" i="4"/>
  <c r="A85" i="21" l="1"/>
  <c r="F84" i="21"/>
  <c r="B84" i="21"/>
  <c r="G84" i="21"/>
  <c r="C84" i="21"/>
  <c r="A85" i="4"/>
  <c r="A86" i="21" l="1"/>
  <c r="B85" i="21"/>
  <c r="C85" i="21"/>
  <c r="F85" i="21"/>
  <c r="G85" i="21"/>
  <c r="A86" i="4"/>
  <c r="G86" i="21" l="1"/>
  <c r="B86" i="21"/>
  <c r="C86" i="21"/>
  <c r="F86" i="21"/>
  <c r="A87" i="21"/>
  <c r="A87" i="4"/>
  <c r="A88" i="21" l="1"/>
  <c r="B87" i="21"/>
  <c r="C87" i="21"/>
  <c r="F87" i="21"/>
  <c r="G87" i="21"/>
  <c r="A88" i="4"/>
  <c r="A89" i="21" l="1"/>
  <c r="G88" i="21"/>
  <c r="B88" i="21"/>
  <c r="C88" i="21"/>
  <c r="F88" i="21"/>
  <c r="A89" i="4"/>
  <c r="A90" i="21" l="1"/>
  <c r="B89" i="21"/>
  <c r="C89" i="21"/>
  <c r="F89" i="21"/>
  <c r="G89" i="21"/>
  <c r="A90" i="4"/>
  <c r="B90" i="21" l="1"/>
  <c r="C90" i="21"/>
  <c r="F90" i="21"/>
  <c r="G90" i="21"/>
  <c r="A91" i="21"/>
  <c r="A91" i="4"/>
  <c r="C91" i="21" l="1"/>
  <c r="F91" i="21"/>
  <c r="B91" i="21"/>
  <c r="G91" i="21"/>
  <c r="A92" i="21"/>
  <c r="A92" i="4"/>
  <c r="F92" i="21" l="1"/>
  <c r="G92" i="21"/>
  <c r="B92" i="21"/>
  <c r="C92" i="21"/>
  <c r="A93" i="21"/>
  <c r="A93" i="4"/>
  <c r="B93" i="21" l="1"/>
  <c r="F93" i="21"/>
  <c r="G93" i="21"/>
  <c r="C93" i="21"/>
  <c r="A94" i="21"/>
  <c r="A94" i="4"/>
  <c r="A95" i="21" l="1"/>
  <c r="B94" i="21"/>
  <c r="C94" i="21"/>
  <c r="F94" i="21"/>
  <c r="G94" i="21"/>
  <c r="A95" i="4"/>
  <c r="F95" i="21" l="1"/>
  <c r="B95" i="21"/>
  <c r="C95" i="21"/>
  <c r="G95" i="21"/>
  <c r="A96" i="21"/>
  <c r="A96" i="4"/>
  <c r="C96" i="21" l="1"/>
  <c r="B96" i="21"/>
  <c r="F96" i="21"/>
  <c r="G96" i="21"/>
  <c r="A97" i="21"/>
  <c r="A97" i="4"/>
  <c r="A98" i="21" l="1"/>
  <c r="B97" i="21"/>
  <c r="C97" i="21"/>
  <c r="F97" i="21"/>
  <c r="G97" i="21"/>
  <c r="A98" i="4"/>
  <c r="A99" i="21" l="1"/>
  <c r="G98" i="21"/>
  <c r="B98" i="21"/>
  <c r="C98" i="21"/>
  <c r="F98" i="21"/>
  <c r="A99" i="4"/>
  <c r="B99" i="21" l="1"/>
  <c r="C99" i="21"/>
  <c r="G99" i="21"/>
  <c r="F99" i="21"/>
  <c r="A100" i="21"/>
  <c r="A100" i="4"/>
  <c r="A101" i="21" l="1"/>
  <c r="G100" i="21"/>
  <c r="C100" i="21"/>
  <c r="B100" i="21"/>
  <c r="F100" i="21"/>
  <c r="A101" i="4"/>
  <c r="C101" i="21" l="1"/>
  <c r="F101" i="21"/>
  <c r="G101" i="21"/>
  <c r="B101" i="21"/>
  <c r="A102" i="21"/>
  <c r="A102" i="4"/>
  <c r="G102" i="21" l="1"/>
  <c r="B102" i="21"/>
  <c r="C102" i="21"/>
  <c r="F102" i="21"/>
  <c r="A103" i="21"/>
  <c r="A103" i="4"/>
  <c r="A104" i="21" l="1"/>
  <c r="F103" i="21"/>
  <c r="G103" i="21"/>
  <c r="C103" i="21"/>
  <c r="B103" i="21"/>
  <c r="A104" i="4"/>
  <c r="A105" i="21" l="1"/>
  <c r="C104" i="21"/>
  <c r="G104" i="21"/>
  <c r="F104" i="21"/>
  <c r="B104" i="21"/>
  <c r="A105" i="4"/>
  <c r="A106" i="21" l="1"/>
  <c r="B105" i="21"/>
  <c r="G105" i="21"/>
  <c r="F105" i="21"/>
  <c r="C105" i="21"/>
  <c r="A106" i="4"/>
  <c r="A107" i="21" l="1"/>
  <c r="B106" i="21"/>
  <c r="C106" i="21"/>
  <c r="F106" i="21"/>
  <c r="G106" i="21"/>
  <c r="A107" i="4"/>
  <c r="A108" i="21" l="1"/>
  <c r="F107" i="21"/>
  <c r="C107" i="21"/>
  <c r="G107" i="21"/>
  <c r="B107" i="21"/>
  <c r="A108" i="4"/>
  <c r="A109" i="21" l="1"/>
  <c r="C108" i="21"/>
  <c r="F108" i="21"/>
  <c r="G108" i="21"/>
  <c r="B108" i="21"/>
  <c r="A109" i="4"/>
  <c r="A110" i="21" l="1"/>
  <c r="B109" i="21"/>
  <c r="G109" i="21"/>
  <c r="F109" i="21"/>
  <c r="C109" i="21"/>
  <c r="A110" i="4"/>
  <c r="A111" i="21" l="1"/>
  <c r="F110" i="21"/>
  <c r="G110" i="21"/>
  <c r="B110" i="21"/>
  <c r="C110" i="21"/>
  <c r="A111" i="4"/>
  <c r="A112" i="21" l="1"/>
  <c r="F111" i="21"/>
  <c r="C111" i="21"/>
  <c r="G111" i="21"/>
  <c r="B111" i="21"/>
  <c r="A112" i="4"/>
  <c r="A113" i="21" l="1"/>
  <c r="C112" i="21"/>
  <c r="F112" i="21"/>
  <c r="G112" i="21"/>
  <c r="B112" i="21"/>
  <c r="A113" i="4"/>
  <c r="A114" i="21" l="1"/>
  <c r="B113" i="21"/>
  <c r="F113" i="21"/>
  <c r="G113" i="21"/>
  <c r="C113" i="21"/>
  <c r="A114" i="4"/>
  <c r="C114" i="21" l="1"/>
  <c r="F114" i="21"/>
  <c r="G114" i="21"/>
  <c r="B114" i="21"/>
  <c r="A115" i="21"/>
  <c r="A115" i="4"/>
  <c r="A116" i="21" l="1"/>
  <c r="B115" i="21"/>
  <c r="C115" i="21"/>
  <c r="G115" i="21"/>
  <c r="F115" i="21"/>
  <c r="A116" i="4"/>
  <c r="C116" i="21" l="1"/>
  <c r="B116" i="21"/>
  <c r="F116" i="21"/>
  <c r="G116" i="21"/>
  <c r="A117" i="21"/>
  <c r="A117" i="4"/>
  <c r="A118" i="21" l="1"/>
  <c r="G117" i="21"/>
  <c r="B117" i="21"/>
  <c r="C117" i="21"/>
  <c r="F117" i="21"/>
  <c r="A118" i="4"/>
  <c r="A119" i="21" l="1"/>
  <c r="B118" i="21"/>
  <c r="F118" i="21"/>
  <c r="G118" i="21"/>
  <c r="C118" i="21"/>
  <c r="A119" i="4"/>
  <c r="A120" i="21" l="1"/>
  <c r="B119" i="21"/>
  <c r="F119" i="21"/>
  <c r="G119" i="21"/>
  <c r="C119" i="21"/>
  <c r="A120" i="4"/>
  <c r="C120" i="21" l="1"/>
  <c r="F120" i="21"/>
  <c r="G120" i="21"/>
  <c r="B120" i="21"/>
  <c r="A121" i="21"/>
  <c r="A121" i="4"/>
  <c r="G121" i="21" l="1"/>
  <c r="B121" i="21"/>
  <c r="C121" i="21"/>
  <c r="F121" i="21"/>
  <c r="A122" i="21"/>
  <c r="A122" i="4"/>
  <c r="B122" i="21" l="1"/>
  <c r="F122" i="21"/>
  <c r="G122" i="21"/>
  <c r="C122" i="21"/>
  <c r="A123" i="21"/>
  <c r="A123" i="4"/>
  <c r="A124" i="21" l="1"/>
  <c r="B123" i="21"/>
  <c r="C123" i="21"/>
  <c r="F123" i="21"/>
  <c r="G123" i="21"/>
  <c r="A124" i="4"/>
  <c r="G124" i="21" l="1"/>
  <c r="B124" i="21"/>
  <c r="C124" i="21"/>
  <c r="F124" i="21"/>
  <c r="A125" i="21"/>
  <c r="A125" i="4"/>
  <c r="A126" i="21" l="1"/>
  <c r="G125" i="21"/>
  <c r="B125" i="21"/>
  <c r="C125" i="21"/>
  <c r="F125" i="21"/>
  <c r="A126" i="4"/>
  <c r="A127" i="21" l="1"/>
  <c r="B126" i="21"/>
  <c r="F126" i="21"/>
  <c r="G126" i="21"/>
  <c r="C126" i="21"/>
  <c r="A127" i="4"/>
  <c r="A128" i="21" l="1"/>
  <c r="B127" i="21"/>
  <c r="F127" i="21"/>
  <c r="G127" i="21"/>
  <c r="C127" i="21"/>
  <c r="A128" i="4"/>
  <c r="C128" i="21" l="1"/>
  <c r="F128" i="21"/>
  <c r="G128" i="21"/>
  <c r="B128" i="21"/>
  <c r="A129" i="21"/>
  <c r="A129" i="4"/>
  <c r="A130" i="21" l="1"/>
  <c r="G129" i="21"/>
  <c r="B129" i="21"/>
  <c r="C129" i="21"/>
  <c r="F129" i="21"/>
  <c r="A130" i="4"/>
  <c r="B130" i="21" l="1"/>
  <c r="F130" i="21"/>
  <c r="G130" i="21"/>
  <c r="C130" i="21"/>
  <c r="A131" i="21"/>
  <c r="A131" i="4"/>
  <c r="A132" i="21" l="1"/>
  <c r="B131" i="21"/>
  <c r="C131" i="21"/>
  <c r="F131" i="21"/>
  <c r="G131" i="21"/>
  <c r="A132" i="4"/>
  <c r="A133" i="21" l="1"/>
  <c r="B132" i="21"/>
  <c r="C132" i="21"/>
  <c r="F132" i="21"/>
  <c r="G132" i="21"/>
  <c r="A133" i="4"/>
  <c r="A134" i="21" l="1"/>
  <c r="G133" i="21"/>
  <c r="F133" i="21"/>
  <c r="B133" i="21"/>
  <c r="C133" i="21"/>
  <c r="A134" i="4"/>
  <c r="B134" i="21" l="1"/>
  <c r="G134" i="21"/>
  <c r="F134" i="21"/>
  <c r="C134" i="21"/>
  <c r="A135" i="21"/>
  <c r="A135" i="4"/>
  <c r="B135" i="21" l="1"/>
  <c r="G135" i="21"/>
  <c r="C135" i="21"/>
  <c r="F135" i="21"/>
  <c r="A136" i="21"/>
  <c r="A136" i="4"/>
  <c r="A137" i="21" l="1"/>
  <c r="F136" i="21"/>
  <c r="G136" i="21"/>
  <c r="B136" i="21"/>
  <c r="C136" i="21"/>
  <c r="A137" i="4"/>
  <c r="G137" i="21" l="1"/>
  <c r="F137" i="21"/>
  <c r="B137" i="21"/>
  <c r="C137" i="21"/>
  <c r="A138" i="21"/>
  <c r="A138" i="4"/>
  <c r="A139" i="21" l="1"/>
  <c r="B138" i="21"/>
  <c r="F138" i="21"/>
  <c r="G138" i="21"/>
  <c r="C138" i="21"/>
  <c r="A139" i="4"/>
  <c r="A140" i="21" l="1"/>
  <c r="B139" i="21"/>
  <c r="F139" i="21"/>
  <c r="G139" i="21"/>
  <c r="C139" i="21"/>
  <c r="A140" i="4"/>
  <c r="C140" i="21" l="1"/>
  <c r="F140" i="21"/>
  <c r="G140" i="21"/>
  <c r="B140" i="21"/>
  <c r="A141" i="21"/>
  <c r="A141" i="4"/>
  <c r="A142" i="21" l="1"/>
  <c r="G141" i="21"/>
  <c r="C141" i="21"/>
  <c r="F141" i="21"/>
  <c r="B141" i="21"/>
  <c r="A142" i="4"/>
  <c r="A143" i="21" l="1"/>
  <c r="B142" i="21"/>
  <c r="F142" i="21"/>
  <c r="G142" i="21"/>
  <c r="C142" i="21"/>
  <c r="A143" i="4"/>
  <c r="A144" i="21" l="1"/>
  <c r="B143" i="21"/>
  <c r="C143" i="21"/>
  <c r="F143" i="21"/>
  <c r="G143" i="21"/>
  <c r="A144" i="4"/>
  <c r="A145" i="21" l="1"/>
  <c r="G144" i="21"/>
  <c r="B144" i="21"/>
  <c r="C144" i="21"/>
  <c r="F144" i="21"/>
  <c r="A145" i="4"/>
  <c r="A146" i="21" l="1"/>
  <c r="G145" i="21"/>
  <c r="C145" i="21"/>
  <c r="F145" i="21"/>
  <c r="B145" i="21"/>
  <c r="A146" i="4"/>
  <c r="A147" i="21" l="1"/>
  <c r="B146" i="21"/>
  <c r="G146" i="21"/>
  <c r="F146" i="21"/>
  <c r="C146" i="21"/>
  <c r="A147" i="4"/>
  <c r="B147" i="21" l="1"/>
  <c r="G147" i="21"/>
  <c r="C147" i="21"/>
  <c r="F147" i="21"/>
  <c r="A148" i="21"/>
  <c r="A148" i="4"/>
  <c r="F148" i="21" l="1"/>
  <c r="G148" i="21"/>
  <c r="B148" i="21"/>
  <c r="C148" i="21"/>
  <c r="A149" i="21"/>
  <c r="A149" i="4"/>
  <c r="A150" i="21" l="1"/>
  <c r="G149" i="21"/>
  <c r="B149" i="21"/>
  <c r="C149" i="21"/>
  <c r="F149" i="21"/>
  <c r="A150" i="4"/>
  <c r="A151" i="21" l="1"/>
  <c r="B150" i="21"/>
  <c r="F150" i="21"/>
  <c r="G150" i="21"/>
  <c r="C150" i="21"/>
  <c r="A151" i="4"/>
  <c r="B151" i="21" l="1"/>
  <c r="C151" i="21"/>
  <c r="F151" i="21"/>
  <c r="G151" i="21"/>
  <c r="A152" i="21"/>
  <c r="A152" i="4"/>
  <c r="B152" i="21" l="1"/>
  <c r="C152" i="21"/>
  <c r="F152" i="21"/>
  <c r="G152" i="21"/>
  <c r="A153" i="21"/>
  <c r="A153" i="4"/>
  <c r="A154" i="21" l="1"/>
  <c r="G153" i="21"/>
  <c r="B153" i="21"/>
  <c r="C153" i="21"/>
  <c r="F153" i="21"/>
  <c r="A154" i="4"/>
  <c r="A155" i="21" l="1"/>
  <c r="B154" i="21"/>
  <c r="F154" i="21"/>
  <c r="G154" i="21"/>
  <c r="C154" i="21"/>
  <c r="A155" i="4"/>
  <c r="A156" i="21" l="1"/>
  <c r="B155" i="21"/>
  <c r="C155" i="21"/>
  <c r="F155" i="21"/>
  <c r="G155" i="21"/>
  <c r="A156" i="4"/>
  <c r="G156" i="21" l="1"/>
  <c r="B156" i="21"/>
  <c r="C156" i="21"/>
  <c r="F156" i="21"/>
  <c r="A157" i="21"/>
  <c r="A157" i="4"/>
  <c r="A158" i="21" l="1"/>
  <c r="B157" i="21"/>
  <c r="G157" i="21"/>
  <c r="C157" i="21"/>
  <c r="F157" i="21"/>
  <c r="A158" i="4"/>
  <c r="F158" i="21" l="1"/>
  <c r="G158" i="21"/>
  <c r="B158" i="21"/>
  <c r="C158" i="21"/>
  <c r="A159" i="21"/>
  <c r="A159" i="4"/>
  <c r="B159" i="21" l="1"/>
  <c r="F159" i="21"/>
  <c r="G159" i="21"/>
  <c r="C159" i="21"/>
  <c r="A160" i="21"/>
  <c r="A160" i="4"/>
  <c r="C160" i="21" l="1"/>
  <c r="F160" i="21"/>
  <c r="G160" i="21"/>
  <c r="B160" i="21"/>
  <c r="A161" i="21"/>
  <c r="A161" i="4"/>
  <c r="A162" i="21" l="1"/>
  <c r="B161" i="21"/>
  <c r="G161" i="21"/>
  <c r="C161" i="21"/>
  <c r="F161" i="21"/>
  <c r="A162" i="4"/>
  <c r="A163" i="21" l="1"/>
  <c r="F162" i="21"/>
  <c r="G162" i="21"/>
  <c r="B162" i="21"/>
  <c r="C162" i="21"/>
  <c r="A163" i="4"/>
  <c r="A164" i="21" l="1"/>
  <c r="B163" i="21"/>
  <c r="F163" i="21"/>
  <c r="G163" i="21"/>
  <c r="C163" i="21"/>
  <c r="A164" i="4"/>
  <c r="A165" i="21" l="1"/>
  <c r="C164" i="21"/>
  <c r="F164" i="21"/>
  <c r="G164" i="21"/>
  <c r="B164" i="21"/>
  <c r="A165" i="4"/>
  <c r="A166" i="21" l="1"/>
  <c r="B165" i="21"/>
  <c r="G165" i="21"/>
  <c r="C165" i="21"/>
  <c r="F165" i="21"/>
  <c r="A166" i="4"/>
  <c r="A167" i="21" l="1"/>
  <c r="C166" i="21"/>
  <c r="B166" i="21"/>
  <c r="F166" i="21"/>
  <c r="G166" i="21"/>
  <c r="A167" i="4"/>
  <c r="B167" i="21" l="1"/>
  <c r="G167" i="21"/>
  <c r="C167" i="21"/>
  <c r="F167" i="21"/>
  <c r="A168" i="21"/>
  <c r="A168" i="4"/>
  <c r="A169" i="21" l="1"/>
  <c r="F168" i="21"/>
  <c r="G168" i="21"/>
  <c r="B168" i="21"/>
  <c r="C168" i="21"/>
  <c r="A169" i="4"/>
  <c r="A170" i="21" l="1"/>
  <c r="C169" i="21"/>
  <c r="F169" i="21"/>
  <c r="G169" i="21"/>
  <c r="B169" i="21"/>
  <c r="A170" i="4"/>
  <c r="A171" i="21" l="1"/>
  <c r="F170" i="21"/>
  <c r="G170" i="21"/>
  <c r="B170" i="21"/>
  <c r="C170" i="21"/>
  <c r="A171" i="4"/>
  <c r="A172" i="21" l="1"/>
  <c r="B171" i="21"/>
  <c r="F171" i="21"/>
  <c r="G171" i="21"/>
  <c r="C171" i="21"/>
  <c r="A172" i="4"/>
  <c r="A173" i="21" l="1"/>
  <c r="C172" i="21"/>
  <c r="F172" i="21"/>
  <c r="G172" i="21"/>
  <c r="B172" i="21"/>
  <c r="A173" i="4"/>
  <c r="B173" i="21" l="1"/>
  <c r="G173" i="21"/>
  <c r="C173" i="21"/>
  <c r="F173" i="21"/>
  <c r="A174" i="21"/>
  <c r="A174" i="4"/>
  <c r="A175" i="21" l="1"/>
  <c r="F174" i="21"/>
  <c r="G174" i="21"/>
  <c r="B174" i="21"/>
  <c r="C174" i="21"/>
  <c r="A175" i="4"/>
  <c r="A176" i="21" l="1"/>
  <c r="B175" i="21"/>
  <c r="C175" i="21"/>
  <c r="F175" i="21"/>
  <c r="G175" i="21"/>
  <c r="A176" i="4"/>
  <c r="A177" i="21" l="1"/>
  <c r="G176" i="21"/>
  <c r="B176" i="21"/>
  <c r="C176" i="21"/>
  <c r="F176" i="21"/>
  <c r="A177" i="4"/>
  <c r="A178" i="21" l="1"/>
  <c r="B177" i="21"/>
  <c r="G177" i="21"/>
  <c r="C177" i="21"/>
  <c r="F177" i="21"/>
  <c r="A178" i="4"/>
  <c r="F178" i="21" l="1"/>
  <c r="B178" i="21"/>
  <c r="C178" i="21"/>
  <c r="G178" i="21"/>
  <c r="A179" i="21"/>
  <c r="A179" i="4"/>
  <c r="A180" i="21" l="1"/>
  <c r="B179" i="21"/>
  <c r="C179" i="21"/>
  <c r="F179" i="21"/>
  <c r="G179" i="21"/>
  <c r="A180" i="4"/>
  <c r="G180" i="21" l="1"/>
  <c r="B180" i="21"/>
  <c r="C180" i="21"/>
  <c r="F180" i="21"/>
  <c r="A181" i="21"/>
  <c r="A181" i="4"/>
  <c r="A182" i="21" l="1"/>
  <c r="B181" i="21"/>
  <c r="G181" i="21"/>
  <c r="C181" i="21"/>
  <c r="F181" i="21"/>
  <c r="A182" i="4"/>
  <c r="C182" i="21" l="1"/>
  <c r="G182" i="21"/>
  <c r="F182" i="21"/>
  <c r="B182" i="21"/>
  <c r="A183" i="21"/>
  <c r="A183" i="4"/>
  <c r="A184" i="21" l="1"/>
  <c r="B183" i="21"/>
  <c r="C183" i="21"/>
  <c r="F183" i="21"/>
  <c r="G183" i="21"/>
  <c r="A184" i="4"/>
  <c r="A185" i="21" l="1"/>
  <c r="B184" i="21"/>
  <c r="C184" i="21"/>
  <c r="F184" i="21"/>
  <c r="G184" i="21"/>
  <c r="A185" i="4"/>
  <c r="G185" i="21" l="1"/>
  <c r="B185" i="21"/>
  <c r="C185" i="21"/>
  <c r="F185" i="21"/>
  <c r="A186" i="21"/>
  <c r="A186" i="4"/>
  <c r="F186" i="21" l="1"/>
  <c r="G186" i="21"/>
  <c r="B186" i="21"/>
  <c r="C186" i="21"/>
  <c r="A187" i="21"/>
  <c r="A187" i="4"/>
  <c r="A188" i="21" l="1"/>
  <c r="B187" i="21"/>
  <c r="C187" i="21"/>
  <c r="F187" i="21"/>
  <c r="G187" i="21"/>
  <c r="A188" i="4"/>
  <c r="G188" i="21" l="1"/>
  <c r="B188" i="21"/>
  <c r="C188" i="21"/>
  <c r="F188" i="21"/>
  <c r="A189" i="21"/>
  <c r="A189" i="4"/>
  <c r="A190" i="21" l="1"/>
  <c r="B189" i="21"/>
  <c r="G189" i="21"/>
  <c r="C189" i="21"/>
  <c r="F189" i="21"/>
  <c r="A190" i="4"/>
  <c r="A191" i="21" l="1"/>
  <c r="F190" i="21"/>
  <c r="G190" i="21"/>
  <c r="B190" i="21"/>
  <c r="C190" i="21"/>
  <c r="A191" i="4"/>
  <c r="B191" i="21" l="1"/>
  <c r="G191" i="21"/>
  <c r="C191" i="21"/>
  <c r="F191" i="21"/>
  <c r="A192" i="21"/>
  <c r="A192" i="4"/>
  <c r="A193" i="21" l="1"/>
  <c r="G192" i="21"/>
  <c r="F192" i="21"/>
  <c r="C192" i="21"/>
  <c r="B192" i="21"/>
  <c r="A193" i="4"/>
  <c r="A194" i="21" l="1"/>
  <c r="B193" i="21"/>
  <c r="G193" i="21"/>
  <c r="C193" i="21"/>
  <c r="F193" i="21"/>
  <c r="A194" i="4"/>
  <c r="F194" i="21" l="1"/>
  <c r="G194" i="21"/>
  <c r="B194" i="21"/>
  <c r="C194" i="21"/>
  <c r="A195" i="21"/>
  <c r="A195" i="4"/>
  <c r="A196" i="21" l="1"/>
  <c r="B195" i="21"/>
  <c r="C195" i="21"/>
  <c r="F195" i="21"/>
  <c r="G195" i="21"/>
  <c r="A196" i="4"/>
  <c r="A197" i="21" l="1"/>
  <c r="G196" i="21"/>
  <c r="C196" i="21"/>
  <c r="F196" i="21"/>
  <c r="B196" i="21"/>
  <c r="A197" i="4"/>
  <c r="A198" i="21" l="1"/>
  <c r="B197" i="21"/>
  <c r="G197" i="21"/>
  <c r="C197" i="21"/>
  <c r="F197" i="21"/>
  <c r="A198" i="4"/>
  <c r="B198" i="21" l="1"/>
  <c r="C198" i="21"/>
  <c r="F198" i="21"/>
  <c r="G198" i="21"/>
  <c r="A199" i="21"/>
  <c r="A199" i="4"/>
  <c r="A200" i="21" l="1"/>
  <c r="B199" i="21"/>
  <c r="C199" i="21"/>
  <c r="F199" i="21"/>
  <c r="G199" i="21"/>
  <c r="A200" i="4"/>
  <c r="B200" i="21" l="1"/>
  <c r="C200" i="21"/>
  <c r="F200" i="21"/>
  <c r="G200" i="21"/>
  <c r="A201" i="21"/>
  <c r="A201" i="4"/>
  <c r="C201" i="21" l="1"/>
  <c r="G201" i="21"/>
  <c r="B201" i="21"/>
  <c r="F201" i="21"/>
  <c r="A202" i="21"/>
  <c r="A202" i="4"/>
  <c r="A203" i="21" l="1"/>
  <c r="F202" i="21"/>
  <c r="G202" i="21"/>
  <c r="B202" i="21"/>
  <c r="C202" i="21"/>
  <c r="A203" i="4"/>
  <c r="A204" i="21" l="1"/>
  <c r="B203" i="21"/>
  <c r="G203" i="21"/>
  <c r="F203" i="21"/>
  <c r="C203" i="21"/>
  <c r="A204" i="4"/>
  <c r="G204" i="21" l="1"/>
  <c r="B204" i="21"/>
  <c r="C204" i="21"/>
  <c r="F204" i="21"/>
  <c r="A205" i="21"/>
  <c r="A205" i="4"/>
  <c r="A206" i="21" l="1"/>
  <c r="B205" i="21"/>
  <c r="G205" i="21"/>
  <c r="C205" i="21"/>
  <c r="F205" i="21"/>
  <c r="A206" i="4"/>
  <c r="F206" i="21" l="1"/>
  <c r="G206" i="21"/>
  <c r="B206" i="21"/>
  <c r="C206" i="21"/>
  <c r="A207" i="21"/>
  <c r="A207" i="4"/>
  <c r="A208" i="21" l="1"/>
  <c r="B207" i="21"/>
  <c r="F207" i="21"/>
  <c r="C207" i="21"/>
  <c r="G207" i="21"/>
  <c r="A208" i="4"/>
  <c r="A209" i="21" l="1"/>
  <c r="C208" i="21"/>
  <c r="B208" i="21"/>
  <c r="F208" i="21"/>
  <c r="G208" i="21"/>
  <c r="A209" i="4"/>
  <c r="B209" i="21" l="1"/>
  <c r="G209" i="21"/>
  <c r="C209" i="21"/>
  <c r="F209" i="21"/>
  <c r="A210" i="21"/>
  <c r="A210" i="4"/>
  <c r="A211" i="21" l="1"/>
  <c r="F210" i="21"/>
  <c r="B210" i="21"/>
  <c r="C210" i="21"/>
  <c r="G210" i="21"/>
  <c r="A211" i="4"/>
  <c r="B211" i="21" l="1"/>
  <c r="F211" i="21"/>
  <c r="C211" i="21"/>
  <c r="G211" i="21"/>
  <c r="A212" i="21"/>
  <c r="A212" i="4"/>
  <c r="A213" i="21" l="1"/>
  <c r="C212" i="21"/>
  <c r="B212" i="21"/>
  <c r="G212" i="21"/>
  <c r="F212" i="21"/>
  <c r="A213" i="4"/>
  <c r="A214" i="21" l="1"/>
  <c r="B213" i="21"/>
  <c r="G213" i="21"/>
  <c r="C213" i="21"/>
  <c r="F213" i="21"/>
  <c r="A214" i="4"/>
  <c r="A215" i="21" l="1"/>
  <c r="C214" i="21"/>
  <c r="G214" i="21"/>
  <c r="F214" i="21"/>
  <c r="B214" i="21"/>
  <c r="A215" i="4"/>
  <c r="B215" i="21" l="1"/>
  <c r="G215" i="21"/>
  <c r="C215" i="21"/>
  <c r="F215" i="21"/>
  <c r="A216" i="21"/>
  <c r="A216" i="4"/>
  <c r="A217" i="21" l="1"/>
  <c r="F216" i="21"/>
  <c r="B216" i="21"/>
  <c r="G216" i="21"/>
  <c r="C216" i="21"/>
  <c r="A217" i="4"/>
  <c r="G217" i="21" l="1"/>
  <c r="B217" i="21"/>
  <c r="C217" i="21"/>
  <c r="F217" i="21"/>
  <c r="A218" i="21"/>
  <c r="A218" i="4"/>
  <c r="F218" i="21" l="1"/>
  <c r="G218" i="21"/>
  <c r="B218" i="21"/>
  <c r="C218" i="21"/>
  <c r="A219" i="21"/>
  <c r="A219" i="4"/>
  <c r="A220" i="21" l="1"/>
  <c r="B219" i="21"/>
  <c r="F219" i="21"/>
  <c r="C219" i="21"/>
  <c r="G219" i="21"/>
  <c r="A220" i="4"/>
  <c r="C220" i="21" l="1"/>
  <c r="F220" i="21"/>
  <c r="G220" i="21"/>
  <c r="B220" i="21"/>
  <c r="A221" i="21"/>
  <c r="A221" i="4"/>
  <c r="B221" i="21" l="1"/>
  <c r="G221" i="21"/>
  <c r="C221" i="21"/>
  <c r="F221" i="21"/>
  <c r="A222" i="21"/>
  <c r="A222" i="4"/>
  <c r="A223" i="21" l="1"/>
  <c r="F222" i="21"/>
  <c r="G222" i="21"/>
  <c r="B222" i="21"/>
  <c r="C222" i="21"/>
  <c r="A223" i="4"/>
  <c r="A224" i="21" l="1"/>
  <c r="B223" i="21"/>
  <c r="G223" i="21"/>
  <c r="F223" i="21"/>
  <c r="C223" i="21"/>
  <c r="A224" i="4"/>
  <c r="A225" i="21" l="1"/>
  <c r="G224" i="21"/>
  <c r="B224" i="21"/>
  <c r="C224" i="21"/>
  <c r="F224" i="21"/>
  <c r="A225" i="4"/>
  <c r="B225" i="21" l="1"/>
  <c r="G225" i="21"/>
  <c r="C225" i="21"/>
  <c r="F225" i="21"/>
  <c r="A226" i="21"/>
  <c r="A226" i="4"/>
  <c r="A227" i="21" l="1"/>
  <c r="F226" i="21"/>
  <c r="G226" i="21"/>
  <c r="B226" i="21"/>
  <c r="C226" i="21"/>
  <c r="A227" i="4"/>
  <c r="A228" i="21" l="1"/>
  <c r="B227" i="21"/>
  <c r="F227" i="21"/>
  <c r="G227" i="21"/>
  <c r="C227" i="21"/>
  <c r="A228" i="4"/>
  <c r="A229" i="21" l="1"/>
  <c r="G228" i="21"/>
  <c r="F228" i="21"/>
  <c r="B228" i="21"/>
  <c r="C228" i="21"/>
  <c r="A229" i="4"/>
  <c r="A230" i="21" l="1"/>
  <c r="B229" i="21"/>
  <c r="G229" i="21"/>
  <c r="C229" i="21"/>
  <c r="F229" i="21"/>
  <c r="A230" i="4"/>
  <c r="A231" i="21" l="1"/>
  <c r="B230" i="21"/>
  <c r="C230" i="21"/>
  <c r="G230" i="21"/>
  <c r="F230" i="21"/>
  <c r="A231" i="4"/>
  <c r="A232" i="21" l="1"/>
  <c r="B231" i="21"/>
  <c r="C231" i="21"/>
  <c r="F231" i="21"/>
  <c r="G231" i="21"/>
  <c r="A232" i="4"/>
  <c r="A233" i="21" l="1"/>
  <c r="B232" i="21"/>
  <c r="F232" i="21"/>
  <c r="G232" i="21"/>
  <c r="C232" i="21"/>
  <c r="A233" i="4"/>
  <c r="F233" i="21" l="1"/>
  <c r="G233" i="21"/>
  <c r="B233" i="21"/>
  <c r="C233" i="21"/>
  <c r="A234" i="21"/>
  <c r="A234" i="4"/>
  <c r="A235" i="21" l="1"/>
  <c r="C234" i="21"/>
  <c r="G234" i="21"/>
  <c r="F234" i="21"/>
  <c r="B234" i="21"/>
  <c r="A235" i="4"/>
  <c r="A236" i="21" l="1"/>
  <c r="B235" i="21"/>
  <c r="G235" i="21"/>
  <c r="C235" i="21"/>
  <c r="F235" i="21"/>
  <c r="A236" i="4"/>
  <c r="A237" i="21" l="1"/>
  <c r="F236" i="21"/>
  <c r="B236" i="21"/>
  <c r="G236" i="21"/>
  <c r="C236" i="21"/>
  <c r="A237" i="4"/>
  <c r="A238" i="21" l="1"/>
  <c r="F237" i="21"/>
  <c r="C237" i="21"/>
  <c r="B237" i="21"/>
  <c r="G237" i="21"/>
  <c r="A238" i="4"/>
  <c r="C238" i="21" l="1"/>
  <c r="F238" i="21"/>
  <c r="B238" i="21"/>
  <c r="G238" i="21"/>
  <c r="A239" i="21"/>
  <c r="A239" i="4"/>
  <c r="A240" i="21" l="1"/>
  <c r="B239" i="21"/>
  <c r="G239" i="21"/>
  <c r="C239" i="21"/>
  <c r="F239" i="21"/>
  <c r="A240" i="4"/>
  <c r="A241" i="21" l="1"/>
  <c r="F240" i="21"/>
  <c r="C240" i="21"/>
  <c r="G240" i="21"/>
  <c r="B240" i="21"/>
  <c r="A241" i="4"/>
  <c r="F241" i="21" l="1"/>
  <c r="G241" i="21"/>
  <c r="C241" i="21"/>
  <c r="B241" i="21"/>
  <c r="A242" i="21"/>
  <c r="A242" i="4"/>
  <c r="C242" i="21" l="1"/>
  <c r="G242" i="21"/>
  <c r="B242" i="21"/>
  <c r="F242" i="21"/>
  <c r="A243" i="21"/>
  <c r="A243" i="4"/>
  <c r="B243" i="21" l="1"/>
  <c r="G243" i="21"/>
  <c r="C243" i="21"/>
  <c r="F243" i="21"/>
  <c r="A244" i="21"/>
  <c r="A244" i="4"/>
  <c r="A245" i="21" l="1"/>
  <c r="G244" i="21"/>
  <c r="B244" i="21"/>
  <c r="F244" i="21"/>
  <c r="C244" i="21"/>
  <c r="A245" i="4"/>
  <c r="F245" i="21" l="1"/>
  <c r="C245" i="21"/>
  <c r="G245" i="21"/>
  <c r="B245" i="21"/>
  <c r="A246" i="21"/>
  <c r="A246" i="4"/>
  <c r="C246" i="21" l="1"/>
  <c r="F246" i="21"/>
  <c r="G246" i="21"/>
  <c r="B246" i="21"/>
  <c r="A247" i="21"/>
  <c r="A247" i="4"/>
  <c r="A248" i="21" l="1"/>
  <c r="B247" i="21"/>
  <c r="F247" i="21"/>
  <c r="G247" i="21"/>
  <c r="C247" i="21"/>
  <c r="A248" i="4"/>
  <c r="C248" i="21" l="1"/>
  <c r="F248" i="21"/>
  <c r="G248" i="21"/>
  <c r="B248" i="21"/>
  <c r="A249" i="21"/>
  <c r="A249" i="4"/>
  <c r="F249" i="21" l="1"/>
  <c r="B249" i="21"/>
  <c r="C249" i="21"/>
  <c r="G249" i="21"/>
  <c r="A250" i="21"/>
  <c r="A250" i="4"/>
  <c r="C250" i="21" l="1"/>
  <c r="B250" i="21"/>
  <c r="F250" i="21"/>
  <c r="G250" i="21"/>
  <c r="A251" i="21"/>
  <c r="A251" i="4"/>
  <c r="B251" i="21" l="1"/>
  <c r="C251" i="21"/>
  <c r="F251" i="21"/>
  <c r="G251" i="21"/>
  <c r="A252" i="21"/>
  <c r="A252" i="4"/>
  <c r="A253" i="21" l="1"/>
  <c r="B252" i="21"/>
  <c r="C252" i="21"/>
  <c r="G252" i="21"/>
  <c r="F252" i="21"/>
  <c r="A253" i="4"/>
  <c r="F253" i="21" l="1"/>
  <c r="G253" i="21"/>
  <c r="B253" i="21"/>
  <c r="C253" i="21"/>
  <c r="A254" i="21"/>
  <c r="A254" i="4"/>
  <c r="C254" i="21" l="1"/>
  <c r="G254" i="21"/>
  <c r="B254" i="21"/>
  <c r="F254" i="21"/>
  <c r="A255" i="21"/>
  <c r="A255" i="4"/>
  <c r="A256" i="21" l="1"/>
  <c r="B255" i="21"/>
  <c r="G255" i="21"/>
  <c r="C255" i="21"/>
  <c r="F255" i="21"/>
  <c r="A256" i="4"/>
  <c r="B256" i="21" l="1"/>
  <c r="C256" i="21"/>
  <c r="G256" i="21"/>
  <c r="F256" i="21"/>
  <c r="A257" i="21"/>
  <c r="A257" i="4"/>
  <c r="F257" i="21" l="1"/>
  <c r="G257" i="21"/>
  <c r="B257" i="21"/>
  <c r="C257" i="21"/>
  <c r="A258" i="21"/>
  <c r="A258" i="4"/>
  <c r="C258" i="21" l="1"/>
  <c r="G258" i="21"/>
  <c r="F258" i="21"/>
  <c r="B258" i="21"/>
  <c r="A259" i="21"/>
  <c r="A259" i="4"/>
  <c r="A260" i="21" l="1"/>
  <c r="B259" i="21"/>
  <c r="G259" i="21"/>
  <c r="F259" i="21"/>
  <c r="C259" i="21"/>
  <c r="A260" i="4"/>
  <c r="A261" i="21" l="1"/>
  <c r="C260" i="21"/>
  <c r="B260" i="21"/>
  <c r="F260" i="21"/>
  <c r="G260" i="21"/>
  <c r="A261" i="4"/>
  <c r="B261" i="21" l="1"/>
  <c r="C261" i="21"/>
  <c r="F261" i="21"/>
  <c r="G261" i="21"/>
  <c r="A262" i="21"/>
  <c r="A262" i="4"/>
  <c r="B262" i="21" l="1"/>
  <c r="F262" i="21"/>
  <c r="G262" i="21"/>
  <c r="C262" i="21"/>
  <c r="A263" i="21"/>
  <c r="A263" i="4"/>
  <c r="B263" i="21" l="1"/>
  <c r="F263" i="21"/>
  <c r="C263" i="21"/>
  <c r="G263" i="21"/>
  <c r="A264" i="21"/>
  <c r="A264" i="4"/>
  <c r="B264" i="21" l="1"/>
  <c r="G264" i="21"/>
  <c r="F264" i="21"/>
  <c r="C264" i="21"/>
  <c r="A265" i="21"/>
  <c r="A265" i="4"/>
  <c r="A266" i="21" l="1"/>
  <c r="B265" i="21"/>
  <c r="C265" i="21"/>
  <c r="G265" i="21"/>
  <c r="F265" i="21"/>
  <c r="A266" i="4"/>
  <c r="A267" i="21" l="1"/>
  <c r="G266" i="21"/>
  <c r="B266" i="21"/>
  <c r="C266" i="21"/>
  <c r="F266" i="21"/>
  <c r="A267" i="4"/>
  <c r="B267" i="21" l="1"/>
  <c r="C267" i="21"/>
  <c r="G267" i="21"/>
  <c r="F267" i="21"/>
  <c r="A268" i="21"/>
  <c r="A268" i="4"/>
  <c r="B268" i="21" l="1"/>
  <c r="G268" i="21"/>
  <c r="F268" i="21"/>
  <c r="C268" i="21"/>
  <c r="A269" i="21"/>
  <c r="A269" i="4"/>
  <c r="A270" i="21" l="1"/>
  <c r="B269" i="21"/>
  <c r="G269" i="21"/>
  <c r="F269" i="21"/>
  <c r="C269" i="21"/>
  <c r="A270" i="4"/>
  <c r="A271" i="21" l="1"/>
  <c r="F270" i="21"/>
  <c r="G270" i="21"/>
  <c r="C270" i="21"/>
  <c r="B270" i="21"/>
  <c r="A271" i="4"/>
  <c r="A272" i="21" l="1"/>
  <c r="B271" i="21"/>
  <c r="G271" i="21"/>
  <c r="F271" i="21"/>
  <c r="C271" i="21"/>
  <c r="A272" i="4"/>
  <c r="AL271" i="4"/>
  <c r="B272" i="21" l="1"/>
  <c r="G272" i="21"/>
  <c r="F272" i="21"/>
  <c r="C272" i="21"/>
  <c r="A273" i="21"/>
  <c r="A273" i="4"/>
  <c r="A274" i="21" l="1"/>
  <c r="B273" i="21"/>
  <c r="C273" i="21"/>
  <c r="F273" i="21"/>
  <c r="G273" i="21"/>
  <c r="A274" i="4"/>
  <c r="A275" i="21" l="1"/>
  <c r="B274" i="21"/>
  <c r="C274" i="21"/>
  <c r="G274" i="21"/>
  <c r="F274" i="21"/>
  <c r="A275" i="4"/>
  <c r="B275" i="21" l="1"/>
  <c r="F275" i="21"/>
  <c r="C275" i="21"/>
  <c r="G275" i="21"/>
  <c r="A276" i="21"/>
  <c r="A276" i="4"/>
  <c r="B276" i="21" l="1"/>
  <c r="F276" i="21"/>
  <c r="G276" i="21"/>
  <c r="C276" i="21"/>
  <c r="A277" i="21"/>
  <c r="A277" i="4"/>
  <c r="A278" i="21" l="1"/>
  <c r="B277" i="21"/>
  <c r="F277" i="21"/>
  <c r="C277" i="21"/>
  <c r="G277" i="21"/>
  <c r="A278" i="4"/>
  <c r="A279" i="21" l="1"/>
  <c r="G278" i="21"/>
  <c r="F278" i="21"/>
  <c r="C278" i="21"/>
  <c r="B278" i="21"/>
  <c r="A279" i="4"/>
  <c r="A280" i="21" l="1"/>
  <c r="B279" i="21"/>
  <c r="F279" i="21"/>
  <c r="C279" i="21"/>
  <c r="G279" i="21"/>
  <c r="A280" i="4"/>
  <c r="B280" i="21" l="1"/>
  <c r="G280" i="21"/>
  <c r="F280" i="21"/>
  <c r="C280" i="21"/>
  <c r="A281" i="21"/>
  <c r="A281" i="4"/>
  <c r="A282" i="21" l="1"/>
  <c r="B281" i="21"/>
  <c r="G281" i="21"/>
  <c r="C281" i="21"/>
  <c r="F281" i="21"/>
  <c r="A282" i="4"/>
  <c r="A283" i="21" l="1"/>
  <c r="F282" i="21"/>
  <c r="B282" i="21"/>
  <c r="C282" i="21"/>
  <c r="G282" i="21"/>
  <c r="A283" i="4"/>
  <c r="B283" i="21" l="1"/>
  <c r="G283" i="21"/>
  <c r="C283" i="21"/>
  <c r="F283" i="21"/>
  <c r="A284" i="21"/>
  <c r="A284" i="4"/>
  <c r="A285" i="21" l="1"/>
  <c r="B284" i="21"/>
  <c r="F284" i="21"/>
  <c r="G284" i="21"/>
  <c r="C284" i="21"/>
  <c r="A285" i="4"/>
  <c r="A286" i="21" l="1"/>
  <c r="B285" i="21"/>
  <c r="C285" i="21"/>
  <c r="F285" i="21"/>
  <c r="G285" i="21"/>
  <c r="A286" i="4"/>
  <c r="A287" i="21" l="1"/>
  <c r="B286" i="21"/>
  <c r="C286" i="21"/>
  <c r="G286" i="21"/>
  <c r="F286" i="21"/>
  <c r="A287" i="4"/>
  <c r="B287" i="21" l="1"/>
  <c r="G287" i="21"/>
  <c r="F287" i="21"/>
  <c r="C287" i="21"/>
  <c r="A288" i="21"/>
  <c r="A288" i="4"/>
  <c r="A289" i="21" l="1"/>
  <c r="B288" i="21"/>
  <c r="G288" i="21"/>
  <c r="F288" i="21"/>
  <c r="C288" i="21"/>
  <c r="A289" i="4"/>
  <c r="B289" i="21" l="1"/>
  <c r="G289" i="21"/>
  <c r="C289" i="21"/>
  <c r="F289" i="21"/>
  <c r="A290" i="21"/>
  <c r="A290" i="4"/>
  <c r="A291" i="21" l="1"/>
  <c r="F290" i="21"/>
  <c r="G290" i="21"/>
  <c r="C290" i="21"/>
  <c r="B290" i="21"/>
  <c r="A393" i="21"/>
  <c r="A291" i="4"/>
  <c r="A292" i="21" l="1"/>
  <c r="B291" i="21"/>
  <c r="G291" i="21"/>
  <c r="F291" i="21"/>
  <c r="C291" i="21"/>
  <c r="B393" i="21"/>
  <c r="C393" i="21"/>
  <c r="A292" i="4"/>
  <c r="B292" i="21" l="1"/>
  <c r="F292" i="21"/>
  <c r="G292" i="21"/>
  <c r="C292" i="21"/>
  <c r="A293" i="21"/>
  <c r="A293" i="4"/>
  <c r="A294" i="21" l="1"/>
  <c r="B293" i="21"/>
  <c r="C293" i="21"/>
  <c r="F293" i="21"/>
  <c r="G293" i="21"/>
  <c r="A294" i="4"/>
  <c r="A295" i="21" l="1"/>
  <c r="B294" i="21"/>
  <c r="C294" i="21"/>
  <c r="G294" i="21"/>
  <c r="F294" i="21"/>
  <c r="A295" i="4"/>
  <c r="B295" i="21" l="1"/>
  <c r="G295" i="21"/>
  <c r="F295" i="21"/>
  <c r="C295" i="21"/>
  <c r="A296" i="21"/>
  <c r="A296" i="4"/>
  <c r="A297" i="21" l="1"/>
  <c r="B296" i="21"/>
  <c r="G296" i="21"/>
  <c r="F296" i="21"/>
  <c r="C296" i="21"/>
  <c r="A297" i="4"/>
  <c r="B297" i="21" l="1"/>
  <c r="C297" i="21"/>
  <c r="F297" i="21"/>
  <c r="G297" i="21"/>
  <c r="A298" i="21"/>
  <c r="A298" i="4"/>
  <c r="A299" i="21" l="1"/>
  <c r="G298" i="21"/>
  <c r="B298" i="21"/>
  <c r="F298" i="21"/>
  <c r="C298" i="21"/>
  <c r="A299" i="4"/>
  <c r="A300" i="21" l="1"/>
  <c r="B299" i="21"/>
  <c r="C299" i="21"/>
  <c r="F299" i="21"/>
  <c r="G299" i="21"/>
  <c r="A300" i="4"/>
  <c r="B300" i="21" l="1"/>
  <c r="G300" i="21"/>
  <c r="F300" i="21"/>
  <c r="C300" i="21"/>
  <c r="A301" i="21"/>
  <c r="A301" i="4"/>
  <c r="A302" i="21" l="1"/>
  <c r="B301" i="21"/>
  <c r="G301" i="21"/>
  <c r="F301" i="21"/>
  <c r="C301" i="21"/>
  <c r="A302" i="4"/>
  <c r="A303" i="21" l="1"/>
  <c r="F302" i="21"/>
  <c r="G302" i="21"/>
  <c r="B302" i="21"/>
  <c r="C302" i="21"/>
  <c r="A303" i="4"/>
  <c r="A304" i="21" l="1"/>
  <c r="B303" i="21"/>
  <c r="F303" i="21"/>
  <c r="G303" i="21"/>
  <c r="C303" i="21"/>
  <c r="A304" i="4"/>
  <c r="B304" i="21" l="1"/>
  <c r="F304" i="21"/>
  <c r="G304" i="21"/>
  <c r="C304" i="21"/>
  <c r="A305" i="21"/>
  <c r="A305" i="4"/>
  <c r="A306" i="21" l="1"/>
  <c r="B305" i="21"/>
  <c r="F305" i="21"/>
  <c r="G305" i="21"/>
  <c r="C305" i="21"/>
  <c r="A306" i="4"/>
  <c r="C306" i="21" l="1"/>
  <c r="F306" i="21"/>
  <c r="G306" i="21"/>
  <c r="B306" i="21"/>
  <c r="A307" i="21"/>
  <c r="A307" i="4"/>
  <c r="A308" i="21" l="1"/>
  <c r="B307" i="21"/>
  <c r="G307" i="21"/>
  <c r="F307" i="21"/>
  <c r="C307" i="21"/>
  <c r="A308" i="4"/>
  <c r="B308" i="21" l="1"/>
  <c r="G308" i="21"/>
  <c r="F308" i="21"/>
  <c r="C308" i="21"/>
  <c r="A309" i="21"/>
  <c r="A309" i="4"/>
  <c r="A310" i="21" l="1"/>
  <c r="B309" i="21"/>
  <c r="C309" i="21"/>
  <c r="F309" i="21"/>
  <c r="G309" i="21"/>
  <c r="A310" i="4"/>
  <c r="G310" i="21" l="1"/>
  <c r="B310" i="21"/>
  <c r="F310" i="21"/>
  <c r="C310" i="21"/>
  <c r="A311" i="21"/>
  <c r="A311" i="4"/>
  <c r="B311" i="21" l="1"/>
  <c r="G311" i="21"/>
  <c r="F311" i="21"/>
  <c r="C311" i="21"/>
  <c r="A312" i="21"/>
  <c r="A312" i="4"/>
  <c r="A313" i="21" l="1"/>
  <c r="B312" i="21"/>
  <c r="F312" i="21"/>
  <c r="G312" i="21"/>
  <c r="C312" i="21"/>
  <c r="A313" i="4"/>
  <c r="B313" i="21" l="1"/>
  <c r="F313" i="21"/>
  <c r="G313" i="21"/>
  <c r="C313" i="21"/>
  <c r="A314" i="21"/>
  <c r="A314" i="4"/>
  <c r="C314" i="21" l="1"/>
  <c r="F314" i="21"/>
  <c r="B314" i="21"/>
  <c r="G314" i="21"/>
  <c r="A315" i="21"/>
  <c r="A315" i="4"/>
  <c r="A316" i="21" l="1"/>
  <c r="B315" i="21"/>
  <c r="G315" i="21"/>
  <c r="C315" i="21"/>
  <c r="F315" i="21"/>
  <c r="A316" i="4"/>
  <c r="A317" i="21" l="1"/>
  <c r="B316" i="21"/>
  <c r="F316" i="21"/>
  <c r="G316" i="21"/>
  <c r="C316" i="21"/>
  <c r="A317" i="4"/>
  <c r="B317" i="21" l="1"/>
  <c r="C317" i="21"/>
  <c r="G317" i="21"/>
  <c r="F317" i="21"/>
  <c r="A318" i="21"/>
  <c r="A318" i="4"/>
  <c r="A319" i="21" l="1"/>
  <c r="G318" i="21"/>
  <c r="B318" i="21"/>
  <c r="C318" i="21"/>
  <c r="F318" i="21"/>
  <c r="A319" i="4"/>
  <c r="A320" i="21" l="1"/>
  <c r="B319" i="21"/>
  <c r="F319" i="21"/>
  <c r="G319" i="21"/>
  <c r="C319" i="21"/>
  <c r="A320" i="4"/>
  <c r="A321" i="21" l="1"/>
  <c r="B320" i="21"/>
  <c r="G320" i="21"/>
  <c r="F320" i="21"/>
  <c r="C320" i="21"/>
  <c r="A321" i="4"/>
  <c r="A322" i="21" l="1"/>
  <c r="B321" i="21"/>
  <c r="G321" i="21"/>
  <c r="F321" i="21"/>
  <c r="C321" i="21"/>
  <c r="A322" i="4"/>
  <c r="A323" i="21" l="1"/>
  <c r="F322" i="21"/>
  <c r="G322" i="21"/>
  <c r="B322" i="21"/>
  <c r="C322" i="21"/>
  <c r="A323" i="4"/>
  <c r="A324" i="21" l="1"/>
  <c r="B323" i="21"/>
  <c r="G323" i="21"/>
  <c r="F323" i="21"/>
  <c r="C323" i="21"/>
  <c r="A324" i="4"/>
  <c r="A325" i="21" l="1"/>
  <c r="B324" i="21"/>
  <c r="F324" i="21"/>
  <c r="G324" i="21"/>
  <c r="C324" i="21"/>
  <c r="A325" i="4"/>
  <c r="B325" i="21" l="1"/>
  <c r="C325" i="21"/>
  <c r="F325" i="21"/>
  <c r="G325" i="21"/>
  <c r="A326" i="21"/>
  <c r="A326" i="4"/>
  <c r="B326" i="21" l="1"/>
  <c r="C326" i="21"/>
  <c r="F326" i="21"/>
  <c r="G326" i="21"/>
  <c r="A327" i="21"/>
  <c r="A327" i="4"/>
  <c r="A328" i="21" l="1"/>
  <c r="B327" i="21"/>
  <c r="G327" i="21"/>
  <c r="F327" i="21"/>
  <c r="C327" i="21"/>
  <c r="A328" i="4"/>
  <c r="B328" i="21" l="1"/>
  <c r="G328" i="21"/>
  <c r="F328" i="21"/>
  <c r="C328" i="21"/>
  <c r="A329" i="21"/>
  <c r="A329" i="4"/>
  <c r="B329" i="21" l="1"/>
  <c r="G329" i="21"/>
  <c r="F329" i="21"/>
  <c r="C329" i="21"/>
  <c r="A330" i="21"/>
  <c r="A330" i="4"/>
  <c r="A331" i="21" l="1"/>
  <c r="F330" i="21"/>
  <c r="G330" i="21"/>
  <c r="C330" i="21"/>
  <c r="B330" i="21"/>
  <c r="A331" i="4"/>
  <c r="A332" i="21" l="1"/>
  <c r="B331" i="21"/>
  <c r="G331" i="21"/>
  <c r="C331" i="21"/>
  <c r="F331" i="21"/>
  <c r="A332" i="4"/>
  <c r="A333" i="21" l="1"/>
  <c r="B332" i="21"/>
  <c r="F332" i="21"/>
  <c r="G332" i="21"/>
  <c r="C332" i="21"/>
  <c r="A333" i="4"/>
  <c r="A334" i="21" l="1"/>
  <c r="B333" i="21"/>
  <c r="C333" i="21"/>
  <c r="F333" i="21"/>
  <c r="G333" i="21"/>
  <c r="A334" i="4"/>
  <c r="A335" i="21" l="1"/>
  <c r="B334" i="21"/>
  <c r="C334" i="21"/>
  <c r="F334" i="21"/>
  <c r="G334" i="21"/>
  <c r="A335" i="4"/>
  <c r="A336" i="21" l="1"/>
  <c r="B335" i="21"/>
  <c r="G335" i="21"/>
  <c r="F335" i="21"/>
  <c r="C335" i="21"/>
  <c r="A336" i="4"/>
  <c r="B336" i="21" l="1"/>
  <c r="G336" i="21"/>
  <c r="F336" i="21"/>
  <c r="C336" i="21"/>
  <c r="A337" i="21"/>
  <c r="A337" i="4"/>
  <c r="B337" i="21" l="1"/>
  <c r="G337" i="21"/>
  <c r="C337" i="21"/>
  <c r="F337" i="21"/>
  <c r="A338" i="21"/>
  <c r="A338" i="4"/>
  <c r="A339" i="21" l="1"/>
  <c r="F338" i="21"/>
  <c r="G338" i="21"/>
  <c r="C338" i="21"/>
  <c r="B338" i="21"/>
  <c r="A339" i="4"/>
  <c r="A340" i="21" l="1"/>
  <c r="B339" i="21"/>
  <c r="G339" i="21"/>
  <c r="F339" i="21"/>
  <c r="C339" i="21"/>
  <c r="A340" i="4"/>
  <c r="A380" i="21" l="1"/>
  <c r="B340" i="21"/>
  <c r="F340" i="21"/>
  <c r="G340" i="21"/>
  <c r="C340" i="21"/>
  <c r="A341" i="4"/>
  <c r="A381" i="21" l="1"/>
  <c r="F380" i="21"/>
  <c r="B380" i="21"/>
  <c r="C380" i="21"/>
  <c r="G380" i="21"/>
  <c r="A342" i="4"/>
  <c r="A382" i="21" l="1"/>
  <c r="F381" i="21"/>
  <c r="C381" i="21"/>
  <c r="G381" i="21"/>
  <c r="B381" i="21"/>
  <c r="A343" i="4"/>
  <c r="A383" i="21" l="1"/>
  <c r="B382" i="21"/>
  <c r="F382" i="21"/>
  <c r="G382" i="21"/>
  <c r="C382" i="21"/>
  <c r="A344" i="4"/>
  <c r="A384" i="21" l="1"/>
  <c r="B383" i="21"/>
  <c r="F383" i="21"/>
  <c r="C383" i="21"/>
  <c r="G383" i="21"/>
  <c r="A345" i="4"/>
  <c r="A385" i="21" l="1"/>
  <c r="F384" i="21"/>
  <c r="B384" i="21"/>
  <c r="G384" i="21"/>
  <c r="C384" i="21"/>
  <c r="A346" i="4"/>
  <c r="C385" i="21" l="1"/>
  <c r="B385" i="21"/>
  <c r="G385" i="21"/>
  <c r="F385" i="21"/>
  <c r="A386" i="21"/>
  <c r="A347" i="4"/>
  <c r="B386" i="21" l="1"/>
  <c r="G386" i="21"/>
  <c r="F386" i="21"/>
  <c r="C386" i="21"/>
  <c r="A387" i="21"/>
  <c r="A348" i="4"/>
  <c r="A388" i="21" l="1"/>
  <c r="C387" i="21"/>
  <c r="G387" i="21"/>
  <c r="F387" i="21"/>
  <c r="B387" i="21"/>
  <c r="A349" i="4"/>
  <c r="A389" i="21" l="1"/>
  <c r="F388" i="21"/>
  <c r="C388" i="21"/>
  <c r="B388" i="21"/>
  <c r="G388" i="21"/>
  <c r="A350" i="4"/>
  <c r="A390" i="21" l="1"/>
  <c r="F389" i="21"/>
  <c r="B389" i="21"/>
  <c r="C389" i="21"/>
  <c r="G389" i="21"/>
  <c r="A351" i="4"/>
  <c r="A391" i="21" l="1"/>
  <c r="F390" i="21"/>
  <c r="B390" i="21"/>
  <c r="G390" i="21"/>
  <c r="C390" i="21"/>
  <c r="A352" i="4"/>
  <c r="A392" i="21" l="1"/>
  <c r="F391" i="21"/>
  <c r="C391" i="21"/>
  <c r="G391" i="21"/>
  <c r="B391" i="21"/>
  <c r="A353" i="4"/>
  <c r="B392" i="21" l="1"/>
  <c r="G392" i="21"/>
  <c r="C392" i="21"/>
  <c r="F392" i="21"/>
  <c r="A354" i="4"/>
  <c r="A355" i="4" l="1"/>
  <c r="A356" i="4" l="1"/>
  <c r="A357" i="4" l="1"/>
  <c r="A358" i="4" l="1"/>
  <c r="A359" i="4" l="1"/>
  <c r="A360" i="4" l="1"/>
  <c r="A361" i="4" l="1"/>
  <c r="A362" i="4" l="1"/>
  <c r="A363" i="4" l="1"/>
  <c r="A364" i="4" l="1"/>
  <c r="A365" i="4" l="1"/>
  <c r="A366" i="4" l="1"/>
  <c r="A367" i="4" l="1"/>
  <c r="A368" i="4" l="1"/>
  <c r="A369" i="4" l="1"/>
  <c r="A370" i="4" l="1"/>
  <c r="A371" i="4" l="1"/>
  <c r="A372" i="4" l="1"/>
  <c r="A373" i="4" l="1"/>
  <c r="A374" i="4" l="1"/>
  <c r="A375" i="4" l="1"/>
  <c r="A376" i="4" l="1"/>
  <c r="A377" i="4" l="1"/>
  <c r="A378" i="4" l="1"/>
  <c r="A379" i="4" l="1"/>
  <c r="A380" i="4" l="1"/>
  <c r="A381" i="4" l="1"/>
  <c r="A382" i="4" l="1"/>
  <c r="A383" i="4" l="1"/>
  <c r="A384" i="4" l="1"/>
  <c r="A385" i="4" l="1"/>
  <c r="A386" i="4" l="1"/>
  <c r="A387" i="4" l="1"/>
  <c r="A388" i="4" l="1"/>
  <c r="A389" i="4" l="1"/>
  <c r="A390" i="4" l="1"/>
  <c r="A391" i="4" l="1"/>
  <c r="A392" i="4" l="1"/>
  <c r="A393" i="4" l="1"/>
  <c r="A394" i="4" l="1"/>
  <c r="A395" i="4" l="1"/>
  <c r="A396" i="4" l="1"/>
  <c r="A397" i="4" l="1"/>
  <c r="A398" i="4" l="1"/>
  <c r="A399" i="4" l="1"/>
  <c r="A400" i="4" l="1"/>
  <c r="A401" i="4" l="1"/>
  <c r="A402" i="4" l="1"/>
  <c r="A403" i="4" l="1"/>
  <c r="A404" i="4" l="1"/>
  <c r="A405" i="4" l="1"/>
  <c r="A406" i="4" l="1"/>
  <c r="A407" i="4" l="1"/>
  <c r="A408" i="4" l="1"/>
  <c r="A409" i="4" l="1"/>
  <c r="A410" i="4" l="1"/>
  <c r="A411" i="4" l="1"/>
  <c r="A412" i="4" l="1"/>
  <c r="A413" i="4" l="1"/>
  <c r="A414" i="4" l="1"/>
  <c r="A415" i="4" l="1"/>
  <c r="A416" i="4" l="1"/>
  <c r="A417" i="4" l="1"/>
  <c r="A418" i="4" l="1"/>
  <c r="A419" i="4" l="1"/>
  <c r="A420" i="4" l="1"/>
  <c r="A421" i="4" l="1"/>
  <c r="A422" i="4" l="1"/>
  <c r="A423" i="4" l="1"/>
  <c r="A424" i="4" l="1"/>
  <c r="A425" i="4" l="1"/>
  <c r="A426" i="4" l="1"/>
  <c r="A427" i="4" l="1"/>
  <c r="A428" i="4" l="1"/>
  <c r="A429" i="4" l="1"/>
  <c r="A430" i="4" l="1"/>
  <c r="A431" i="4" l="1"/>
  <c r="A432" i="4" l="1"/>
  <c r="A433" i="4" l="1"/>
  <c r="A434" i="4" l="1"/>
  <c r="A435" i="4" l="1"/>
  <c r="A436" i="4" l="1"/>
  <c r="A437" i="4" l="1"/>
  <c r="A438" i="4" l="1"/>
  <c r="A439" i="4" l="1"/>
  <c r="A440" i="4" l="1"/>
  <c r="A441" i="4" l="1"/>
  <c r="A442" i="4" l="1"/>
  <c r="A443" i="4" l="1"/>
  <c r="A444" i="4" l="1"/>
  <c r="A445" i="4" l="1"/>
  <c r="A446" i="4" l="1"/>
  <c r="A447" i="4" l="1"/>
  <c r="A448" i="4" l="1"/>
  <c r="A449" i="4" l="1"/>
  <c r="A450" i="4" l="1"/>
  <c r="A451" i="4" l="1"/>
  <c r="A452" i="4" l="1"/>
  <c r="A453" i="4" l="1"/>
  <c r="A454" i="4" l="1"/>
  <c r="A455" i="4" l="1"/>
  <c r="A456" i="4" l="1"/>
  <c r="A457" i="4" l="1"/>
  <c r="A458" i="4" l="1"/>
  <c r="A459" i="4" l="1"/>
  <c r="A460" i="4" l="1"/>
  <c r="A461" i="4" l="1"/>
  <c r="A462" i="4" l="1"/>
  <c r="A463" i="4" l="1"/>
  <c r="A464" i="4" l="1"/>
  <c r="A465" i="4" l="1"/>
  <c r="A466" i="4" l="1"/>
  <c r="A467" i="4" l="1"/>
  <c r="A468" i="4" l="1"/>
  <c r="A469" i="4" l="1"/>
  <c r="A470" i="4" l="1"/>
  <c r="A471" i="4" l="1"/>
  <c r="A472" i="4" l="1"/>
  <c r="A473" i="4" l="1"/>
  <c r="A474" i="4" l="1"/>
  <c r="A475" i="4" l="1"/>
  <c r="A476" i="4" l="1"/>
  <c r="A477" i="4" l="1"/>
  <c r="A478" i="4" l="1"/>
  <c r="A479" i="4" l="1"/>
  <c r="A480" i="4" l="1"/>
  <c r="A481" i="4" l="1"/>
  <c r="A482" i="4" l="1"/>
  <c r="A483" i="4" l="1"/>
  <c r="A484" i="4" l="1"/>
  <c r="A485" i="4" l="1"/>
  <c r="A486" i="4" l="1"/>
  <c r="A487" i="4" l="1"/>
  <c r="A488" i="4" l="1"/>
  <c r="A489" i="4" l="1"/>
  <c r="A490" i="4" l="1"/>
  <c r="A491" i="4" l="1"/>
  <c r="A492" i="4" l="1"/>
  <c r="A493" i="4" l="1"/>
  <c r="A494" i="4" l="1"/>
  <c r="A495" i="4" l="1"/>
  <c r="A496" i="4" l="1"/>
  <c r="A497" i="4" l="1"/>
  <c r="A498" i="4" l="1"/>
  <c r="A499" i="4" l="1"/>
  <c r="A500" i="4" l="1"/>
  <c r="A501" i="4" l="1"/>
  <c r="A502" i="4" l="1"/>
  <c r="A503" i="4" l="1"/>
  <c r="A504" i="4" l="1"/>
  <c r="A505" i="4" l="1"/>
  <c r="A506" i="4" l="1"/>
  <c r="A507" i="4" l="1"/>
  <c r="A508" i="4" l="1"/>
  <c r="A509" i="4" l="1"/>
  <c r="A510" i="4" l="1"/>
  <c r="A511" i="4" l="1"/>
  <c r="A512" i="4" l="1"/>
  <c r="A513" i="4" l="1"/>
  <c r="A514" i="4" l="1"/>
  <c r="A515" i="4" l="1"/>
  <c r="A516" i="4" l="1"/>
  <c r="A517" i="4" l="1"/>
  <c r="A518" i="4" l="1"/>
  <c r="A519" i="4" l="1"/>
  <c r="A520" i="4" l="1"/>
  <c r="A521" i="4" l="1"/>
  <c r="A522" i="4" l="1"/>
  <c r="A523" i="4" l="1"/>
  <c r="A524" i="4" l="1"/>
  <c r="A525" i="4" l="1"/>
  <c r="A526" i="4" l="1"/>
  <c r="A527" i="4" l="1"/>
  <c r="A528" i="4" l="1"/>
  <c r="A529" i="4" l="1"/>
  <c r="A530" i="4" l="1"/>
  <c r="A531" i="4" l="1"/>
  <c r="A532" i="4" l="1"/>
  <c r="A533" i="4" l="1"/>
  <c r="A534" i="4" l="1"/>
  <c r="A535" i="4" l="1"/>
  <c r="A536" i="4" l="1"/>
  <c r="A537" i="4" l="1"/>
  <c r="A538" i="4" l="1"/>
  <c r="A539" i="4" l="1"/>
  <c r="A540" i="4" l="1"/>
  <c r="A541" i="4" l="1"/>
  <c r="A542" i="4" l="1"/>
  <c r="A543" i="4" l="1"/>
  <c r="A544" i="4" l="1"/>
  <c r="A545" i="4" l="1"/>
  <c r="A546" i="4" l="1"/>
  <c r="A547" i="4" l="1"/>
  <c r="A548" i="4" l="1"/>
  <c r="A549" i="4" l="1"/>
  <c r="A550" i="4" l="1"/>
  <c r="A551" i="4" l="1"/>
  <c r="A552" i="4" l="1"/>
  <c r="A553" i="4" l="1"/>
  <c r="A554" i="4" l="1"/>
  <c r="A555" i="4" l="1"/>
  <c r="A556" i="4" l="1"/>
  <c r="A557" i="4" l="1"/>
  <c r="A558" i="4" l="1"/>
  <c r="A559" i="4" l="1"/>
  <c r="A560" i="4" l="1"/>
  <c r="A561" i="4" l="1"/>
  <c r="A562" i="4" l="1"/>
  <c r="A563" i="4" l="1"/>
  <c r="A564" i="4" l="1"/>
  <c r="A565" i="4" l="1"/>
  <c r="A566" i="4" l="1"/>
  <c r="A567" i="4" l="1"/>
  <c r="A568" i="4" l="1"/>
  <c r="A569" i="4" l="1"/>
  <c r="A570" i="4" l="1"/>
  <c r="A571" i="4" l="1"/>
  <c r="A572" i="4" l="1"/>
  <c r="A573" i="4" l="1"/>
  <c r="A574" i="4" l="1"/>
  <c r="A575" i="4"/>
  <c r="A576" i="4" l="1"/>
  <c r="A577" i="4" l="1"/>
  <c r="A578" i="4" l="1"/>
  <c r="A579" i="4" l="1"/>
  <c r="A580" i="4" l="1"/>
  <c r="A581" i="4" l="1"/>
  <c r="A582" i="4" l="1"/>
  <c r="A583" i="4" l="1"/>
  <c r="A584" i="4" l="1"/>
  <c r="A585" i="4" l="1"/>
  <c r="A586" i="4" l="1"/>
  <c r="A587" i="4" l="1"/>
  <c r="A588" i="4" l="1"/>
  <c r="A589" i="4" l="1"/>
  <c r="A590" i="4"/>
  <c r="A591" i="4" l="1"/>
  <c r="A592" i="4" l="1"/>
  <c r="A593" i="4" l="1"/>
  <c r="A594" i="4" l="1"/>
  <c r="A595" i="4" l="1"/>
  <c r="A596" i="4" l="1"/>
  <c r="A597" i="4" l="1"/>
  <c r="A598" i="4" l="1"/>
  <c r="A599" i="4" l="1"/>
  <c r="A600" i="4" l="1"/>
  <c r="A601" i="4" l="1"/>
  <c r="A602" i="4" l="1"/>
  <c r="A603" i="4" l="1"/>
  <c r="A604" i="4" l="1"/>
  <c r="A605" i="4" l="1"/>
  <c r="A606" i="4" l="1"/>
  <c r="C10" i="11" l="1"/>
  <c r="B10" i="11"/>
  <c r="B197" i="11"/>
  <c r="B228" i="11"/>
  <c r="B364" i="11"/>
  <c r="C213" i="11"/>
  <c r="C360" i="11"/>
  <c r="B152" i="11"/>
  <c r="B106" i="11"/>
  <c r="C205" i="11"/>
  <c r="B224" i="11"/>
  <c r="C286" i="11"/>
  <c r="B81" i="11"/>
  <c r="C152" i="11"/>
  <c r="C134" i="11"/>
  <c r="B187" i="11"/>
  <c r="B44" i="11"/>
  <c r="B42" i="11"/>
  <c r="C239" i="11"/>
  <c r="C384" i="11"/>
  <c r="C287" i="11"/>
  <c r="B252" i="11"/>
  <c r="C108" i="11"/>
  <c r="B64" i="11"/>
  <c r="C206" i="11"/>
  <c r="B196" i="11"/>
  <c r="C211" i="11"/>
  <c r="B351" i="11"/>
  <c r="B299" i="11"/>
  <c r="C341" i="11"/>
  <c r="C143" i="11"/>
  <c r="C296" i="11"/>
  <c r="B150" i="11"/>
  <c r="B239" i="11"/>
  <c r="C357" i="11"/>
  <c r="B383" i="11"/>
  <c r="B48" i="11"/>
  <c r="B231" i="11"/>
  <c r="C196" i="11"/>
  <c r="C331" i="11"/>
  <c r="C397" i="11"/>
  <c r="B107" i="11"/>
  <c r="C347" i="11"/>
  <c r="C24" i="11"/>
  <c r="C102" i="11"/>
  <c r="B101" i="11"/>
  <c r="C119" i="11"/>
  <c r="C220" i="11"/>
  <c r="B151" i="11"/>
  <c r="B195" i="11"/>
  <c r="B121" i="11"/>
  <c r="B441" i="11"/>
  <c r="C441" i="11"/>
  <c r="C203" i="11"/>
  <c r="C416" i="11"/>
  <c r="B158" i="11"/>
  <c r="B445" i="11"/>
  <c r="C344" i="11"/>
  <c r="C219" i="11"/>
  <c r="B313" i="11"/>
  <c r="B202" i="11"/>
  <c r="C303" i="11"/>
  <c r="B27" i="11"/>
  <c r="C15" i="11"/>
  <c r="C354" i="11"/>
  <c r="B235" i="11"/>
  <c r="B353" i="11"/>
  <c r="B212" i="11"/>
  <c r="B264" i="11"/>
  <c r="B361" i="11"/>
  <c r="C191" i="11"/>
  <c r="B305" i="11"/>
  <c r="C378" i="11"/>
  <c r="C21" i="11"/>
  <c r="B38" i="11"/>
  <c r="C98" i="11"/>
  <c r="C432" i="11"/>
  <c r="B403" i="11"/>
  <c r="B80" i="11"/>
  <c r="B449" i="11"/>
  <c r="B89" i="11"/>
  <c r="B162" i="11"/>
  <c r="C382" i="11"/>
  <c r="B438" i="11"/>
  <c r="C132" i="11"/>
  <c r="C434" i="11"/>
  <c r="B432" i="11"/>
  <c r="B174" i="11"/>
  <c r="B56" i="11"/>
  <c r="B201" i="11"/>
  <c r="B373" i="11"/>
  <c r="C335" i="11"/>
  <c r="B450" i="11"/>
  <c r="C281" i="11"/>
  <c r="C376" i="11"/>
  <c r="C318" i="11"/>
  <c r="C294" i="11"/>
  <c r="C374" i="11"/>
  <c r="B98" i="11"/>
  <c r="B352" i="11"/>
  <c r="B14" i="11"/>
  <c r="C47" i="11"/>
  <c r="B108" i="11"/>
  <c r="C242" i="11"/>
  <c r="C32" i="11"/>
  <c r="B323" i="11"/>
  <c r="C304" i="11"/>
  <c r="B343" i="11"/>
  <c r="B62" i="11"/>
  <c r="C185" i="11"/>
  <c r="B193" i="11"/>
  <c r="C266" i="11"/>
  <c r="B344" i="11"/>
  <c r="B54" i="11"/>
  <c r="C114" i="11"/>
  <c r="C448" i="11"/>
  <c r="C337" i="11"/>
  <c r="B100" i="11"/>
  <c r="B24" i="11"/>
  <c r="B137" i="11"/>
  <c r="C418" i="11"/>
  <c r="B371" i="11"/>
  <c r="C155" i="11"/>
  <c r="B276" i="11"/>
  <c r="C291" i="11"/>
  <c r="B443" i="11"/>
  <c r="B57" i="11"/>
  <c r="B362" i="11"/>
  <c r="C381" i="11"/>
  <c r="C364" i="11"/>
  <c r="C193" i="11"/>
  <c r="B145" i="11"/>
  <c r="B375" i="11"/>
  <c r="C138" i="11"/>
  <c r="B131" i="11"/>
  <c r="C288" i="11"/>
  <c r="B200" i="11"/>
  <c r="C40" i="11"/>
  <c r="B342" i="11"/>
  <c r="C65" i="11"/>
  <c r="B143" i="11"/>
  <c r="C142" i="11"/>
  <c r="B109" i="11"/>
  <c r="B120" i="11"/>
  <c r="C372" i="11"/>
  <c r="B279" i="11"/>
  <c r="C189" i="11"/>
  <c r="B280" i="11"/>
  <c r="B71" i="11"/>
  <c r="C333" i="11"/>
  <c r="B157" i="11"/>
  <c r="C414" i="11"/>
  <c r="B209" i="11"/>
  <c r="C282" i="11"/>
  <c r="B360" i="11"/>
  <c r="C57" i="11"/>
  <c r="B115" i="11"/>
  <c r="B396" i="11"/>
  <c r="B404" i="11"/>
  <c r="B136" i="11"/>
  <c r="B167" i="11"/>
  <c r="C35" i="11"/>
  <c r="B249" i="11"/>
  <c r="B271" i="11"/>
  <c r="B188" i="11"/>
  <c r="C436" i="11"/>
  <c r="B93" i="11"/>
  <c r="B363" i="11"/>
  <c r="B16" i="11"/>
  <c r="B258" i="11"/>
  <c r="C309" i="11"/>
  <c r="C187" i="11"/>
  <c r="B341" i="11"/>
  <c r="C161" i="11"/>
  <c r="B92" i="11"/>
  <c r="C401" i="11"/>
  <c r="B246" i="11"/>
  <c r="C267" i="11"/>
  <c r="C371" i="11"/>
  <c r="B288" i="11"/>
  <c r="B112" i="11"/>
  <c r="B346" i="11"/>
  <c r="B178" i="11"/>
  <c r="C229" i="11"/>
  <c r="B397" i="11"/>
  <c r="B230" i="11"/>
  <c r="B388" i="11"/>
  <c r="C224" i="11"/>
  <c r="C280" i="11"/>
  <c r="C338" i="11"/>
  <c r="C136" i="11"/>
  <c r="B116" i="11"/>
  <c r="C52" i="11"/>
  <c r="C123" i="11"/>
  <c r="B168" i="11"/>
  <c r="B138" i="11"/>
  <c r="C221" i="11"/>
  <c r="B189" i="11"/>
  <c r="B179" i="11"/>
  <c r="C89" i="11"/>
  <c r="C395" i="11"/>
  <c r="C122" i="11"/>
  <c r="B247" i="11"/>
  <c r="C129" i="11"/>
  <c r="B186" i="11"/>
  <c r="B223" i="11"/>
  <c r="B237" i="11"/>
  <c r="C127" i="11"/>
  <c r="B268" i="11"/>
  <c r="C322" i="11"/>
  <c r="C225" i="11"/>
  <c r="C11" i="11"/>
  <c r="B227" i="11"/>
  <c r="C230" i="11"/>
  <c r="C208" i="11"/>
  <c r="B61" i="11"/>
  <c r="C170" i="11"/>
  <c r="B156" i="11"/>
  <c r="B290" i="11"/>
  <c r="C105" i="11"/>
  <c r="C305" i="11"/>
  <c r="B337" i="11"/>
  <c r="B350" i="11"/>
  <c r="B425" i="11"/>
  <c r="B66" i="11"/>
  <c r="B405" i="11"/>
  <c r="C101" i="11"/>
  <c r="B31" i="11"/>
  <c r="C406" i="11"/>
  <c r="B90" i="11"/>
  <c r="B74" i="11"/>
  <c r="C131" i="11"/>
  <c r="C279" i="11"/>
  <c r="C424" i="11"/>
  <c r="C125" i="11"/>
  <c r="B331" i="11"/>
  <c r="B184" i="11"/>
  <c r="B170" i="11"/>
  <c r="C237" i="11"/>
  <c r="B122" i="11"/>
  <c r="B34" i="11"/>
  <c r="B37" i="11"/>
  <c r="C128" i="11"/>
  <c r="C408" i="11"/>
  <c r="B272" i="11"/>
  <c r="C315" i="11"/>
  <c r="C373" i="11"/>
  <c r="C69" i="11"/>
  <c r="B329" i="11"/>
  <c r="C192" i="11"/>
  <c r="B177" i="11"/>
  <c r="C250" i="11"/>
  <c r="B319" i="11"/>
  <c r="B229" i="11"/>
  <c r="B407" i="11"/>
  <c r="C348" i="11"/>
  <c r="C107" i="11"/>
  <c r="C216" i="11"/>
  <c r="C435" i="11"/>
  <c r="C210" i="11"/>
  <c r="C77" i="11"/>
  <c r="C353" i="11"/>
  <c r="C312" i="11"/>
  <c r="C240" i="11"/>
  <c r="B419" i="11"/>
  <c r="C133" i="11"/>
  <c r="B149" i="11"/>
  <c r="B219" i="11"/>
  <c r="C268" i="11"/>
  <c r="B222" i="11"/>
  <c r="C265" i="11"/>
  <c r="B338" i="11"/>
  <c r="B378" i="11"/>
  <c r="B300" i="11"/>
  <c r="C358" i="11"/>
  <c r="B402" i="11"/>
  <c r="C292" i="11"/>
  <c r="C158" i="11"/>
  <c r="C19" i="11"/>
  <c r="C162" i="11"/>
  <c r="B20" i="11"/>
  <c r="C141" i="11"/>
  <c r="B366" i="11"/>
  <c r="C256" i="11"/>
  <c r="C327" i="11"/>
  <c r="C383" i="11"/>
  <c r="C43" i="11"/>
  <c r="C184" i="11"/>
  <c r="B130" i="11"/>
  <c r="C181" i="11"/>
  <c r="C165" i="11"/>
  <c r="B310" i="11"/>
  <c r="C33" i="11"/>
  <c r="C36" i="11"/>
  <c r="B59" i="11"/>
  <c r="B447" i="11"/>
  <c r="B206" i="11"/>
  <c r="C420" i="11"/>
  <c r="C233" i="11"/>
  <c r="C44" i="11"/>
  <c r="C359" i="11"/>
  <c r="C367" i="11"/>
  <c r="C253" i="11"/>
  <c r="B349" i="11"/>
  <c r="B308" i="11"/>
  <c r="C323" i="11"/>
  <c r="C38" i="11"/>
  <c r="B426" i="11"/>
  <c r="C273" i="11"/>
  <c r="C62" i="11"/>
  <c r="C180" i="11"/>
  <c r="C183" i="11"/>
  <c r="C326" i="11"/>
  <c r="B67" i="11"/>
  <c r="C254" i="11"/>
  <c r="C255" i="11"/>
  <c r="C214" i="11"/>
  <c r="C58" i="11"/>
  <c r="C260" i="11"/>
  <c r="B211" i="11"/>
  <c r="B275" i="11"/>
  <c r="B286" i="11"/>
  <c r="B36" i="11"/>
  <c r="B335" i="11"/>
  <c r="C386" i="11"/>
  <c r="B46" i="11"/>
  <c r="C226" i="11"/>
  <c r="B50" i="11"/>
  <c r="B448" i="11"/>
  <c r="B153" i="11"/>
  <c r="C145" i="11"/>
  <c r="B311" i="11"/>
  <c r="C299" i="11"/>
  <c r="C160" i="11"/>
  <c r="B103" i="11"/>
  <c r="C438" i="11"/>
  <c r="C190" i="11"/>
  <c r="B386" i="11"/>
  <c r="B291" i="11"/>
  <c r="B406" i="11"/>
  <c r="B25" i="11"/>
  <c r="C94" i="11"/>
  <c r="B303" i="11"/>
  <c r="C204" i="11"/>
  <c r="B85" i="11"/>
  <c r="C446" i="11"/>
  <c r="C37" i="11"/>
  <c r="C313" i="11"/>
  <c r="C252" i="11"/>
  <c r="C450" i="11"/>
  <c r="C307" i="11"/>
  <c r="B35" i="11"/>
  <c r="C63" i="11"/>
  <c r="C264" i="11"/>
  <c r="B203" i="11"/>
  <c r="C379" i="11"/>
  <c r="C146" i="11"/>
  <c r="B86" i="11"/>
  <c r="B173" i="11"/>
  <c r="C51" i="11"/>
  <c r="B289" i="11"/>
  <c r="C289" i="11"/>
  <c r="B251" i="11"/>
  <c r="C311" i="11"/>
  <c r="C178" i="11"/>
  <c r="B132" i="11"/>
  <c r="B355" i="11"/>
  <c r="C385" i="11"/>
  <c r="C175" i="11"/>
  <c r="B238" i="11"/>
  <c r="C415" i="11"/>
  <c r="C366" i="11"/>
  <c r="C368" i="11"/>
  <c r="B12" i="11"/>
  <c r="C78" i="11"/>
  <c r="B318" i="11"/>
  <c r="B123" i="11"/>
  <c r="C409" i="11"/>
  <c r="B385" i="11"/>
  <c r="C80" i="11"/>
  <c r="C174" i="11"/>
  <c r="B387" i="11"/>
  <c r="C306" i="11"/>
  <c r="B236" i="11"/>
  <c r="C111" i="11"/>
  <c r="B142" i="11"/>
  <c r="B416" i="11"/>
  <c r="B161" i="11"/>
  <c r="B410" i="11"/>
  <c r="C41" i="11"/>
  <c r="B417" i="11"/>
  <c r="C412" i="11"/>
  <c r="C34" i="11"/>
  <c r="B293" i="11"/>
  <c r="B392" i="11"/>
  <c r="C314" i="11"/>
  <c r="B241" i="11"/>
  <c r="C444" i="11"/>
  <c r="C298" i="11"/>
  <c r="B147" i="11"/>
  <c r="B356" i="11"/>
  <c r="B339" i="11"/>
  <c r="C394" i="11"/>
  <c r="B278" i="11"/>
  <c r="B58" i="11"/>
  <c r="C163" i="11"/>
  <c r="B359" i="11"/>
  <c r="C375" i="11"/>
  <c r="B442" i="11"/>
  <c r="C112" i="11"/>
  <c r="B47" i="11"/>
  <c r="B270" i="11"/>
  <c r="B113" i="11"/>
  <c r="C392" i="11"/>
  <c r="C97" i="11"/>
  <c r="B324" i="11"/>
  <c r="C411" i="11"/>
  <c r="B68" i="11"/>
  <c r="B374" i="11"/>
  <c r="C352" i="11"/>
  <c r="B440" i="11"/>
  <c r="C351" i="11"/>
  <c r="B97" i="11"/>
  <c r="C301" i="11"/>
  <c r="C54" i="11"/>
  <c r="C76" i="11"/>
  <c r="B21" i="11"/>
  <c r="C26" i="11"/>
  <c r="B424" i="11"/>
  <c r="C231" i="11"/>
  <c r="B248" i="11"/>
  <c r="B165" i="11"/>
  <c r="C45" i="11"/>
  <c r="B134" i="11"/>
  <c r="C168" i="11"/>
  <c r="B250" i="11"/>
  <c r="C171" i="11"/>
  <c r="C84" i="11"/>
  <c r="B176" i="11"/>
  <c r="C235" i="11"/>
  <c r="B88" i="11"/>
  <c r="C422" i="11"/>
  <c r="B78" i="11"/>
  <c r="B315" i="11"/>
  <c r="B370" i="11"/>
  <c r="B91" i="11"/>
  <c r="B75" i="11"/>
  <c r="C330" i="11"/>
  <c r="C79" i="11"/>
  <c r="C261" i="11"/>
  <c r="B408" i="11"/>
  <c r="C31" i="11"/>
  <c r="C377" i="11"/>
  <c r="B128" i="11"/>
  <c r="B395" i="11"/>
  <c r="C238" i="11"/>
  <c r="B119" i="11"/>
  <c r="B160" i="11"/>
  <c r="B354" i="11"/>
  <c r="C284" i="11"/>
  <c r="C447" i="11"/>
  <c r="C425" i="11"/>
  <c r="C388" i="11"/>
  <c r="B382" i="11"/>
  <c r="B348" i="11"/>
  <c r="C407" i="11"/>
  <c r="C86" i="11"/>
  <c r="B358" i="11"/>
  <c r="C310" i="11"/>
  <c r="B118" i="11"/>
  <c r="B102" i="11"/>
  <c r="B340" i="11"/>
  <c r="C274" i="11"/>
  <c r="C157" i="11"/>
  <c r="B210" i="11"/>
  <c r="B111" i="11"/>
  <c r="C245" i="11"/>
  <c r="C249" i="11"/>
  <c r="C302" i="11"/>
  <c r="B256" i="11"/>
  <c r="B243" i="11"/>
  <c r="B169" i="11"/>
  <c r="B40" i="11"/>
  <c r="B215" i="11"/>
  <c r="C109" i="11"/>
  <c r="B39" i="11"/>
  <c r="B28" i="11"/>
  <c r="C393" i="11"/>
  <c r="C413" i="11"/>
  <c r="B282" i="11"/>
  <c r="C179" i="11"/>
  <c r="B377" i="11"/>
  <c r="B312" i="11"/>
  <c r="C116" i="11"/>
  <c r="B205" i="11"/>
  <c r="B412" i="11"/>
  <c r="C217" i="11"/>
  <c r="B199" i="11"/>
  <c r="C259" i="11"/>
  <c r="B49" i="11"/>
  <c r="C339" i="11"/>
  <c r="C22" i="11"/>
  <c r="B334" i="11"/>
  <c r="C391" i="11"/>
  <c r="B381" i="11"/>
  <c r="B390" i="11"/>
  <c r="B369" i="11"/>
  <c r="C228" i="11"/>
  <c r="B336" i="11"/>
  <c r="B316" i="11"/>
  <c r="C199" i="11"/>
  <c r="B261" i="11"/>
  <c r="B141" i="11"/>
  <c r="C198" i="11"/>
  <c r="C410" i="11"/>
  <c r="C201" i="11"/>
  <c r="C149" i="11"/>
  <c r="B114" i="11"/>
  <c r="C433" i="11"/>
  <c r="C241" i="11"/>
  <c r="C153" i="11"/>
  <c r="C340" i="11"/>
  <c r="B283" i="11"/>
  <c r="C342" i="11"/>
  <c r="B182" i="11"/>
  <c r="B296" i="11"/>
  <c r="B244" i="11"/>
  <c r="C182" i="11"/>
  <c r="C14" i="11"/>
  <c r="C156" i="11"/>
  <c r="C236" i="11"/>
  <c r="C151" i="11"/>
  <c r="B117" i="11"/>
  <c r="B427" i="11"/>
  <c r="C275" i="11"/>
  <c r="B260" i="11"/>
  <c r="C270" i="11"/>
  <c r="B192" i="11"/>
  <c r="C234" i="11"/>
  <c r="C100" i="11"/>
  <c r="C365" i="11"/>
  <c r="C218" i="11"/>
  <c r="C251" i="11"/>
  <c r="B409" i="11"/>
  <c r="B322" i="11"/>
  <c r="B144" i="11"/>
  <c r="B435" i="11"/>
  <c r="B69" i="11"/>
  <c r="C400" i="11"/>
  <c r="B376" i="11"/>
  <c r="B281" i="11"/>
  <c r="B126" i="11"/>
  <c r="B321" i="11"/>
  <c r="C93" i="11"/>
  <c r="B124" i="11"/>
  <c r="C369" i="11"/>
  <c r="C148" i="11"/>
  <c r="C328" i="11"/>
  <c r="B72" i="11"/>
  <c r="B365" i="11"/>
  <c r="B368" i="11"/>
  <c r="C18" i="11"/>
  <c r="B172" i="11"/>
  <c r="B295" i="11"/>
  <c r="B414" i="11"/>
  <c r="C70" i="11"/>
  <c r="C60" i="11"/>
  <c r="C85" i="11"/>
  <c r="B262" i="11"/>
  <c r="B314" i="11"/>
  <c r="C121" i="11"/>
  <c r="C232" i="11"/>
  <c r="C103" i="11"/>
  <c r="C247" i="11"/>
  <c r="B41" i="11"/>
  <c r="C248" i="11"/>
  <c r="B180" i="11"/>
  <c r="C72" i="11"/>
  <c r="B298" i="11"/>
  <c r="C117" i="11"/>
  <c r="C370" i="11"/>
  <c r="C324" i="11"/>
  <c r="B277" i="11"/>
  <c r="C363" i="11"/>
  <c r="C46" i="11"/>
  <c r="B51" i="11"/>
  <c r="C207" i="11"/>
  <c r="B347" i="11"/>
  <c r="C334" i="11"/>
  <c r="C71" i="11"/>
  <c r="C39" i="11"/>
  <c r="C64" i="11"/>
  <c r="C92" i="11"/>
  <c r="C83" i="11"/>
  <c r="B221" i="11"/>
  <c r="B266" i="11"/>
  <c r="B420" i="11"/>
  <c r="C167" i="11"/>
  <c r="B218" i="11"/>
  <c r="C42" i="11"/>
  <c r="B451" i="11"/>
  <c r="B105" i="11"/>
  <c r="B257" i="11"/>
  <c r="C20" i="11"/>
  <c r="B401" i="11"/>
  <c r="C278" i="11"/>
  <c r="B379" i="11"/>
  <c r="B79" i="11"/>
  <c r="C355" i="11"/>
  <c r="C285" i="11"/>
  <c r="C421" i="11"/>
  <c r="B171" i="11"/>
  <c r="C405" i="11"/>
  <c r="C431" i="11"/>
  <c r="C27" i="11"/>
  <c r="B317" i="11"/>
  <c r="B96" i="11"/>
  <c r="B345" i="11"/>
  <c r="B423" i="11"/>
  <c r="B245" i="11"/>
  <c r="C118" i="11"/>
  <c r="C88" i="11"/>
  <c r="B65" i="11"/>
  <c r="C398" i="11"/>
  <c r="B125" i="11"/>
  <c r="C96" i="11"/>
  <c r="C74" i="11"/>
  <c r="C356" i="11"/>
  <c r="B439" i="11"/>
  <c r="C258" i="11"/>
  <c r="C106" i="11"/>
  <c r="B13" i="11"/>
  <c r="C389" i="11"/>
  <c r="B166" i="11"/>
  <c r="C87" i="11"/>
  <c r="B301" i="11"/>
  <c r="C159" i="11"/>
  <c r="C147" i="11"/>
  <c r="C95" i="11"/>
  <c r="B422" i="11"/>
  <c r="C343" i="11"/>
  <c r="B415" i="11"/>
  <c r="C23" i="11"/>
  <c r="C140" i="11"/>
  <c r="B297" i="11"/>
  <c r="B104" i="11"/>
  <c r="B430" i="11"/>
  <c r="C173" i="11"/>
  <c r="B52" i="11"/>
  <c r="B217" i="11"/>
  <c r="C440" i="11"/>
  <c r="C380" i="11"/>
  <c r="C227" i="11"/>
  <c r="C345" i="11"/>
  <c r="B43" i="11"/>
  <c r="C308" i="11"/>
  <c r="C104" i="11"/>
  <c r="C12" i="11"/>
  <c r="B226" i="11"/>
  <c r="B444" i="11"/>
  <c r="C166" i="11"/>
  <c r="B53" i="11"/>
  <c r="C361" i="11"/>
  <c r="B259" i="11"/>
  <c r="C290" i="11"/>
  <c r="B87" i="11"/>
  <c r="C320" i="11"/>
  <c r="C110" i="11"/>
  <c r="B393" i="11"/>
  <c r="B83" i="11"/>
  <c r="C197" i="11"/>
  <c r="B146" i="11"/>
  <c r="C329" i="11"/>
  <c r="B23" i="11"/>
  <c r="C332" i="11"/>
  <c r="B391" i="11"/>
  <c r="B213" i="11"/>
  <c r="B255" i="11"/>
  <c r="B326" i="11"/>
  <c r="C429" i="11"/>
  <c r="B309" i="11"/>
  <c r="B302" i="11"/>
  <c r="C61" i="11"/>
  <c r="C427" i="11"/>
  <c r="C215" i="11"/>
  <c r="C67" i="11"/>
  <c r="C55" i="11"/>
  <c r="C349" i="11"/>
  <c r="B154" i="11"/>
  <c r="B332" i="11"/>
  <c r="B148" i="11"/>
  <c r="B411" i="11"/>
  <c r="C25" i="11"/>
  <c r="C115" i="11"/>
  <c r="C316" i="11"/>
  <c r="C271" i="11"/>
  <c r="C437" i="11"/>
  <c r="C428" i="11"/>
  <c r="B155" i="11"/>
  <c r="B232" i="11"/>
  <c r="C195" i="11"/>
  <c r="B307" i="11"/>
  <c r="C212" i="11"/>
  <c r="B84" i="11"/>
  <c r="B73" i="11"/>
  <c r="B99" i="11"/>
  <c r="B163" i="11"/>
  <c r="B357" i="11"/>
  <c r="B185" i="11"/>
  <c r="B413" i="11"/>
  <c r="C423" i="11"/>
  <c r="B233" i="11"/>
  <c r="C30" i="11"/>
  <c r="B285" i="11"/>
  <c r="B265" i="11"/>
  <c r="C297" i="11"/>
  <c r="B70" i="11"/>
  <c r="C99" i="11"/>
  <c r="B208" i="11"/>
  <c r="C81" i="11"/>
  <c r="B327" i="11"/>
  <c r="C243" i="11"/>
  <c r="B400" i="11"/>
  <c r="B437" i="11"/>
  <c r="B76" i="11"/>
  <c r="B181" i="11"/>
  <c r="B77" i="11"/>
  <c r="B55" i="11"/>
  <c r="B26" i="11"/>
  <c r="B273" i="11"/>
  <c r="C130" i="11"/>
  <c r="B372" i="11"/>
  <c r="C257" i="11"/>
  <c r="B190" i="11"/>
  <c r="B384" i="11"/>
  <c r="B15" i="11"/>
  <c r="B367" i="11"/>
  <c r="B19" i="11"/>
  <c r="C150" i="11"/>
  <c r="C59" i="11"/>
  <c r="C222" i="11"/>
  <c r="B63" i="11"/>
  <c r="B306" i="11"/>
  <c r="C445" i="11"/>
  <c r="C124" i="11"/>
  <c r="C244" i="11"/>
  <c r="B17" i="11"/>
  <c r="B194" i="11"/>
  <c r="B320" i="11"/>
  <c r="C325" i="11"/>
  <c r="B274" i="11"/>
  <c r="C200" i="11"/>
  <c r="C75" i="11"/>
  <c r="C417" i="11"/>
  <c r="C82" i="11"/>
  <c r="B22" i="11"/>
  <c r="C283" i="11"/>
  <c r="B32" i="11"/>
  <c r="C439" i="11"/>
  <c r="C449" i="11"/>
  <c r="C50" i="11"/>
  <c r="C90" i="11"/>
  <c r="B325" i="11"/>
  <c r="B11" i="11"/>
  <c r="B418" i="11"/>
  <c r="B159" i="11"/>
  <c r="C137" i="11"/>
  <c r="B434" i="11"/>
  <c r="C246" i="11"/>
  <c r="B380" i="11"/>
  <c r="C68" i="11"/>
  <c r="B292" i="11"/>
  <c r="B399" i="11"/>
  <c r="B254" i="11"/>
  <c r="B127" i="11"/>
  <c r="C202" i="11"/>
  <c r="B129" i="11"/>
  <c r="B421" i="11"/>
  <c r="B253" i="11"/>
  <c r="B95" i="11"/>
  <c r="B428" i="11"/>
  <c r="C442" i="11"/>
  <c r="C169" i="11"/>
  <c r="B164" i="11"/>
  <c r="C53" i="11"/>
  <c r="B18" i="11"/>
  <c r="B94" i="11"/>
  <c r="C164" i="11"/>
  <c r="C66" i="11"/>
  <c r="B333" i="11"/>
  <c r="C29" i="11"/>
  <c r="B389" i="11"/>
  <c r="B191" i="11"/>
  <c r="B198" i="11"/>
  <c r="B139" i="11"/>
  <c r="C295" i="11"/>
  <c r="B436" i="11"/>
  <c r="C390" i="11"/>
  <c r="C16" i="11"/>
  <c r="B45" i="11"/>
  <c r="C430" i="11"/>
  <c r="B269" i="11"/>
  <c r="B287" i="11"/>
  <c r="C319" i="11"/>
  <c r="C17" i="11"/>
  <c r="B294" i="11"/>
  <c r="C172" i="11"/>
  <c r="C293" i="11"/>
  <c r="B242" i="11"/>
  <c r="B263" i="11"/>
  <c r="C49" i="11"/>
  <c r="B33" i="11"/>
  <c r="B82" i="11"/>
  <c r="C350" i="11"/>
  <c r="B29" i="11"/>
  <c r="C269" i="11"/>
  <c r="B234" i="11"/>
  <c r="B216" i="11"/>
  <c r="C188" i="11"/>
  <c r="B225" i="11"/>
  <c r="B135" i="11"/>
  <c r="B140" i="11"/>
  <c r="C194" i="11"/>
  <c r="B304" i="11"/>
  <c r="B204" i="11"/>
  <c r="B133" i="11"/>
  <c r="C399" i="11"/>
  <c r="B330" i="11"/>
  <c r="C209" i="11"/>
  <c r="C139" i="11"/>
  <c r="C300" i="11"/>
  <c r="B433" i="11"/>
  <c r="C396" i="11"/>
  <c r="B214" i="11"/>
  <c r="C28" i="11"/>
  <c r="C56" i="11"/>
  <c r="C48" i="11"/>
  <c r="C186" i="11"/>
  <c r="C387" i="11"/>
  <c r="C126" i="11"/>
  <c r="C346" i="11"/>
  <c r="C223" i="11"/>
  <c r="B431" i="11"/>
  <c r="B398" i="11"/>
  <c r="B394" i="11"/>
  <c r="C404" i="11"/>
  <c r="B207" i="11"/>
  <c r="C177" i="11"/>
  <c r="C13" i="11"/>
  <c r="B183" i="11"/>
  <c r="C277" i="11"/>
  <c r="C113" i="11"/>
  <c r="C176" i="11"/>
  <c r="B446" i="11"/>
  <c r="C73" i="11"/>
  <c r="C321" i="11"/>
  <c r="C403" i="11"/>
  <c r="B175" i="11"/>
  <c r="C426" i="11"/>
  <c r="C451" i="11"/>
  <c r="B110" i="11"/>
  <c r="C402" i="11"/>
  <c r="C362" i="11"/>
  <c r="C120" i="11"/>
  <c r="B328" i="11"/>
  <c r="C276" i="11"/>
  <c r="C263" i="11"/>
  <c r="C154" i="11"/>
  <c r="B60" i="11"/>
  <c r="C262" i="11"/>
  <c r="B429" i="11"/>
  <c r="B240" i="11"/>
  <c r="C336" i="11"/>
  <c r="C144" i="11"/>
  <c r="C272" i="11"/>
  <c r="C135" i="11"/>
  <c r="C91" i="11"/>
  <c r="C443" i="11"/>
  <c r="B267" i="11"/>
  <c r="B284" i="11"/>
  <c r="B220" i="11"/>
  <c r="C317" i="11"/>
  <c r="C419" i="11"/>
  <c r="B30" i="11"/>
  <c r="D10" i="12"/>
  <c r="D10" i="19"/>
  <c r="AL10" i="11"/>
  <c r="AM10" i="11"/>
  <c r="AM11" i="11" l="1"/>
  <c r="AL11" i="11"/>
  <c r="AM442" i="11" l="1"/>
  <c r="AL12" i="11"/>
  <c r="AM12" i="11"/>
  <c r="AM443" i="11" l="1"/>
  <c r="AM13" i="11"/>
  <c r="AL13" i="11"/>
  <c r="AM444" i="11" l="1"/>
  <c r="AM14" i="11"/>
  <c r="AL14" i="11"/>
  <c r="AM445" i="11" l="1"/>
  <c r="AL15" i="11"/>
  <c r="AM15" i="11"/>
  <c r="AM446" i="11" l="1"/>
  <c r="AM16" i="11"/>
  <c r="AL16" i="11"/>
  <c r="AM448" i="11" l="1"/>
  <c r="AM17" i="11"/>
  <c r="AL17" i="11"/>
  <c r="AM449" i="11" l="1"/>
  <c r="AM18" i="11"/>
  <c r="AL18" i="11"/>
  <c r="AM450" i="11" l="1"/>
  <c r="AL19" i="11"/>
  <c r="AM19" i="11"/>
  <c r="AM451" i="11" l="1"/>
  <c r="AL451" i="11"/>
  <c r="AM20" i="11"/>
  <c r="AL20" i="11"/>
  <c r="AL21" i="11" l="1"/>
  <c r="AM21" i="11"/>
  <c r="AL22" i="11" l="1"/>
  <c r="AM22" i="11"/>
  <c r="AM23" i="11" l="1"/>
  <c r="AL23" i="11"/>
  <c r="AM24" i="11" l="1"/>
  <c r="AL24" i="11"/>
  <c r="AM25" i="11" l="1"/>
  <c r="AL25" i="11"/>
  <c r="AL26" i="11" l="1"/>
  <c r="AM26" i="11"/>
  <c r="AL27" i="11" l="1"/>
  <c r="AM27" i="11"/>
  <c r="AM28" i="11" l="1"/>
  <c r="AL28" i="11"/>
  <c r="AM29" i="11" l="1"/>
  <c r="AL29" i="11"/>
  <c r="AM30" i="11" l="1"/>
  <c r="AL30" i="11"/>
  <c r="AM31" i="11" l="1"/>
  <c r="AL31" i="11"/>
  <c r="AL32" i="11" l="1"/>
  <c r="AM32" i="11"/>
  <c r="AM33" i="11" l="1"/>
  <c r="AL33" i="11"/>
  <c r="AL34" i="11" l="1"/>
  <c r="AM34" i="11"/>
  <c r="AM35" i="11" l="1"/>
  <c r="AL35" i="11"/>
  <c r="AL36" i="11" l="1"/>
  <c r="AM36" i="11"/>
  <c r="AM37" i="11" l="1"/>
  <c r="AL37" i="11"/>
  <c r="AM38" i="11" l="1"/>
  <c r="AL38" i="11"/>
  <c r="AL39" i="11" l="1"/>
  <c r="AM39" i="11"/>
  <c r="AM40" i="11" l="1"/>
  <c r="AL40" i="11"/>
  <c r="AM41" i="11" l="1"/>
  <c r="AL41" i="11"/>
  <c r="AL42" i="11" l="1"/>
  <c r="AM42" i="11"/>
  <c r="AL43" i="11" l="1"/>
  <c r="AM43" i="11"/>
  <c r="AM44" i="11" l="1"/>
  <c r="AL44" i="11"/>
  <c r="AM45" i="11" l="1"/>
  <c r="AL45" i="11"/>
  <c r="AM46" i="11" l="1"/>
  <c r="AL46" i="11"/>
  <c r="AL47" i="11" l="1"/>
  <c r="AM47" i="11"/>
  <c r="AM48" i="11" l="1"/>
  <c r="AL48" i="11"/>
  <c r="AM49" i="11" l="1"/>
  <c r="AL49" i="11"/>
  <c r="AM50" i="11" l="1"/>
  <c r="AL50" i="11"/>
  <c r="AL51" i="11" l="1"/>
  <c r="AM51" i="11"/>
  <c r="AM52" i="11" l="1"/>
  <c r="AL52" i="11"/>
  <c r="AM53" i="11" l="1"/>
  <c r="AL53" i="11"/>
  <c r="AL54" i="11" l="1"/>
  <c r="AM54" i="11"/>
  <c r="AM55" i="11" l="1"/>
  <c r="AL55" i="11"/>
  <c r="AL56" i="11" l="1"/>
  <c r="AM56" i="11"/>
  <c r="AL57" i="11" l="1"/>
  <c r="AM57" i="11"/>
  <c r="AL58" i="11" l="1"/>
  <c r="AM58" i="11"/>
  <c r="AL59" i="11" l="1"/>
  <c r="AM59" i="11"/>
  <c r="AM60" i="11" l="1"/>
  <c r="AL60" i="11"/>
  <c r="AL61" i="11" l="1"/>
  <c r="AM61" i="11"/>
  <c r="AL62" i="11" l="1"/>
  <c r="AM62" i="11"/>
  <c r="P454" i="3"/>
  <c r="T4" i="3"/>
  <c r="J4" i="3"/>
  <c r="AL63" i="11" l="1"/>
  <c r="AM63" i="11"/>
  <c r="U4" i="3"/>
  <c r="H4" i="3"/>
  <c r="R4" i="3" l="1"/>
  <c r="G3" i="21" s="1"/>
  <c r="V4" i="3"/>
  <c r="AM64" i="11"/>
  <c r="AL64" i="11"/>
  <c r="M454" i="3"/>
  <c r="AL65" i="11" l="1"/>
  <c r="AM65" i="11"/>
  <c r="N454" i="3"/>
  <c r="D12" i="2"/>
  <c r="G12" i="2" s="1"/>
  <c r="AM66" i="11" l="1"/>
  <c r="AL66" i="11"/>
  <c r="D9" i="2"/>
  <c r="AM67" i="11" l="1"/>
  <c r="AL67" i="11"/>
  <c r="D10" i="2"/>
  <c r="AM68" i="11" l="1"/>
  <c r="AL68" i="11"/>
  <c r="D11" i="2"/>
  <c r="G11" i="2" s="1"/>
  <c r="H11" i="2" s="1"/>
  <c r="AL69" i="11" l="1"/>
  <c r="AM69" i="11"/>
  <c r="AL70" i="11" l="1"/>
  <c r="AM70" i="11"/>
  <c r="AM71" i="11" l="1"/>
  <c r="AL71" i="11"/>
  <c r="AM72" i="11" l="1"/>
  <c r="AL72" i="11"/>
  <c r="Q454" i="3" l="1"/>
  <c r="AM73" i="11"/>
  <c r="AL73" i="11"/>
  <c r="AL74" i="11" l="1"/>
  <c r="AM74" i="11"/>
  <c r="AM75" i="11" l="1"/>
  <c r="AL75" i="11"/>
  <c r="AM76" i="11" l="1"/>
  <c r="AL76" i="11"/>
  <c r="AM77" i="11" l="1"/>
  <c r="AL77" i="11"/>
  <c r="AL78" i="11" l="1"/>
  <c r="AM78" i="11"/>
  <c r="AM79" i="11" l="1"/>
  <c r="AL79" i="11"/>
  <c r="AL80" i="11" l="1"/>
  <c r="AM80" i="11"/>
  <c r="AL81" i="11" l="1"/>
  <c r="AM81" i="11"/>
  <c r="AM82" i="11" l="1"/>
  <c r="AL82" i="11"/>
  <c r="AM83" i="11" l="1"/>
  <c r="AL83" i="11"/>
  <c r="AM84" i="11" l="1"/>
  <c r="AL84" i="11"/>
  <c r="AM85" i="11" l="1"/>
  <c r="AL85" i="11"/>
  <c r="AM86" i="11" l="1"/>
  <c r="AL86" i="11"/>
  <c r="AM87" i="11" l="1"/>
  <c r="AL87" i="11"/>
  <c r="AM88" i="11" l="1"/>
  <c r="AL88" i="11"/>
  <c r="AM89" i="11" l="1"/>
  <c r="AL89" i="11"/>
  <c r="AL90" i="11" l="1"/>
  <c r="AM90" i="11"/>
  <c r="AL91" i="11" l="1"/>
  <c r="AM91" i="11"/>
  <c r="AL92" i="11" l="1"/>
  <c r="AM92" i="11"/>
  <c r="AL93" i="11" l="1"/>
  <c r="AM93" i="11"/>
  <c r="AM94" i="11" l="1"/>
  <c r="AL94" i="11"/>
  <c r="AM95" i="11" l="1"/>
  <c r="AL95" i="11"/>
  <c r="AM96" i="11" l="1"/>
  <c r="AL96" i="11"/>
  <c r="AL97" i="11" l="1"/>
  <c r="AM97" i="11"/>
  <c r="AM98" i="11" l="1"/>
  <c r="AL98" i="11"/>
  <c r="AM99" i="11" l="1"/>
  <c r="AL99" i="11"/>
  <c r="AM100" i="11" l="1"/>
  <c r="AL100" i="11"/>
  <c r="AM101" i="11" l="1"/>
  <c r="AL101" i="11"/>
  <c r="AL102" i="11" l="1"/>
  <c r="AM102" i="11"/>
  <c r="AL103" i="11" l="1"/>
  <c r="AM103" i="11"/>
  <c r="AM104" i="11" l="1"/>
  <c r="AL104" i="11"/>
  <c r="AL105" i="11" l="1"/>
  <c r="AM105" i="11"/>
  <c r="AM106" i="11" l="1"/>
  <c r="AL106" i="11"/>
  <c r="AM107" i="11" l="1"/>
  <c r="AL107" i="11"/>
  <c r="AM108" i="11" l="1"/>
  <c r="AL108" i="11"/>
  <c r="AL109" i="11" l="1"/>
  <c r="AM109" i="11"/>
  <c r="AM110" i="11" l="1"/>
  <c r="AL110" i="11"/>
  <c r="AM111" i="11" l="1"/>
  <c r="AL111" i="11"/>
  <c r="AL112" i="11" l="1"/>
  <c r="AM112" i="11"/>
  <c r="AL113" i="11" l="1"/>
  <c r="AM113" i="11"/>
  <c r="AL114" i="11" l="1"/>
  <c r="AM114" i="11"/>
  <c r="AM115" i="11" l="1"/>
  <c r="AL115" i="11"/>
  <c r="AL116" i="11" l="1"/>
  <c r="AM116" i="11"/>
  <c r="AL117" i="11" l="1"/>
  <c r="AM117" i="11"/>
  <c r="AL118" i="11" l="1"/>
  <c r="AM118" i="11"/>
  <c r="AM119" i="11" l="1"/>
  <c r="AL119" i="11"/>
  <c r="AM120" i="11" l="1"/>
  <c r="AL120" i="11"/>
  <c r="AL121" i="11" l="1"/>
  <c r="AM121" i="11"/>
  <c r="AM122" i="11" l="1"/>
  <c r="AL122" i="11"/>
  <c r="AL123" i="11" l="1"/>
  <c r="AM123" i="11"/>
  <c r="AL124" i="11" l="1"/>
  <c r="AM124" i="11"/>
  <c r="AM125" i="11" l="1"/>
  <c r="AL125" i="11"/>
  <c r="AM126" i="11" l="1"/>
  <c r="AL126" i="11"/>
  <c r="AM127" i="11" l="1"/>
  <c r="AL127" i="11"/>
  <c r="AM128" i="11" l="1"/>
  <c r="AL128" i="11"/>
  <c r="AL129" i="11" l="1"/>
  <c r="AM129" i="11"/>
  <c r="AL130" i="11" l="1"/>
  <c r="AM130" i="11"/>
  <c r="AM131" i="11" l="1"/>
  <c r="AL131" i="11"/>
  <c r="AM132" i="11" l="1"/>
  <c r="AL132" i="11"/>
  <c r="AL133" i="11" l="1"/>
  <c r="AM133" i="11"/>
  <c r="AM134" i="11" l="1"/>
  <c r="AL134" i="11"/>
  <c r="AL135" i="11" l="1"/>
  <c r="AM135" i="11"/>
  <c r="AM136" i="11" l="1"/>
  <c r="AL136" i="11"/>
  <c r="AM137" i="11" l="1"/>
  <c r="AL137" i="11"/>
  <c r="AM138" i="11" l="1"/>
  <c r="AL138" i="11"/>
  <c r="AM139" i="11" l="1"/>
  <c r="AL139" i="11"/>
  <c r="AL140" i="11" l="1"/>
  <c r="AM140" i="11"/>
  <c r="AL141" i="11" l="1"/>
  <c r="AM141" i="11"/>
  <c r="AL142" i="11" l="1"/>
  <c r="AM142" i="11"/>
  <c r="AM143" i="11" l="1"/>
  <c r="AL143" i="11"/>
  <c r="AM144" i="11" l="1"/>
  <c r="AL144" i="11"/>
  <c r="AM145" i="11" l="1"/>
  <c r="AL145" i="11"/>
  <c r="AM146" i="11" l="1"/>
  <c r="AL146" i="11"/>
  <c r="AM147" i="11" l="1"/>
  <c r="AL147" i="11"/>
  <c r="AM148" i="11" l="1"/>
  <c r="AL148" i="11"/>
  <c r="AM149" i="11" l="1"/>
  <c r="AL149" i="11"/>
  <c r="AL150" i="11" l="1"/>
  <c r="AM150" i="11"/>
  <c r="AM151" i="11" l="1"/>
  <c r="AL151" i="11"/>
  <c r="AM152" i="11" l="1"/>
  <c r="AL152" i="11"/>
  <c r="AL153" i="11" l="1"/>
  <c r="AM153" i="11"/>
  <c r="AM154" i="11" l="1"/>
  <c r="AL154" i="11"/>
  <c r="AM155" i="11" l="1"/>
  <c r="AL155" i="11"/>
  <c r="AL156" i="11" l="1"/>
  <c r="AM156" i="11"/>
  <c r="AL157" i="11" l="1"/>
  <c r="AM157" i="11"/>
  <c r="AL158" i="11" l="1"/>
  <c r="AM158" i="11"/>
  <c r="AL159" i="11" l="1"/>
  <c r="AM159" i="11"/>
  <c r="AL160" i="11" l="1"/>
  <c r="AM160" i="11"/>
  <c r="AM161" i="11" l="1"/>
  <c r="AL161" i="11"/>
  <c r="AM162" i="11" l="1"/>
  <c r="AL162" i="11"/>
  <c r="AM163" i="11" l="1"/>
  <c r="AL163" i="11"/>
  <c r="AM164" i="11" l="1"/>
  <c r="AL164" i="11"/>
  <c r="AM165" i="11" l="1"/>
  <c r="AL165" i="11"/>
  <c r="AL166" i="11" l="1"/>
  <c r="AM166" i="11"/>
  <c r="AL167" i="11" l="1"/>
  <c r="AM167" i="11"/>
  <c r="AL168" i="11" l="1"/>
  <c r="AM168" i="11"/>
  <c r="AL169" i="11" l="1"/>
  <c r="AM169" i="11"/>
  <c r="AL170" i="11" l="1"/>
  <c r="AM170" i="11"/>
  <c r="AM171" i="11" l="1"/>
  <c r="AL171" i="11"/>
  <c r="AL172" i="11" l="1"/>
  <c r="AM172" i="11"/>
  <c r="AM173" i="11" l="1"/>
  <c r="AL173" i="11"/>
  <c r="AM174" i="11" l="1"/>
  <c r="AL174" i="11"/>
  <c r="AL175" i="11" l="1"/>
  <c r="AM175" i="11"/>
  <c r="AM176" i="11" l="1"/>
  <c r="AL176" i="11"/>
  <c r="AL177" i="11" l="1"/>
  <c r="AM177" i="11"/>
  <c r="AL178" i="11" l="1"/>
  <c r="AM178" i="11"/>
  <c r="AM179" i="11" l="1"/>
  <c r="AL179" i="11"/>
  <c r="AM180" i="11" l="1"/>
  <c r="AL180" i="11"/>
  <c r="AL181" i="11" l="1"/>
  <c r="AM181" i="11"/>
  <c r="AL182" i="11" l="1"/>
  <c r="AM182" i="11"/>
  <c r="AM183" i="11" l="1"/>
  <c r="AL183" i="11"/>
  <c r="AM184" i="11" l="1"/>
  <c r="AL184" i="11"/>
  <c r="AM185" i="11" l="1"/>
  <c r="AL185" i="11"/>
  <c r="AM186" i="11" l="1"/>
  <c r="AL186" i="11"/>
  <c r="AL187" i="11" l="1"/>
  <c r="AM187" i="11"/>
  <c r="AL188" i="11" l="1"/>
  <c r="AM188" i="11"/>
  <c r="AM189" i="11" l="1"/>
  <c r="AL189" i="11"/>
  <c r="AM190" i="11" l="1"/>
  <c r="AL190" i="11"/>
  <c r="AL191" i="11" l="1"/>
  <c r="AM191" i="11"/>
  <c r="AM192" i="11" l="1"/>
  <c r="AL192" i="11"/>
  <c r="AM193" i="11" l="1"/>
  <c r="AL193" i="11"/>
  <c r="AM194" i="11" l="1"/>
  <c r="AL194" i="11"/>
  <c r="AL195" i="11" l="1"/>
  <c r="AM195" i="11"/>
  <c r="AM196" i="11" l="1"/>
  <c r="AL196" i="11"/>
  <c r="AM197" i="11" l="1"/>
  <c r="AL197" i="11"/>
  <c r="AM198" i="11" l="1"/>
  <c r="AL198" i="11"/>
  <c r="AM199" i="11" l="1"/>
  <c r="AL199" i="11"/>
  <c r="AL200" i="11" l="1"/>
  <c r="AM200" i="11"/>
  <c r="AM201" i="11" l="1"/>
  <c r="AL201" i="11"/>
  <c r="AM202" i="11" l="1"/>
  <c r="AL202" i="11"/>
  <c r="AM203" i="11" l="1"/>
  <c r="AL203" i="11"/>
  <c r="AM204" i="11" l="1"/>
  <c r="AL204" i="11"/>
  <c r="AM205" i="11" l="1"/>
  <c r="AL205" i="11"/>
  <c r="AM206" i="11" l="1"/>
  <c r="AL206" i="11"/>
  <c r="AM207" i="11" l="1"/>
  <c r="AL207" i="11"/>
  <c r="AL208" i="11" l="1"/>
  <c r="AM208" i="11"/>
  <c r="AM209" i="11" l="1"/>
  <c r="AL209" i="11"/>
  <c r="AM210" i="11" l="1"/>
  <c r="AL210" i="11"/>
  <c r="AM211" i="11" l="1"/>
  <c r="AL211" i="11"/>
  <c r="AM212" i="11" l="1"/>
  <c r="AL212" i="11"/>
  <c r="AL213" i="11" l="1"/>
  <c r="AM213" i="11"/>
  <c r="AM214" i="11" l="1"/>
  <c r="AL214" i="11"/>
  <c r="AL215" i="11" l="1"/>
  <c r="AM215" i="11"/>
  <c r="AM216" i="11" l="1"/>
  <c r="AL216" i="11"/>
  <c r="AM217" i="11" l="1"/>
  <c r="AL217" i="11"/>
  <c r="AL218" i="11" l="1"/>
  <c r="AM218" i="11"/>
  <c r="AM219" i="11" l="1"/>
  <c r="AL219" i="11"/>
  <c r="AM220" i="11" l="1"/>
  <c r="AL220" i="11"/>
  <c r="AM221" i="11" l="1"/>
  <c r="AL221" i="11"/>
  <c r="AL222" i="11" l="1"/>
  <c r="AM222" i="11"/>
  <c r="AM223" i="11" l="1"/>
  <c r="AL223" i="11"/>
  <c r="AM224" i="11" l="1"/>
  <c r="AL224" i="11"/>
  <c r="AL225" i="11" l="1"/>
  <c r="AM225" i="11"/>
  <c r="AL226" i="11" l="1"/>
  <c r="AM226" i="11"/>
  <c r="AM227" i="11" l="1"/>
  <c r="AL227" i="11"/>
  <c r="AM228" i="11" l="1"/>
  <c r="AL228" i="11"/>
  <c r="AM229" i="11" l="1"/>
  <c r="AL229" i="11"/>
  <c r="AM230" i="11" l="1"/>
  <c r="AL230" i="11"/>
  <c r="AL231" i="11" l="1"/>
  <c r="AM231" i="11"/>
  <c r="AM232" i="11" l="1"/>
  <c r="AL232" i="11"/>
  <c r="AL233" i="11" l="1"/>
  <c r="AM233" i="11"/>
  <c r="AM234" i="11" l="1"/>
  <c r="AL234" i="11"/>
  <c r="AM235" i="11" l="1"/>
  <c r="AL235" i="11"/>
  <c r="AM236" i="11" l="1"/>
  <c r="AL236" i="11"/>
  <c r="AL237" i="11" l="1"/>
  <c r="AM237" i="11"/>
  <c r="AL238" i="11" l="1"/>
  <c r="AM238" i="11"/>
  <c r="AM239" i="11" l="1"/>
  <c r="AL239" i="11"/>
  <c r="AM240" i="11" l="1"/>
  <c r="AL240" i="11"/>
  <c r="AL241" i="11" l="1"/>
  <c r="AM241" i="11"/>
  <c r="AL242" i="11" l="1"/>
  <c r="AM242" i="11"/>
  <c r="AM243" i="11" l="1"/>
  <c r="AL243" i="11"/>
  <c r="AL244" i="11" l="1"/>
  <c r="AM244" i="11"/>
  <c r="AM245" i="11" l="1"/>
  <c r="AL245" i="11"/>
  <c r="AL246" i="11" l="1"/>
  <c r="AM246" i="11"/>
  <c r="AM247" i="11" l="1"/>
  <c r="AL247" i="11"/>
  <c r="AM248" i="11" l="1"/>
  <c r="AL248" i="11"/>
  <c r="AL249" i="11" l="1"/>
  <c r="AM249" i="11"/>
  <c r="AM250" i="11" l="1"/>
  <c r="AL250" i="11"/>
  <c r="AM251" i="11" l="1"/>
  <c r="AL251" i="11"/>
  <c r="AL252" i="11" l="1"/>
  <c r="AM252" i="11"/>
  <c r="AL253" i="11" l="1"/>
  <c r="AM253" i="11"/>
  <c r="AM254" i="11" l="1"/>
  <c r="AL254" i="11"/>
  <c r="AM255" i="11" l="1"/>
  <c r="AL255" i="11"/>
  <c r="AM256" i="11" l="1"/>
  <c r="AL256" i="11"/>
  <c r="AL257" i="11" l="1"/>
  <c r="AM257" i="11"/>
  <c r="AM258" i="11" l="1"/>
  <c r="AL258" i="11"/>
  <c r="AM259" i="11" l="1"/>
  <c r="AL259" i="11"/>
  <c r="AL260" i="11" l="1"/>
  <c r="AM260" i="11"/>
  <c r="AM261" i="11" l="1"/>
  <c r="AL261" i="11"/>
  <c r="AL262" i="11" l="1"/>
  <c r="AM262" i="11"/>
  <c r="AL263" i="11" l="1"/>
  <c r="AM263" i="11"/>
  <c r="AM264" i="11" l="1"/>
  <c r="AL264" i="11"/>
  <c r="AL265" i="11" l="1"/>
  <c r="AM265" i="11"/>
  <c r="AL266" i="11" l="1"/>
  <c r="AM266" i="11"/>
  <c r="AM267" i="11" l="1"/>
  <c r="AL267" i="11"/>
  <c r="AM268" i="11" l="1"/>
  <c r="AL268" i="11"/>
  <c r="AL269" i="11" l="1"/>
  <c r="AM269" i="11"/>
  <c r="AM270" i="11" l="1"/>
  <c r="AL270" i="11"/>
  <c r="AL271" i="11" l="1"/>
  <c r="AM271" i="11"/>
  <c r="AM272" i="11" l="1"/>
  <c r="AL272" i="11"/>
  <c r="AM273" i="11" l="1"/>
  <c r="AL273" i="11"/>
  <c r="AM274" i="11" l="1"/>
  <c r="AL274" i="11"/>
  <c r="AM275" i="11" l="1"/>
  <c r="AL275" i="11"/>
  <c r="AM276" i="11" l="1"/>
  <c r="AL276" i="11"/>
  <c r="AL278" i="11" l="1"/>
  <c r="AL277" i="11"/>
  <c r="AM277" i="11"/>
  <c r="AM278" i="11" l="1"/>
  <c r="AL279" i="11"/>
  <c r="AM279" i="11"/>
  <c r="AL430" i="11" l="1"/>
  <c r="AM430" i="11"/>
  <c r="AL431" i="11" l="1"/>
  <c r="AM431" i="11"/>
  <c r="AL432" i="11" l="1"/>
  <c r="AM432" i="11"/>
  <c r="AL433" i="11" l="1"/>
  <c r="AM433" i="11"/>
  <c r="AL434" i="11" l="1"/>
  <c r="AM434" i="11"/>
  <c r="AL435" i="11" l="1"/>
  <c r="AM435" i="11"/>
  <c r="AL436" i="11" l="1"/>
  <c r="AM436" i="11"/>
  <c r="AM437" i="11" l="1"/>
  <c r="AL437" i="11"/>
  <c r="AL438" i="11" l="1"/>
  <c r="AM438" i="11"/>
  <c r="AL439" i="11" l="1"/>
  <c r="AM439" i="11"/>
  <c r="AL440" i="11" l="1"/>
  <c r="AM440" i="11"/>
  <c r="AL441" i="11" l="1"/>
  <c r="AM441" i="11"/>
  <c r="AL442" i="11" l="1"/>
  <c r="AL443" i="11" l="1"/>
  <c r="AL444" i="11" l="1"/>
  <c r="AL445" i="11" l="1"/>
  <c r="AL446" i="11" l="1"/>
  <c r="AL448" i="11" l="1"/>
  <c r="AL449" i="11" l="1"/>
  <c r="AL450" i="11" l="1"/>
  <c r="E454" i="3" l="1"/>
  <c r="F454" i="3" l="1"/>
  <c r="D4" i="2" l="1"/>
  <c r="S454" i="3"/>
  <c r="D14" i="2" s="1"/>
  <c r="G14" i="2" s="1"/>
  <c r="J454" i="3"/>
  <c r="I454" i="3"/>
  <c r="T454" i="3"/>
  <c r="G393" i="21" l="1"/>
  <c r="D5" i="2"/>
  <c r="D8" i="2"/>
  <c r="U454" i="3"/>
  <c r="H454" i="3"/>
  <c r="V454" i="3" l="1"/>
  <c r="D7" i="2"/>
  <c r="G7" i="2" s="1"/>
  <c r="D15" i="2"/>
  <c r="D4" i="13"/>
  <c r="D16" i="2" l="1"/>
  <c r="G6" i="2" s="1"/>
  <c r="D17" i="2"/>
  <c r="G8" i="2" s="1"/>
  <c r="D4" i="20"/>
  <c r="D8" i="20" s="1"/>
  <c r="D6" i="2"/>
  <c r="G5" i="2" s="1"/>
  <c r="R454" i="3"/>
  <c r="D8" i="13"/>
  <c r="D10" i="13" s="1"/>
  <c r="D19" i="13"/>
  <c r="D18" i="2" l="1"/>
  <c r="D20" i="20"/>
  <c r="D10" i="20"/>
  <c r="H14" i="19"/>
  <c r="D6" i="20"/>
  <c r="H5" i="2"/>
  <c r="D13" i="2" s="1"/>
  <c r="D20" i="13"/>
  <c r="H14" i="12" s="1"/>
  <c r="D6" i="13"/>
  <c r="A16" i="12"/>
  <c r="A16" i="19"/>
  <c r="G15" i="2" l="1"/>
  <c r="G16" i="2" l="1"/>
  <c r="G19" i="2" s="1"/>
  <c r="D21" i="2" s="1"/>
</calcChain>
</file>

<file path=xl/comments1.xml><?xml version="1.0" encoding="utf-8"?>
<comments xmlns="http://schemas.openxmlformats.org/spreadsheetml/2006/main">
  <authors>
    <author>ronaldinho424</author>
    <author>ISKUR</author>
  </authors>
  <commentList>
    <comment ref="C4" authorId="0" shapeId="0">
      <text>
        <r>
          <rPr>
            <b/>
            <sz val="9"/>
            <color indexed="10"/>
            <rFont val="Tahoma"/>
            <family val="2"/>
            <charset val="162"/>
          </rPr>
          <t>ISKUR:
GÜNLÜK BRÜT ÜCRETİ ASGARİ ÜCRET DEĞİŞİNCE GÜNCELLEYİNİZ.</t>
        </r>
      </text>
    </comment>
    <comment ref="C6" authorId="1" shapeId="0">
      <text>
        <r>
          <rPr>
            <b/>
            <sz val="8"/>
            <color indexed="10"/>
            <rFont val="Tahoma"/>
            <family val="2"/>
            <charset val="162"/>
          </rPr>
          <t>ISKUR:
ÇALIŞTIĞI GÜN SAYISINI MANUEL GİRİNİZ.</t>
        </r>
      </text>
    </comment>
    <comment ref="C7" authorId="0" shapeId="0">
      <text>
        <r>
          <rPr>
            <b/>
            <sz val="9"/>
            <color indexed="10"/>
            <rFont val="Tahoma"/>
            <family val="2"/>
            <charset val="162"/>
          </rPr>
          <t>ISKUR:
GÜNLÜK BRÜT ÜCRETİ ASGARİ ÜCRET DEĞİŞİNCE GÜNCELLEYİNİZ.</t>
        </r>
      </text>
    </comment>
    <comment ref="F7" authorId="1" shapeId="0">
      <text>
        <r>
          <rPr>
            <b/>
            <sz val="8"/>
            <color indexed="10"/>
            <rFont val="Tahoma"/>
            <family val="2"/>
            <charset val="162"/>
          </rPr>
          <t>ISKUR:
ISKUR:
YÜKLENİCİNİN TEHLİKE SINIFINI GİRİNİZ</t>
        </r>
      </text>
    </comment>
    <comment ref="F8" authorId="1" shapeId="0">
      <text>
        <r>
          <rPr>
            <b/>
            <sz val="8"/>
            <color indexed="10"/>
            <rFont val="Tahoma"/>
            <family val="2"/>
            <charset val="162"/>
          </rPr>
          <t>ISKUR:
İUP kapsamında İşveren Payı Ödemesi yapılmamaktadır.</t>
        </r>
      </text>
    </comment>
    <comment ref="C12" authorId="1" shapeId="0">
      <text>
        <r>
          <rPr>
            <b/>
            <sz val="8"/>
            <color indexed="10"/>
            <rFont val="Tahoma"/>
            <family val="2"/>
            <charset val="162"/>
          </rPr>
          <t>ISKUR:
ASGARİ GEÇİM İNDİRİMİNİ MANUEL GİRİNİZ.</t>
        </r>
      </text>
    </comment>
    <comment ref="C16" authorId="1" shapeId="0">
      <text>
        <r>
          <rPr>
            <b/>
            <sz val="8"/>
            <color indexed="12"/>
            <rFont val="Tahoma"/>
            <family val="2"/>
            <charset val="162"/>
          </rPr>
          <t>ISKUR:
KATILIMCIYA ÖDENECEK ÜCRET</t>
        </r>
      </text>
    </comment>
    <comment ref="C20" authorId="1" shapeId="0">
      <text>
        <r>
          <rPr>
            <b/>
            <sz val="8"/>
            <color indexed="12"/>
            <rFont val="Tahoma"/>
            <family val="2"/>
            <charset val="162"/>
          </rPr>
          <t>ISKUR:
YÜKLENİCİYE ÖDENECEK ÜCRET</t>
        </r>
      </text>
    </comment>
  </commentList>
</comments>
</file>

<file path=xl/comments2.xml><?xml version="1.0" encoding="utf-8"?>
<comments xmlns="http://schemas.openxmlformats.org/spreadsheetml/2006/main">
  <authors>
    <author>ISKUR</author>
  </authors>
  <commentList>
    <comment ref="F4" authorId="0" shapeId="0">
      <text>
        <r>
          <rPr>
            <b/>
            <sz val="8"/>
            <color indexed="10"/>
            <rFont val="Tahoma"/>
            <family val="2"/>
          </rPr>
          <t>ISKUR:
YÜKLENİCİ TARAFINDAN ÖDENECEK</t>
        </r>
      </text>
    </comment>
    <comment ref="F10" authorId="0" shapeId="0">
      <text>
        <r>
          <rPr>
            <b/>
            <sz val="8"/>
            <color indexed="10"/>
            <rFont val="Tahoma"/>
            <family val="2"/>
          </rPr>
          <t>ISKUR:
YÜKLENCİ TARAFINDAN ÖDENECEK</t>
        </r>
      </text>
    </comment>
    <comment ref="F11" authorId="0" shapeId="0">
      <text>
        <r>
          <rPr>
            <b/>
            <sz val="8"/>
            <color indexed="81"/>
            <rFont val="Tahoma"/>
            <family val="2"/>
            <charset val="162"/>
          </rPr>
          <t>ISKUR:</t>
        </r>
        <r>
          <rPr>
            <sz val="8"/>
            <color indexed="81"/>
            <rFont val="Tahoma"/>
            <family val="2"/>
            <charset val="162"/>
          </rPr>
          <t xml:space="preserve">
A.G.İ. DÜŞÜLDÜKTEN SONRA ÖDENEN MİKTAR</t>
        </r>
      </text>
    </comment>
    <comment ref="G14" authorId="0" shapeId="0">
      <text>
        <r>
          <rPr>
            <b/>
            <sz val="8"/>
            <color indexed="10"/>
            <rFont val="Tahoma"/>
            <family val="2"/>
          </rPr>
          <t>ISKUR:
KATILIMCIYA ÖDENECEK TOPLAM NET</t>
        </r>
      </text>
    </comment>
    <comment ref="G16" authorId="0" shapeId="0">
      <text>
        <r>
          <rPr>
            <b/>
            <sz val="8"/>
            <color indexed="10"/>
            <rFont val="Tahoma"/>
            <family val="2"/>
          </rPr>
          <t>ISKUR:
YÜKLENİCİYE ÖDENECEK BRÜT</t>
        </r>
      </text>
    </comment>
  </commentList>
</comments>
</file>

<file path=xl/sharedStrings.xml><?xml version="1.0" encoding="utf-8"?>
<sst xmlns="http://schemas.openxmlformats.org/spreadsheetml/2006/main" count="736" uniqueCount="188">
  <si>
    <t>ASGARİ ÜCRET</t>
  </si>
  <si>
    <t>İSSİZLİK SİG FONU %1</t>
  </si>
  <si>
    <t>KESİNTİLER TOPLAMI</t>
  </si>
  <si>
    <t>GÜNLÜK ÜCRET</t>
  </si>
  <si>
    <t>ÇALISTIĞI GÜN SAYISI</t>
  </si>
  <si>
    <t>İŞVEREN İŞŞİZLİK SİG. FONU %2</t>
  </si>
  <si>
    <t>NET GELİR VERGİSİ</t>
  </si>
  <si>
    <t>GELİR VERGİSİ MATRAHI</t>
  </si>
  <si>
    <t xml:space="preserve">ASGARİ ÜCRET  (NET) </t>
  </si>
  <si>
    <t>İŞVER. TOPLAM MALİYET(BRÜT)</t>
  </si>
  <si>
    <t xml:space="preserve">GELİR VERGİSİ %15 </t>
  </si>
  <si>
    <t>S.NO.</t>
  </si>
  <si>
    <t>GÜNLÜK
ÜCRET</t>
  </si>
  <si>
    <t>ÇALIŞTIĞI
GÜN
SAYISI</t>
  </si>
  <si>
    <t>SSK
PRİMİ
%14</t>
  </si>
  <si>
    <t>İŞVEREN TOPLAM MALİYET
(BRÜT)</t>
  </si>
  <si>
    <t>TOPLAM</t>
  </si>
  <si>
    <t>T.C. NO</t>
  </si>
  <si>
    <t>KESİNTİ
TOPLAMI</t>
  </si>
  <si>
    <t>DÖNEM</t>
  </si>
  <si>
    <t>YÜKLENİCİ</t>
  </si>
  <si>
    <t>:</t>
  </si>
  <si>
    <t>ÇALIŞTIĞI GÜN SAYISI</t>
  </si>
  <si>
    <t xml:space="preserve">A.G.İ </t>
  </si>
  <si>
    <t>KESİNTİ TOPLAMI</t>
  </si>
  <si>
    <t>İŞVEREN TOPLAM MALİYET (BRÜT)</t>
  </si>
  <si>
    <t>BU HESAPLAMA TABLOSU  RESMİ NİTELİK TAŞIMAMAKTADIR. SADECE ÖRNEKLEME İÇİN VERİLMİŞTİR.SORUMLULUK İLGİLİ YÜKLENİCİYE AİTTİR.</t>
  </si>
  <si>
    <t xml:space="preserve">KATILIMCIYA ÖDENECEK NET </t>
  </si>
  <si>
    <t>İŞVEREN TOPLAM BRÜT</t>
  </si>
  <si>
    <t>AYLIK SSK BİLDİRGESİ</t>
  </si>
  <si>
    <t>VERGİ DAİRESİ</t>
  </si>
  <si>
    <t>A.G.İ   ( ELLE GİRİNİZ )</t>
  </si>
  <si>
    <t xml:space="preserve">DAMGA VERGİSİ </t>
  </si>
  <si>
    <t>DAMGA VERGİSİ</t>
  </si>
  <si>
    <t>SSK PRİMİ ( İŞV PAYI )</t>
  </si>
  <si>
    <t xml:space="preserve">SSK PRİMİ İŞVEREN PAYI </t>
  </si>
  <si>
    <t>TEHLİKE SINIFI</t>
  </si>
  <si>
    <t>SSK PRİMİ İŞVEREN PAYI HESAPLAMA
(TEHLİKE SINIFI )</t>
  </si>
  <si>
    <t>SSK PRİMİ İŞVEREN PAYI %</t>
  </si>
  <si>
    <t>SSK PRİMİ 
(İŞV PAYI)</t>
  </si>
  <si>
    <t>DAMGA VERGİSİ (güncelleyiniz)</t>
  </si>
  <si>
    <t>KATILIMCI 30 GÜNDEN AZ GELMİŞSE AGİ HESABI</t>
  </si>
  <si>
    <t>Not: Asgari Geçim İndirimi Net Gelir Vergisini geçmeyecek</t>
  </si>
  <si>
    <t>ASGARİ GEÇİM İNDİRİMİ</t>
  </si>
  <si>
    <t>TOPLAM 
ÜCRET</t>
  </si>
  <si>
    <t>AYLIK ÜCRET BORDROSU</t>
  </si>
  <si>
    <t>İŞE GİRİŞ TAR.</t>
  </si>
  <si>
    <t>İŞTEN ÇIK.TAR.</t>
  </si>
  <si>
    <t xml:space="preserve">ADI </t>
  </si>
  <si>
    <t>KULLANIM: Yükleninin tehlike sınıfını ve DamgaVergisini üsteki tabloya yazınız.  Çıkan sonuçlar otomatik olarak yandaki tabloya ve maaş bordrosuna yansımaktadır. Günlük Brüt Ücret ve Asgari Geçim İndirimlerini Asgari Ücrete göre güncelleyiniz. 
NOT: Kırmızı ile yazılan yerler değişecektir.
UYARI!: VERİ TABANI SİLİNDİĞİ TAKDİRDE MAAŞ BORDROSUNU KULLANAMAZSINIZ.</t>
  </si>
  <si>
    <t xml:space="preserve">SSK PRİMİ  (İŞV PAYI) </t>
  </si>
  <si>
    <t>İCRA
KESİNTİSİ</t>
  </si>
  <si>
    <t>İCRA KESİNTİSİ</t>
  </si>
  <si>
    <t>SGK DAMGA VERGİSİ</t>
  </si>
  <si>
    <t>MUHTASAR DAMGA VERGİSİ</t>
  </si>
  <si>
    <t>GELİR VERGİSİ MATR.</t>
  </si>
  <si>
    <t>NET  ÜCRET</t>
  </si>
  <si>
    <t>MÜŞTERİ NO</t>
  </si>
  <si>
    <t>BORÇLU HESAP IBAN NO</t>
  </si>
  <si>
    <t>ALACAKLI HESAP IBAN NO</t>
  </si>
  <si>
    <t>TUTAR</t>
  </si>
  <si>
    <t>TCKN</t>
  </si>
  <si>
    <t>ADI SOYADI</t>
  </si>
  <si>
    <t>NO</t>
  </si>
  <si>
    <t>EKİM</t>
  </si>
  <si>
    <t>KASIM</t>
  </si>
  <si>
    <t>ARALIK</t>
  </si>
  <si>
    <t>OCAK</t>
  </si>
  <si>
    <t>ŞUBAT</t>
  </si>
  <si>
    <t>MART</t>
  </si>
  <si>
    <t>NİSAN</t>
  </si>
  <si>
    <t>MAYIS</t>
  </si>
  <si>
    <t>HAZİRAN</t>
  </si>
  <si>
    <t>GÖREV YERİ</t>
  </si>
  <si>
    <t>MEDENİ DURUMU</t>
  </si>
  <si>
    <t>ÇOCUK SAYISI</t>
  </si>
  <si>
    <t>ÇALIŞTIĞI GÜN</t>
  </si>
  <si>
    <t>KALAN İCRA</t>
  </si>
  <si>
    <t>HESAP NO</t>
  </si>
  <si>
    <t>MAX.ASGARİ GEÇ. İN.</t>
  </si>
  <si>
    <t>EŞ</t>
  </si>
  <si>
    <t>ÇOCUK</t>
  </si>
  <si>
    <t>AGİ</t>
  </si>
  <si>
    <t>E</t>
  </si>
  <si>
    <t>B</t>
  </si>
  <si>
    <t>AİT OLDUĞU YIL</t>
  </si>
  <si>
    <t>AİT OLDUĞU AY</t>
  </si>
  <si>
    <t>YÜKLENİCİ ADI</t>
  </si>
  <si>
    <t>Sıra No</t>
  </si>
  <si>
    <t>TC KİMLİK NO</t>
  </si>
  <si>
    <t>HARCAMA PUSULASI</t>
  </si>
  <si>
    <t>SATIN ALINAN MAL VEYA HİZMETİN</t>
  </si>
  <si>
    <t>Çeşidi</t>
  </si>
  <si>
    <t>Miktarı</t>
  </si>
  <si>
    <t>Birim Fiyatı</t>
  </si>
  <si>
    <t>Tutarı</t>
  </si>
  <si>
    <t>HAKEDİŞ RAPORU</t>
  </si>
  <si>
    <t>A</t>
  </si>
  <si>
    <t>Sözleşme Fiyatları ile Yapılan Hizmet Tutarı</t>
  </si>
  <si>
    <t>Fiyat Farkı Tutarı</t>
  </si>
  <si>
    <t>C</t>
  </si>
  <si>
    <t>HAKEDİŞ TOPLAMI</t>
  </si>
  <si>
    <t>D</t>
  </si>
  <si>
    <t>ÖNCEKİ HAKEDİŞ TOPLAM TUTARLARI</t>
  </si>
  <si>
    <t>Bu Hakedişin Tutarı(C-D)</t>
  </si>
  <si>
    <t>F</t>
  </si>
  <si>
    <t>KDV (E x %...)</t>
  </si>
  <si>
    <t>G</t>
  </si>
  <si>
    <t>Tahakkuk Tutarı</t>
  </si>
  <si>
    <t>KESİNTİLER VE MAHSUPLAR</t>
  </si>
  <si>
    <t>a)Gelir /Kurumlar Vergisi (E x %...)</t>
  </si>
  <si>
    <t>b)Damga Vergisi (E-G x %...)</t>
  </si>
  <si>
    <t>c)KDV Tevkifatı (F x …)</t>
  </si>
  <si>
    <t>e)İdare Makinası Kiraları</t>
  </si>
  <si>
    <t>f)Gecikme Cezası</t>
  </si>
  <si>
    <t>g)Avans Mahsubu</t>
  </si>
  <si>
    <t>h)Bu Hakedişle Ödenen Fiyat</t>
  </si>
  <si>
    <t>H</t>
  </si>
  <si>
    <t>Kesintiler ve Mahsuplar Toplamı</t>
  </si>
  <si>
    <t>I</t>
  </si>
  <si>
    <t>Yükleniciye Ödenecek Tutar (G-H)</t>
  </si>
  <si>
    <t>ONAYLAYAN</t>
  </si>
  <si>
    <t>arası toplam tutar</t>
  </si>
  <si>
    <t>Açıklama :</t>
  </si>
  <si>
    <t>KENDİSİ</t>
  </si>
  <si>
    <t xml:space="preserve"> </t>
  </si>
  <si>
    <t>EYLÜL</t>
  </si>
  <si>
    <t>TEMMUZ</t>
  </si>
  <si>
    <t>X</t>
  </si>
  <si>
    <t>TAHAKKUK TUTARI</t>
  </si>
  <si>
    <t>İş Kazası ve Meslek Hastalığı Sigortası %1</t>
  </si>
  <si>
    <t>GSS %4,5</t>
  </si>
  <si>
    <t>İŞVEREN İŞŞİZLİK SİG. FONU %0,045</t>
  </si>
  <si>
    <t>d)SGK Kesintisi (%5,50)</t>
  </si>
  <si>
    <t>SSK PRİMİ %4,5</t>
  </si>
  <si>
    <t>GENÇLİK PROGRAMI</t>
  </si>
  <si>
    <t>ANKARA YILDIRIM BEYAZIT ÜNİVERSİTESİ REKTÖRLÜĞÜ</t>
  </si>
  <si>
    <t>HAKEDİŞ NO : 1</t>
  </si>
  <si>
    <t xml:space="preserve"> GENÇLİK PROGRAMI</t>
  </si>
  <si>
    <t>PROGRAM NO</t>
  </si>
  <si>
    <t>KONUSU</t>
  </si>
  <si>
    <t>PROGRAM BAŞLAMA TARİHİ</t>
  </si>
  <si>
    <t>PROGRAM BİTİŞ TARİHİ</t>
  </si>
  <si>
    <t>ANKARA YILDIRIM BEYAZIT ÜNİVERSİTESİ REKTÖRLÜĞÜ
 İŞKUR GENÇLİK PROGRAMI MAAŞ BORDROSU KONT.</t>
  </si>
  <si>
    <t>Dairesi         :  ANKARA YILDIRIM BEYAZIT ÜNİVERSİTESİ REKTÖRLÜĞÜ</t>
  </si>
  <si>
    <t>İŞKUR GENÇLİK PROGRAMI Ücret</t>
  </si>
  <si>
    <t>arası İŞKUR GENÇLİK PROGRAMI</t>
  </si>
  <si>
    <t xml:space="preserve">Dairesi         :ANKARA YILDIRIM BEYAZIT ÜNİVERSİTESİ REKTÖRLÜĞÜ </t>
  </si>
  <si>
    <t>İŞKUR GENÇLİK PROGRAMI</t>
  </si>
  <si>
    <t>arası GENÇLİK PROGRAMI Hizmet Gideri Bedeli</t>
  </si>
  <si>
    <t>HAZIRLAYAN</t>
  </si>
  <si>
    <t>KONTROL EDEN</t>
  </si>
  <si>
    <t>ESENBOĞA YERLEŞKEŞİ BANKA LİSTESİ</t>
  </si>
  <si>
    <t>DÜZENLEYENLER</t>
  </si>
  <si>
    <t>Düzenleyen</t>
  </si>
  <si>
    <t>Onaylayan</t>
  </si>
  <si>
    <t>Yüklenici Yetkilisi</t>
  </si>
  <si>
    <t>Malı Satan veya Hizmet Yapanın</t>
  </si>
  <si>
    <t>Vergi Kimlik No</t>
  </si>
  <si>
    <t>Adı Soyadı</t>
  </si>
  <si>
    <t>Ankara Yıldırım Beyazıt Üniversitesi</t>
  </si>
  <si>
    <t>Unvan</t>
  </si>
  <si>
    <t>İmzası</t>
  </si>
  <si>
    <t xml:space="preserve">        Bu belge fatura veya fatura yerine geçen belgeleri düzenleme zorunluluğu bulunmayan kişilerden yapılan mal veya hizmet alımlarında düzenlenir. Taksi ile yapılan seyahatlerde (şehir içi taksi ücreti hariç)seyahat edilen taksinin plaka numarası ile yolculuğun nereden nereye yapıldığı açıklama bölümünde belirtilir.</t>
  </si>
  <si>
    <t>01 MAYIS 2025 -31 MAYIS 2025 TARİHİNE KADAR YAPILAN HİZMET</t>
  </si>
  <si>
    <t>AYHAN BOZ</t>
  </si>
  <si>
    <t>ŞUBE MÜDÜRÜ</t>
  </si>
  <si>
    <t>SADULLAH ÇİTFCİ</t>
  </si>
  <si>
    <t>DAİRE BAŞKANI</t>
  </si>
  <si>
    <t>YAHYA TARIK DURUSOY</t>
  </si>
  <si>
    <t>SÖZLEŞMELİ MEMUR</t>
  </si>
  <si>
    <t>SADULLAH ÇİTCİ</t>
  </si>
  <si>
    <t>: 9600526900</t>
  </si>
  <si>
    <t>SAĞLIK KÜLTÜR VE SPOR DAİRE BAŞKANLIĞI</t>
  </si>
  <si>
    <t>SADULLAH ÇİFTCİ</t>
  </si>
  <si>
    <t>GSS HAKEDİŞ RAPORU</t>
  </si>
  <si>
    <t>GSS HARCAMA PUSULASI</t>
  </si>
  <si>
    <t>TR650001200919400004000187</t>
  </si>
  <si>
    <t>ŞUBE MÜDÜR</t>
  </si>
  <si>
    <t>M.YUNUS KARATOSUN</t>
  </si>
  <si>
    <t>İNŞ.TEKNİKERİ</t>
  </si>
  <si>
    <t>GELİR VERGİSİ İSTİSNASI</t>
  </si>
  <si>
    <t>DAMGA VERGİSİ İSTİSNASI</t>
  </si>
  <si>
    <t>NET DAMGA VERGİSİ</t>
  </si>
  <si>
    <t>NOT : 
DT=DÖNEM TATİLİ
X= ÇALIŞILAN GÜNLER
İ=İZİN
M=MAZERETSİZ KATILIM SAĞLAMADI
R=RAPOR</t>
  </si>
  <si>
    <t xml:space="preserve">AÇIKLAMA
</t>
  </si>
  <si>
    <t>………. YERLEŞKESİ</t>
  </si>
  <si>
    <t>DÜZENLEYEN:M.YUNUS KARATOSUN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</si>
</sst>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43" formatCode="_-* #,##0.00_-;\-* #,##0.00_-;_-* &quot;-&quot;??_-;_-@_-"/>
    <numFmt numFmtId="164" formatCode="_-* #,##0.00\ _T_L_-;\-* #,##0.00\ _T_L_-;_-* &quot;-&quot;??\ _T_L_-;_-@_-"/>
    <numFmt numFmtId="165" formatCode="#,##0.00\ &quot;TL&quot;;[Red]#,##0.00\ &quot;TL&quot;"/>
    <numFmt numFmtId="166" formatCode="#,##0.00\ &quot;TL&quot;"/>
    <numFmt numFmtId="167" formatCode="_-* #,##0\ _T_L_-;\-* #,##0\ _T_L_-;_-* &quot;-&quot;??\ _T_L_-;_-@_-"/>
    <numFmt numFmtId="168" formatCode="#,##0.00000\ &quot;TL&quot;;[Red]#,##0.00000\ &quot;TL&quot;"/>
    <numFmt numFmtId="169" formatCode="#,##0_ ;\-#,##0\ "/>
    <numFmt numFmtId="170" formatCode="[$-1010409]General"/>
    <numFmt numFmtId="171" formatCode="#,##0.00\ [$TL-41F];[Red]#,##0.00\ [$TL-41F]"/>
    <numFmt numFmtId="172" formatCode="#,##0.000\ [$TL-41F];[Red]#,##0.000\ [$TL-41F]"/>
    <numFmt numFmtId="173" formatCode="mmmm\ yyyy"/>
    <numFmt numFmtId="174" formatCode="&quot;₺&quot;#,##0.00"/>
  </numFmts>
  <fonts count="97" x14ac:knownFonts="1">
    <font>
      <sz val="10"/>
      <name val="Arial Tur"/>
      <charset val="162"/>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0"/>
      <name val="Arial Tur"/>
      <charset val="162"/>
    </font>
    <font>
      <b/>
      <sz val="12"/>
      <name val="Times New Roman"/>
      <family val="1"/>
    </font>
    <font>
      <sz val="10"/>
      <name val="Times New Roman"/>
      <family val="1"/>
    </font>
    <font>
      <b/>
      <sz val="12"/>
      <color indexed="10"/>
      <name val="Times New Roman"/>
      <family val="1"/>
    </font>
    <font>
      <sz val="8"/>
      <color indexed="81"/>
      <name val="Tahoma"/>
      <family val="2"/>
      <charset val="162"/>
    </font>
    <font>
      <b/>
      <sz val="8"/>
      <color indexed="81"/>
      <name val="Tahoma"/>
      <family val="2"/>
      <charset val="162"/>
    </font>
    <font>
      <b/>
      <sz val="18"/>
      <color indexed="9"/>
      <name val="Times New Roman"/>
      <family val="1"/>
    </font>
    <font>
      <b/>
      <sz val="8"/>
      <color indexed="10"/>
      <name val="Tahoma"/>
      <family val="2"/>
    </font>
    <font>
      <b/>
      <sz val="8"/>
      <color indexed="10"/>
      <name val="Tahoma"/>
      <family val="2"/>
      <charset val="162"/>
    </font>
    <font>
      <b/>
      <sz val="12"/>
      <color indexed="12"/>
      <name val="Times New Roman"/>
      <family val="1"/>
    </font>
    <font>
      <b/>
      <sz val="8"/>
      <color indexed="12"/>
      <name val="Tahoma"/>
      <family val="2"/>
      <charset val="162"/>
    </font>
    <font>
      <b/>
      <sz val="14"/>
      <name val="Times New Roman"/>
      <family val="1"/>
    </font>
    <font>
      <b/>
      <sz val="14"/>
      <color indexed="10"/>
      <name val="Times New Roman"/>
      <family val="1"/>
    </font>
    <font>
      <b/>
      <sz val="10"/>
      <color indexed="12"/>
      <name val="Times New Roman"/>
      <family val="1"/>
      <charset val="162"/>
    </font>
    <font>
      <b/>
      <sz val="12"/>
      <color indexed="12"/>
      <name val="Times New Roman"/>
      <family val="1"/>
      <charset val="162"/>
    </font>
    <font>
      <b/>
      <sz val="12"/>
      <color indexed="14"/>
      <name val="Times New Roman"/>
      <family val="1"/>
    </font>
    <font>
      <b/>
      <sz val="18"/>
      <color indexed="8"/>
      <name val="Times New Roman"/>
      <family val="1"/>
    </font>
    <font>
      <b/>
      <sz val="12"/>
      <color indexed="8"/>
      <name val="Times New Roman"/>
      <family val="1"/>
    </font>
    <font>
      <sz val="10"/>
      <color indexed="8"/>
      <name val="Times New Roman"/>
      <family val="1"/>
    </font>
    <font>
      <b/>
      <sz val="10"/>
      <color indexed="8"/>
      <name val="Times New Roman"/>
      <family val="1"/>
    </font>
    <font>
      <b/>
      <sz val="14"/>
      <color indexed="8"/>
      <name val="Times New Roman"/>
      <family val="1"/>
    </font>
    <font>
      <b/>
      <sz val="9"/>
      <color indexed="8"/>
      <name val="Times New Roman"/>
      <family val="1"/>
    </font>
    <font>
      <b/>
      <u/>
      <sz val="10"/>
      <color indexed="8"/>
      <name val="Times New Roman"/>
      <family val="1"/>
    </font>
    <font>
      <b/>
      <sz val="9"/>
      <name val="Times New Roman"/>
      <family val="1"/>
    </font>
    <font>
      <sz val="9"/>
      <name val="Times New Roman"/>
      <family val="1"/>
    </font>
    <font>
      <sz val="9"/>
      <color indexed="10"/>
      <name val="Times New Roman"/>
      <family val="1"/>
    </font>
    <font>
      <sz val="9"/>
      <color indexed="18"/>
      <name val="Times New Roman"/>
      <family val="1"/>
    </font>
    <font>
      <sz val="9"/>
      <name val="Arial Tur"/>
      <charset val="162"/>
    </font>
    <font>
      <sz val="9"/>
      <name val="Arial"/>
      <family val="2"/>
      <charset val="162"/>
    </font>
    <font>
      <sz val="12"/>
      <name val="Times New Roman"/>
      <family val="1"/>
      <charset val="162"/>
    </font>
    <font>
      <sz val="10"/>
      <name val="Arial"/>
      <family val="2"/>
      <charset val="162"/>
    </font>
    <font>
      <sz val="11"/>
      <name val="Times New Roman"/>
      <family val="1"/>
      <charset val="162"/>
    </font>
    <font>
      <b/>
      <sz val="11"/>
      <name val="Times New Roman"/>
      <family val="1"/>
      <charset val="162"/>
    </font>
    <font>
      <sz val="7"/>
      <name val="Times New Roman"/>
      <family val="1"/>
    </font>
    <font>
      <sz val="8"/>
      <name val="Times New Roman"/>
      <family val="1"/>
    </font>
    <font>
      <b/>
      <sz val="7"/>
      <name val="Times New Roman"/>
      <family val="1"/>
    </font>
    <font>
      <b/>
      <sz val="8"/>
      <name val="Times New Roman"/>
      <family val="1"/>
    </font>
    <font>
      <b/>
      <sz val="9"/>
      <color indexed="10"/>
      <name val="Tahoma"/>
      <family val="2"/>
      <charset val="162"/>
    </font>
    <font>
      <sz val="9"/>
      <color theme="1"/>
      <name val="Arial"/>
      <family val="2"/>
      <charset val="162"/>
    </font>
    <font>
      <sz val="10"/>
      <color theme="1"/>
      <name val="Calibri"/>
      <family val="2"/>
      <charset val="162"/>
      <scheme val="minor"/>
    </font>
    <font>
      <sz val="9"/>
      <color theme="1"/>
      <name val="Arial Tur"/>
      <charset val="162"/>
    </font>
    <font>
      <b/>
      <sz val="12"/>
      <color rgb="FFFF0000"/>
      <name val="Times New Roman"/>
      <family val="1"/>
    </font>
    <font>
      <b/>
      <sz val="9"/>
      <name val="Times New Roman"/>
      <family val="1"/>
      <charset val="162"/>
    </font>
    <font>
      <sz val="8"/>
      <color theme="1"/>
      <name val="Calibri"/>
      <family val="2"/>
      <charset val="162"/>
      <scheme val="minor"/>
    </font>
    <font>
      <b/>
      <sz val="11"/>
      <color theme="1"/>
      <name val="Arial Narrow"/>
      <family val="2"/>
      <charset val="162"/>
    </font>
    <font>
      <sz val="11"/>
      <color theme="1"/>
      <name val="Arial Narrow"/>
      <family val="2"/>
      <charset val="162"/>
    </font>
    <font>
      <b/>
      <sz val="10"/>
      <color theme="1"/>
      <name val="Arial Narrow"/>
      <family val="2"/>
      <charset val="162"/>
    </font>
    <font>
      <b/>
      <sz val="9"/>
      <color theme="1"/>
      <name val="Arial Narrow"/>
      <family val="2"/>
      <charset val="162"/>
    </font>
    <font>
      <sz val="10"/>
      <color theme="1"/>
      <name val="Arial Narrow"/>
      <family val="2"/>
      <charset val="162"/>
    </font>
    <font>
      <sz val="11"/>
      <color rgb="FFFF0000"/>
      <name val="Arial Narrow"/>
      <family val="2"/>
      <charset val="162"/>
    </font>
    <font>
      <b/>
      <sz val="11"/>
      <color rgb="FFFF0000"/>
      <name val="Arial Narrow"/>
      <family val="2"/>
      <charset val="162"/>
    </font>
    <font>
      <b/>
      <sz val="14"/>
      <color rgb="FFFF0000"/>
      <name val="Times New Roman"/>
      <family val="1"/>
    </font>
    <font>
      <sz val="10"/>
      <color theme="1"/>
      <name val="Arial"/>
      <family val="2"/>
      <charset val="162"/>
    </font>
    <font>
      <sz val="10"/>
      <color indexed="8"/>
      <name val="Calibri"/>
      <family val="2"/>
      <charset val="162"/>
      <scheme val="minor"/>
    </font>
    <font>
      <sz val="11"/>
      <color theme="1"/>
      <name val="Times New Roman"/>
      <family val="1"/>
      <charset val="162"/>
    </font>
    <font>
      <sz val="11"/>
      <color rgb="FF000000"/>
      <name val="Calibri"/>
      <family val="2"/>
      <scheme val="minor"/>
    </font>
    <font>
      <sz val="12"/>
      <color indexed="8"/>
      <name val="Times New Roman"/>
      <family val="1"/>
      <charset val="162"/>
    </font>
    <font>
      <sz val="12"/>
      <color theme="1"/>
      <name val="Times New Roman"/>
      <family val="1"/>
      <charset val="162"/>
    </font>
    <font>
      <sz val="12"/>
      <color rgb="FFC00000"/>
      <name val="Times New Roman"/>
      <family val="1"/>
      <charset val="162"/>
    </font>
    <font>
      <sz val="12"/>
      <color indexed="10"/>
      <name val="Times New Roman"/>
      <family val="1"/>
      <charset val="162"/>
    </font>
    <font>
      <sz val="11"/>
      <color theme="1"/>
      <name val="Calibri"/>
      <family val="2"/>
      <scheme val="minor"/>
    </font>
    <font>
      <b/>
      <sz val="8"/>
      <name val="Times New Roman"/>
      <family val="1"/>
      <charset val="162"/>
    </font>
    <font>
      <sz val="16"/>
      <color theme="1"/>
      <name val="Arial Narrow"/>
      <family val="2"/>
      <charset val="162"/>
    </font>
    <font>
      <b/>
      <sz val="16"/>
      <color theme="1"/>
      <name val="Arial Narrow"/>
      <family val="2"/>
      <charset val="162"/>
    </font>
    <font>
      <sz val="8"/>
      <name val="Arial Tur"/>
      <charset val="162"/>
    </font>
    <font>
      <sz val="11"/>
      <name val="Calibri"/>
      <family val="2"/>
      <charset val="162"/>
      <scheme val="minor"/>
    </font>
    <font>
      <sz val="8"/>
      <name val="Arial"/>
      <family val="2"/>
      <charset val="162"/>
    </font>
    <font>
      <sz val="9"/>
      <name val="Calibri"/>
      <family val="2"/>
      <charset val="162"/>
      <scheme val="minor"/>
    </font>
    <font>
      <sz val="7.5"/>
      <name val="Arial"/>
      <family val="2"/>
      <charset val="162"/>
    </font>
    <font>
      <b/>
      <i/>
      <sz val="11"/>
      <name val="Calibri"/>
      <family val="2"/>
      <charset val="162"/>
      <scheme val="minor"/>
    </font>
    <font>
      <sz val="11"/>
      <name val="Arial Narrow"/>
      <family val="2"/>
      <charset val="162"/>
    </font>
    <font>
      <sz val="10"/>
      <color rgb="FF000000"/>
      <name val="Times New Roman"/>
      <family val="1"/>
      <charset val="162"/>
    </font>
    <font>
      <sz val="10"/>
      <name val="Times New Roman"/>
      <family val="1"/>
      <charset val="162"/>
    </font>
    <font>
      <b/>
      <sz val="10"/>
      <color theme="1"/>
      <name val="Times New Roman"/>
      <family val="1"/>
      <charset val="162"/>
    </font>
    <font>
      <sz val="11"/>
      <color rgb="FF000000"/>
      <name val="Times New Roman"/>
      <family val="1"/>
      <charset val="162"/>
    </font>
    <font>
      <sz val="11"/>
      <color indexed="8"/>
      <name val="Times New Roman"/>
      <family val="1"/>
      <charset val="162"/>
    </font>
    <font>
      <sz val="10"/>
      <color rgb="FFFF0000"/>
      <name val="Arial Narrow"/>
      <family val="2"/>
      <charset val="162"/>
    </font>
    <font>
      <sz val="10"/>
      <name val="Arial Narrow"/>
      <family val="2"/>
      <charset val="162"/>
    </font>
    <font>
      <sz val="12"/>
      <color theme="1"/>
      <name val="Arial Narrow"/>
      <family val="2"/>
      <charset val="162"/>
    </font>
    <font>
      <sz val="10"/>
      <color theme="1"/>
      <name val="Times New Roman"/>
      <family val="1"/>
      <charset val="162"/>
    </font>
    <font>
      <sz val="8"/>
      <name val="Times New Roman"/>
      <family val="1"/>
      <charset val="162"/>
    </font>
    <font>
      <sz val="10"/>
      <color indexed="8"/>
      <name val="Times New Roman"/>
      <family val="1"/>
      <charset val="162"/>
    </font>
    <font>
      <b/>
      <sz val="7"/>
      <name val="Times New Roman"/>
      <family val="1"/>
      <charset val="162"/>
    </font>
    <font>
      <b/>
      <sz val="10"/>
      <color theme="1"/>
      <name val="Arial"/>
      <family val="2"/>
      <charset val="162"/>
    </font>
    <font>
      <b/>
      <sz val="12"/>
      <color rgb="FFFF0000"/>
      <name val="Times New Roman"/>
      <family val="1"/>
      <charset val="162"/>
    </font>
    <font>
      <b/>
      <sz val="8"/>
      <color rgb="FFFF0000"/>
      <name val="Times New Roman"/>
      <family val="1"/>
      <charset val="162"/>
    </font>
  </fonts>
  <fills count="9">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8" tint="0.79998168889431442"/>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9"/>
      </left>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diagonal/>
    </border>
  </borders>
  <cellStyleXfs count="13">
    <xf numFmtId="0" fontId="0" fillId="0" borderId="0"/>
    <xf numFmtId="164" fontId="11" fillId="0" borderId="0" applyFont="0" applyFill="0" applyBorder="0" applyAlignment="0" applyProtection="0"/>
    <xf numFmtId="0" fontId="10" fillId="0" borderId="0"/>
    <xf numFmtId="0" fontId="41" fillId="0" borderId="0">
      <alignment wrapText="1"/>
    </xf>
    <xf numFmtId="0" fontId="9" fillId="0" borderId="0"/>
    <xf numFmtId="0" fontId="41" fillId="0" borderId="0"/>
    <xf numFmtId="0" fontId="66" fillId="0" borderId="0"/>
    <xf numFmtId="0" fontId="71" fillId="0" borderId="0"/>
    <xf numFmtId="164" fontId="71" fillId="0" borderId="0" applyFont="0" applyFill="0" applyBorder="0" applyAlignment="0" applyProtection="0"/>
    <xf numFmtId="0" fontId="76" fillId="0" borderId="0"/>
    <xf numFmtId="0" fontId="3" fillId="0" borderId="0"/>
    <xf numFmtId="0" fontId="3" fillId="0" borderId="0"/>
    <xf numFmtId="43" fontId="41" fillId="0" borderId="0" applyFont="0" applyFill="0" applyBorder="0" applyAlignment="0" applyProtection="0"/>
  </cellStyleXfs>
  <cellXfs count="567">
    <xf numFmtId="0" fontId="0" fillId="0" borderId="0" xfId="0"/>
    <xf numFmtId="165" fontId="12" fillId="2" borderId="1" xfId="0" applyNumberFormat="1" applyFont="1" applyFill="1" applyBorder="1" applyAlignment="1">
      <alignment horizontal="left" vertical="center" wrapText="1"/>
    </xf>
    <xf numFmtId="165" fontId="12" fillId="2" borderId="0" xfId="0" applyNumberFormat="1" applyFont="1" applyFill="1" applyAlignment="1">
      <alignment horizontal="center" vertical="center" wrapText="1"/>
    </xf>
    <xf numFmtId="0" fontId="12" fillId="2" borderId="0" xfId="0" applyFont="1" applyFill="1" applyAlignment="1">
      <alignment horizontal="center" vertical="center" wrapText="1"/>
    </xf>
    <xf numFmtId="165" fontId="12" fillId="2" borderId="0" xfId="0" applyNumberFormat="1" applyFont="1" applyFill="1" applyAlignment="1" applyProtection="1">
      <alignment horizontal="center" vertical="center" wrapText="1"/>
      <protection locked="0" hidden="1"/>
    </xf>
    <xf numFmtId="165" fontId="12" fillId="3" borderId="1" xfId="0" applyNumberFormat="1" applyFont="1" applyFill="1" applyBorder="1" applyAlignment="1">
      <alignment horizontal="left" vertical="center" wrapText="1"/>
    </xf>
    <xf numFmtId="0" fontId="13" fillId="0" borderId="0" xfId="0" applyFont="1" applyAlignment="1" applyProtection="1">
      <alignment horizontal="center" vertical="center" wrapText="1"/>
      <protection hidden="1"/>
    </xf>
    <xf numFmtId="0" fontId="28" fillId="0" borderId="1" xfId="0" applyFont="1" applyBorder="1" applyAlignment="1" applyProtection="1">
      <alignment horizontal="center" vertical="center" wrapText="1"/>
      <protection hidden="1"/>
    </xf>
    <xf numFmtId="0" fontId="28" fillId="0" borderId="1" xfId="0" applyFont="1" applyBorder="1" applyAlignment="1" applyProtection="1">
      <alignment horizontal="left" vertical="center" wrapText="1"/>
      <protection hidden="1"/>
    </xf>
    <xf numFmtId="0" fontId="29" fillId="0" borderId="1" xfId="0" applyFont="1" applyBorder="1" applyAlignment="1" applyProtection="1">
      <alignment horizontal="center" vertical="center" wrapText="1"/>
      <protection hidden="1"/>
    </xf>
    <xf numFmtId="165" fontId="28" fillId="0" borderId="1" xfId="0" applyNumberFormat="1" applyFont="1" applyBorder="1" applyAlignment="1" applyProtection="1">
      <alignment horizontal="center" vertical="center" wrapText="1"/>
      <protection hidden="1"/>
    </xf>
    <xf numFmtId="166" fontId="28" fillId="0" borderId="1" xfId="0" applyNumberFormat="1" applyFont="1" applyBorder="1" applyAlignment="1" applyProtection="1">
      <alignment horizontal="center" vertical="center" wrapText="1"/>
      <protection hidden="1"/>
    </xf>
    <xf numFmtId="165" fontId="31" fillId="0" borderId="1" xfId="0" applyNumberFormat="1" applyFont="1" applyBorder="1" applyAlignment="1" applyProtection="1">
      <alignment horizontal="center" vertical="center" wrapText="1"/>
      <protection hidden="1"/>
    </xf>
    <xf numFmtId="0" fontId="32" fillId="0" borderId="1" xfId="0" applyFont="1" applyBorder="1" applyAlignment="1" applyProtection="1">
      <alignment vertical="center" wrapText="1"/>
      <protection hidden="1"/>
    </xf>
    <xf numFmtId="0" fontId="14" fillId="0" borderId="1" xfId="0" applyFont="1" applyBorder="1" applyAlignment="1" applyProtection="1">
      <alignment horizontal="left" vertical="center" wrapText="1"/>
      <protection hidden="1"/>
    </xf>
    <xf numFmtId="165" fontId="14" fillId="0" borderId="1" xfId="0" applyNumberFormat="1" applyFont="1" applyBorder="1" applyAlignment="1" applyProtection="1">
      <alignment horizontal="center" vertical="center" wrapText="1"/>
      <protection locked="0"/>
    </xf>
    <xf numFmtId="0" fontId="14" fillId="0" borderId="1" xfId="0" applyFont="1" applyBorder="1" applyAlignment="1" applyProtection="1">
      <alignment horizontal="center" vertical="center" wrapText="1"/>
      <protection locked="0" hidden="1"/>
    </xf>
    <xf numFmtId="0" fontId="12" fillId="0" borderId="1" xfId="0" applyFont="1" applyBorder="1" applyAlignment="1" applyProtection="1">
      <alignment horizontal="left" vertical="center" wrapText="1"/>
      <protection hidden="1"/>
    </xf>
    <xf numFmtId="165" fontId="22" fillId="0" borderId="1" xfId="0" applyNumberFormat="1" applyFont="1" applyBorder="1" applyAlignment="1" applyProtection="1">
      <alignment horizontal="center" vertical="center" wrapText="1"/>
      <protection hidden="1"/>
    </xf>
    <xf numFmtId="165" fontId="24" fillId="0" borderId="0" xfId="0" applyNumberFormat="1" applyFont="1" applyAlignment="1" applyProtection="1">
      <alignment horizontal="center" vertical="center" wrapText="1"/>
      <protection hidden="1"/>
    </xf>
    <xf numFmtId="0" fontId="13" fillId="0" borderId="0" xfId="0" applyFont="1" applyAlignment="1" applyProtection="1">
      <alignment horizontal="left" vertical="center" wrapText="1"/>
      <protection hidden="1"/>
    </xf>
    <xf numFmtId="0" fontId="12" fillId="3" borderId="1" xfId="0" applyFont="1" applyFill="1" applyBorder="1" applyAlignment="1">
      <alignment horizontal="left" vertical="center" wrapText="1"/>
    </xf>
    <xf numFmtId="166" fontId="28" fillId="0" borderId="1" xfId="0" applyNumberFormat="1" applyFont="1" applyBorder="1" applyAlignment="1">
      <alignment horizontal="center" vertical="center" wrapText="1"/>
    </xf>
    <xf numFmtId="1" fontId="28" fillId="0" borderId="1" xfId="0" applyNumberFormat="1" applyFont="1" applyBorder="1" applyAlignment="1">
      <alignment horizontal="center" vertical="center" wrapText="1"/>
    </xf>
    <xf numFmtId="165" fontId="12" fillId="2" borderId="1" xfId="0" applyNumberFormat="1" applyFont="1" applyFill="1" applyBorder="1" applyAlignment="1" applyProtection="1">
      <alignment horizontal="left" vertical="center" wrapText="1"/>
      <protection hidden="1"/>
    </xf>
    <xf numFmtId="165" fontId="12" fillId="3" borderId="1" xfId="0" applyNumberFormat="1" applyFont="1" applyFill="1" applyBorder="1" applyAlignment="1" applyProtection="1">
      <alignment horizontal="left" vertical="center" wrapText="1"/>
      <protection hidden="1"/>
    </xf>
    <xf numFmtId="165" fontId="26" fillId="3" borderId="1" xfId="0" applyNumberFormat="1" applyFont="1" applyFill="1" applyBorder="1" applyAlignment="1">
      <alignment horizontal="center" vertical="center" wrapText="1"/>
    </xf>
    <xf numFmtId="165" fontId="20" fillId="3" borderId="1" xfId="0" applyNumberFormat="1" applyFont="1" applyFill="1" applyBorder="1" applyAlignment="1">
      <alignment horizontal="center" vertical="center" wrapText="1"/>
    </xf>
    <xf numFmtId="0" fontId="12" fillId="2" borderId="1" xfId="0" applyFont="1" applyFill="1" applyBorder="1" applyAlignment="1">
      <alignment horizontal="center" vertical="center" wrapText="1"/>
    </xf>
    <xf numFmtId="165" fontId="25" fillId="3" borderId="1" xfId="0" applyNumberFormat="1" applyFont="1" applyFill="1" applyBorder="1" applyAlignment="1">
      <alignment horizontal="center" vertical="center" wrapText="1"/>
    </xf>
    <xf numFmtId="165" fontId="12" fillId="2" borderId="1" xfId="0" applyNumberFormat="1" applyFont="1" applyFill="1" applyBorder="1" applyAlignment="1" applyProtection="1">
      <alignment horizontal="center" vertical="center" wrapText="1"/>
      <protection locked="0" hidden="1"/>
    </xf>
    <xf numFmtId="0" fontId="12" fillId="2" borderId="2" xfId="0" applyFont="1" applyFill="1" applyBorder="1" applyAlignment="1" applyProtection="1">
      <alignment vertical="center" wrapText="1"/>
      <protection locked="0" hidden="1"/>
    </xf>
    <xf numFmtId="0" fontId="0" fillId="2" borderId="1" xfId="0" applyFill="1" applyBorder="1" applyAlignment="1">
      <alignment horizontal="left"/>
    </xf>
    <xf numFmtId="1" fontId="12" fillId="2" borderId="1" xfId="0" applyNumberFormat="1" applyFont="1" applyFill="1" applyBorder="1" applyAlignment="1">
      <alignment horizontal="center" vertical="center" wrapText="1"/>
    </xf>
    <xf numFmtId="0" fontId="40" fillId="2" borderId="0" xfId="0" applyFont="1" applyFill="1" applyAlignment="1" applyProtection="1">
      <alignment horizontal="center" vertical="center" wrapText="1"/>
      <protection locked="0" hidden="1"/>
    </xf>
    <xf numFmtId="4" fontId="0" fillId="0" borderId="0" xfId="0" applyNumberFormat="1"/>
    <xf numFmtId="0" fontId="38" fillId="0" borderId="0" xfId="0" applyFont="1" applyAlignment="1" applyProtection="1">
      <alignment vertical="center"/>
      <protection locked="0"/>
    </xf>
    <xf numFmtId="2" fontId="38" fillId="0" borderId="0" xfId="0" applyNumberFormat="1" applyFont="1" applyAlignment="1" applyProtection="1">
      <alignment vertical="center"/>
      <protection locked="0"/>
    </xf>
    <xf numFmtId="0" fontId="51" fillId="0" borderId="0" xfId="0" applyFont="1" applyAlignment="1" applyProtection="1">
      <alignment vertical="center"/>
      <protection locked="0"/>
    </xf>
    <xf numFmtId="0" fontId="38" fillId="4" borderId="0" xfId="0" applyFont="1" applyFill="1" applyAlignment="1" applyProtection="1">
      <alignment vertical="center"/>
      <protection locked="0"/>
    </xf>
    <xf numFmtId="0" fontId="39" fillId="0" borderId="0" xfId="0" applyFont="1" applyAlignment="1" applyProtection="1">
      <alignment vertical="center"/>
      <protection locked="0"/>
    </xf>
    <xf numFmtId="165" fontId="12" fillId="0" borderId="1" xfId="0" applyNumberFormat="1" applyFont="1" applyBorder="1" applyAlignment="1" applyProtection="1">
      <alignment horizontal="center" vertical="center" wrapText="1"/>
      <protection locked="0"/>
    </xf>
    <xf numFmtId="165" fontId="52" fillId="0" borderId="1" xfId="0" applyNumberFormat="1" applyFont="1" applyBorder="1" applyAlignment="1" applyProtection="1">
      <alignment horizontal="center" vertical="center" wrapText="1"/>
      <protection hidden="1"/>
    </xf>
    <xf numFmtId="0" fontId="10" fillId="4" borderId="0" xfId="2" applyFill="1" applyAlignment="1">
      <alignment vertical="center"/>
    </xf>
    <xf numFmtId="0" fontId="49" fillId="4" borderId="0" xfId="2" applyFont="1" applyFill="1" applyAlignment="1">
      <alignment vertical="center"/>
    </xf>
    <xf numFmtId="0" fontId="50" fillId="4" borderId="0" xfId="2" applyFont="1" applyFill="1" applyAlignment="1">
      <alignment horizontal="left" vertical="center"/>
    </xf>
    <xf numFmtId="0" fontId="56" fillId="0" borderId="0" xfId="4" applyFont="1"/>
    <xf numFmtId="0" fontId="56" fillId="0" borderId="17" xfId="4" applyFont="1" applyBorder="1"/>
    <xf numFmtId="0" fontId="56" fillId="0" borderId="2" xfId="4" applyFont="1" applyBorder="1"/>
    <xf numFmtId="0" fontId="56" fillId="0" borderId="18" xfId="4" applyFont="1" applyBorder="1"/>
    <xf numFmtId="0" fontId="56" fillId="0" borderId="19" xfId="4" applyFont="1" applyBorder="1"/>
    <xf numFmtId="0" fontId="56" fillId="0" borderId="20" xfId="4" applyFont="1" applyBorder="1"/>
    <xf numFmtId="14" fontId="56" fillId="0" borderId="0" xfId="4" applyNumberFormat="1" applyFont="1"/>
    <xf numFmtId="0" fontId="56" fillId="0" borderId="21" xfId="4" applyFont="1" applyBorder="1"/>
    <xf numFmtId="0" fontId="56" fillId="0" borderId="22" xfId="4" applyFont="1" applyBorder="1"/>
    <xf numFmtId="0" fontId="56" fillId="0" borderId="23" xfId="4" applyFont="1" applyBorder="1"/>
    <xf numFmtId="0" fontId="55" fillId="0" borderId="1" xfId="4" applyFont="1" applyBorder="1" applyAlignment="1">
      <alignment horizontal="center"/>
    </xf>
    <xf numFmtId="171" fontId="56" fillId="0" borderId="1" xfId="4" applyNumberFormat="1" applyFont="1" applyBorder="1" applyAlignment="1">
      <alignment horizontal="center" vertical="center"/>
    </xf>
    <xf numFmtId="171" fontId="55" fillId="0" borderId="1" xfId="4" applyNumberFormat="1" applyFont="1" applyBorder="1" applyAlignment="1">
      <alignment horizontal="center" vertical="center"/>
    </xf>
    <xf numFmtId="172" fontId="56" fillId="0" borderId="1" xfId="4" applyNumberFormat="1" applyFont="1" applyBorder="1" applyAlignment="1">
      <alignment horizontal="center" vertical="center"/>
    </xf>
    <xf numFmtId="0" fontId="57" fillId="0" borderId="1" xfId="4" applyFont="1" applyBorder="1"/>
    <xf numFmtId="0" fontId="56" fillId="0" borderId="0" xfId="4" applyFont="1" applyAlignment="1">
      <alignment vertical="center"/>
    </xf>
    <xf numFmtId="0" fontId="56" fillId="0" borderId="19" xfId="4" applyFont="1" applyBorder="1" applyAlignment="1">
      <alignment vertical="center"/>
    </xf>
    <xf numFmtId="173" fontId="56" fillId="0" borderId="0" xfId="4" applyNumberFormat="1" applyFont="1"/>
    <xf numFmtId="14" fontId="56" fillId="0" borderId="0" xfId="4" applyNumberFormat="1" applyFont="1" applyAlignment="1">
      <alignment vertical="center"/>
    </xf>
    <xf numFmtId="171" fontId="61" fillId="0" borderId="1" xfId="4" applyNumberFormat="1" applyFont="1" applyBorder="1" applyAlignment="1">
      <alignment horizontal="center" vertical="center"/>
    </xf>
    <xf numFmtId="0" fontId="62" fillId="0" borderId="1" xfId="0" applyFont="1" applyBorder="1" applyAlignment="1" applyProtection="1">
      <alignment horizontal="center" vertical="center" wrapText="1"/>
      <protection hidden="1"/>
    </xf>
    <xf numFmtId="0" fontId="62" fillId="0" borderId="1" xfId="0" applyFont="1" applyBorder="1" applyAlignment="1">
      <alignment horizontal="center" vertical="center" wrapText="1"/>
    </xf>
    <xf numFmtId="168" fontId="52" fillId="0" borderId="1" xfId="0" applyNumberFormat="1" applyFont="1" applyBorder="1" applyAlignment="1">
      <alignment horizontal="center" vertical="center" wrapText="1"/>
    </xf>
    <xf numFmtId="4" fontId="56" fillId="0" borderId="0" xfId="4" applyNumberFormat="1" applyFont="1"/>
    <xf numFmtId="0" fontId="42" fillId="4" borderId="1" xfId="0" applyFont="1" applyFill="1" applyBorder="1" applyAlignment="1">
      <alignment horizontal="left" vertical="center" wrapText="1"/>
    </xf>
    <xf numFmtId="0" fontId="40" fillId="0" borderId="0" xfId="0" applyFont="1" applyAlignment="1" applyProtection="1">
      <alignment vertical="center"/>
      <protection locked="0"/>
    </xf>
    <xf numFmtId="0" fontId="40" fillId="4" borderId="1" xfId="0" applyFont="1" applyFill="1" applyBorder="1" applyAlignment="1">
      <alignment vertical="center"/>
    </xf>
    <xf numFmtId="170" fontId="68" fillId="4" borderId="1" xfId="0" applyNumberFormat="1" applyFont="1" applyFill="1" applyBorder="1" applyAlignment="1">
      <alignment vertical="center" wrapText="1"/>
    </xf>
    <xf numFmtId="0" fontId="40" fillId="4" borderId="1" xfId="0" applyFont="1" applyFill="1" applyBorder="1" applyAlignment="1" applyProtection="1">
      <alignment vertical="center"/>
      <protection locked="0"/>
    </xf>
    <xf numFmtId="0" fontId="67" fillId="5" borderId="1" xfId="0" applyFont="1" applyFill="1" applyBorder="1" applyAlignment="1" applyProtection="1">
      <alignment vertical="center"/>
      <protection locked="0"/>
    </xf>
    <xf numFmtId="0" fontId="40" fillId="0" borderId="0" xfId="0" applyFont="1"/>
    <xf numFmtId="0" fontId="70" fillId="0" borderId="0" xfId="0" applyFont="1" applyAlignment="1" applyProtection="1">
      <alignment vertical="center"/>
      <protection locked="0"/>
    </xf>
    <xf numFmtId="0" fontId="40" fillId="0" borderId="1" xfId="0" applyFont="1" applyBorder="1" applyAlignment="1" applyProtection="1">
      <alignment vertical="center"/>
      <protection locked="0"/>
    </xf>
    <xf numFmtId="0" fontId="40" fillId="0" borderId="1" xfId="0" applyFont="1" applyBorder="1" applyAlignment="1" applyProtection="1">
      <alignment horizontal="center" vertical="center" wrapText="1"/>
      <protection locked="0"/>
    </xf>
    <xf numFmtId="0" fontId="40" fillId="0" borderId="1" xfId="0" applyFont="1" applyBorder="1" applyAlignment="1" applyProtection="1">
      <alignment horizontal="left" vertical="center" wrapText="1"/>
      <protection locked="0"/>
    </xf>
    <xf numFmtId="2" fontId="40" fillId="0" borderId="1" xfId="0" applyNumberFormat="1" applyFont="1" applyBorder="1" applyAlignment="1" applyProtection="1">
      <alignment horizontal="left" vertical="center" wrapText="1"/>
      <protection locked="0"/>
    </xf>
    <xf numFmtId="14" fontId="40" fillId="0" borderId="1" xfId="0" applyNumberFormat="1" applyFont="1" applyBorder="1" applyAlignment="1" applyProtection="1">
      <alignment horizontal="left" vertical="center" wrapText="1"/>
      <protection locked="0"/>
    </xf>
    <xf numFmtId="0" fontId="40" fillId="0" borderId="0" xfId="0" applyFont="1" applyAlignment="1" applyProtection="1">
      <alignment horizontal="left" vertical="center" wrapText="1"/>
      <protection locked="0"/>
    </xf>
    <xf numFmtId="2" fontId="40" fillId="0" borderId="0" xfId="0" applyNumberFormat="1" applyFont="1" applyAlignment="1" applyProtection="1">
      <alignment horizontal="left" vertical="center" wrapText="1"/>
      <protection locked="0"/>
    </xf>
    <xf numFmtId="0" fontId="38" fillId="0" borderId="0" xfId="0" applyFont="1" applyAlignment="1" applyProtection="1">
      <alignment horizontal="left" vertical="center" wrapText="1"/>
      <protection locked="0"/>
    </xf>
    <xf numFmtId="14" fontId="40" fillId="4" borderId="1" xfId="0" applyNumberFormat="1" applyFont="1" applyFill="1" applyBorder="1" applyAlignment="1" applyProtection="1">
      <alignment horizontal="left" vertical="center"/>
      <protection locked="0"/>
    </xf>
    <xf numFmtId="14" fontId="38" fillId="0" borderId="0" xfId="0" applyNumberFormat="1" applyFont="1" applyAlignment="1" applyProtection="1">
      <alignment horizontal="left" vertical="center"/>
      <protection locked="0"/>
    </xf>
    <xf numFmtId="166" fontId="40" fillId="0" borderId="0" xfId="0" applyNumberFormat="1" applyFont="1" applyAlignment="1" applyProtection="1">
      <alignment horizontal="left" vertical="center"/>
      <protection locked="0"/>
    </xf>
    <xf numFmtId="0" fontId="38" fillId="0" borderId="0" xfId="0" applyFont="1" applyAlignment="1" applyProtection="1">
      <alignment horizontal="left" vertical="center"/>
      <protection locked="0"/>
    </xf>
    <xf numFmtId="0" fontId="68" fillId="4" borderId="1" xfId="0" applyFont="1" applyFill="1" applyBorder="1" applyAlignment="1">
      <alignment horizontal="left" vertical="center" wrapText="1"/>
    </xf>
    <xf numFmtId="0" fontId="68" fillId="0" borderId="1" xfId="0" applyFont="1" applyBorder="1" applyAlignment="1">
      <alignment horizontal="left" vertical="center" wrapText="1"/>
    </xf>
    <xf numFmtId="0" fontId="40" fillId="0" borderId="1" xfId="0" applyFont="1" applyBorder="1" applyAlignment="1" applyProtection="1">
      <alignment horizontal="left" vertical="center"/>
      <protection locked="0"/>
    </xf>
    <xf numFmtId="0" fontId="40" fillId="4" borderId="1" xfId="0" applyFont="1" applyFill="1" applyBorder="1" applyAlignment="1">
      <alignment horizontal="left" vertical="center"/>
    </xf>
    <xf numFmtId="0" fontId="40" fillId="4" borderId="1" xfId="0" applyFont="1" applyFill="1" applyBorder="1" applyAlignment="1" applyProtection="1">
      <alignment horizontal="left" vertical="center"/>
      <protection locked="0"/>
    </xf>
    <xf numFmtId="0" fontId="68" fillId="4" borderId="1" xfId="0" applyFont="1" applyFill="1" applyBorder="1" applyAlignment="1">
      <alignment horizontal="left" vertical="center"/>
    </xf>
    <xf numFmtId="0" fontId="39" fillId="0" borderId="0" xfId="0" applyFont="1" applyAlignment="1" applyProtection="1">
      <alignment horizontal="left" vertical="center"/>
      <protection locked="0"/>
    </xf>
    <xf numFmtId="0" fontId="67" fillId="0" borderId="1" xfId="0" applyFont="1" applyBorder="1" applyAlignment="1" applyProtection="1">
      <alignment horizontal="center" vertical="center"/>
      <protection locked="0"/>
    </xf>
    <xf numFmtId="0" fontId="38" fillId="0" borderId="0" xfId="0" applyFont="1" applyAlignment="1" applyProtection="1">
      <alignment horizontal="center" vertical="center"/>
      <protection locked="0"/>
    </xf>
    <xf numFmtId="0" fontId="69" fillId="5" borderId="1" xfId="0" applyFont="1" applyFill="1" applyBorder="1" applyAlignment="1" applyProtection="1">
      <alignment horizontal="left" vertical="center" wrapText="1"/>
      <protection locked="0"/>
    </xf>
    <xf numFmtId="4" fontId="69" fillId="5" borderId="1" xfId="0" applyNumberFormat="1" applyFont="1" applyFill="1" applyBorder="1" applyAlignment="1" applyProtection="1">
      <alignment horizontal="left" vertical="center" wrapText="1"/>
      <protection locked="0"/>
    </xf>
    <xf numFmtId="0" fontId="38" fillId="0" borderId="1" xfId="0" applyFont="1" applyBorder="1" applyAlignment="1" applyProtection="1">
      <alignment vertical="center"/>
      <protection locked="0"/>
    </xf>
    <xf numFmtId="0" fontId="40" fillId="0" borderId="1" xfId="0" applyFont="1" applyBorder="1" applyAlignment="1">
      <alignment vertical="center"/>
    </xf>
    <xf numFmtId="164" fontId="35" fillId="4" borderId="0" xfId="1" applyFont="1" applyFill="1" applyBorder="1" applyAlignment="1" applyProtection="1">
      <alignment horizontal="center" vertical="center" wrapText="1"/>
      <protection locked="0" hidden="1"/>
    </xf>
    <xf numFmtId="164" fontId="35" fillId="4" borderId="0" xfId="1" applyFont="1" applyFill="1" applyAlignment="1" applyProtection="1">
      <alignment horizontal="center" vertical="center" wrapText="1"/>
      <protection locked="0" hidden="1"/>
    </xf>
    <xf numFmtId="4" fontId="35" fillId="4" borderId="0" xfId="1" applyNumberFormat="1" applyFont="1" applyFill="1" applyAlignment="1" applyProtection="1">
      <alignment horizontal="center" vertical="center" wrapText="1"/>
      <protection locked="0" hidden="1"/>
    </xf>
    <xf numFmtId="0" fontId="34" fillId="4" borderId="0" xfId="0" applyFont="1" applyFill="1" applyAlignment="1" applyProtection="1">
      <alignment horizontal="center" vertical="center" wrapText="1"/>
      <protection locked="0" hidden="1"/>
    </xf>
    <xf numFmtId="0" fontId="34" fillId="4" borderId="0" xfId="0" applyFont="1" applyFill="1" applyAlignment="1" applyProtection="1">
      <alignment vertical="center"/>
      <protection locked="0" hidden="1"/>
    </xf>
    <xf numFmtId="164" fontId="53" fillId="4" borderId="0" xfId="1" applyFont="1" applyFill="1" applyAlignment="1" applyProtection="1">
      <alignment horizontal="center" vertical="center" wrapText="1"/>
      <protection locked="0" hidden="1"/>
    </xf>
    <xf numFmtId="0" fontId="46" fillId="4" borderId="4" xfId="0" applyFont="1" applyFill="1" applyBorder="1" applyAlignment="1" applyProtection="1">
      <alignment horizontal="center" vertical="center" wrapText="1"/>
      <protection hidden="1"/>
    </xf>
    <xf numFmtId="1" fontId="44" fillId="4" borderId="5" xfId="1" applyNumberFormat="1" applyFont="1" applyFill="1" applyBorder="1" applyAlignment="1" applyProtection="1">
      <alignment horizontal="center" vertical="center" wrapText="1"/>
      <protection hidden="1"/>
    </xf>
    <xf numFmtId="164" fontId="44" fillId="4" borderId="5" xfId="1" applyFont="1" applyFill="1" applyBorder="1" applyAlignment="1" applyProtection="1">
      <alignment horizontal="center" vertical="center" wrapText="1"/>
      <protection hidden="1"/>
    </xf>
    <xf numFmtId="4" fontId="44" fillId="4" borderId="6" xfId="1" applyNumberFormat="1" applyFont="1" applyFill="1" applyBorder="1" applyAlignment="1" applyProtection="1">
      <alignment horizontal="center" vertical="center" wrapText="1"/>
      <protection hidden="1"/>
    </xf>
    <xf numFmtId="164" fontId="35" fillId="4" borderId="0" xfId="1" applyFont="1" applyFill="1" applyAlignment="1" applyProtection="1">
      <alignment horizontal="center" vertical="center" wrapText="1"/>
      <protection hidden="1"/>
    </xf>
    <xf numFmtId="164" fontId="45" fillId="4" borderId="0" xfId="1" applyFont="1" applyFill="1" applyAlignment="1" applyProtection="1">
      <alignment horizontal="center" vertical="center" wrapText="1"/>
      <protection locked="0" hidden="1"/>
    </xf>
    <xf numFmtId="0" fontId="47" fillId="4" borderId="0" xfId="0" applyFont="1" applyFill="1" applyAlignment="1" applyProtection="1">
      <alignment horizontal="center" vertical="center" wrapText="1"/>
      <protection locked="0" hidden="1"/>
    </xf>
    <xf numFmtId="1" fontId="35" fillId="4" borderId="0" xfId="1" applyNumberFormat="1" applyFont="1" applyFill="1" applyAlignment="1" applyProtection="1">
      <alignment horizontal="center" vertical="center" wrapText="1"/>
      <protection locked="0" hidden="1"/>
    </xf>
    <xf numFmtId="0" fontId="38" fillId="7" borderId="0" xfId="0" applyFont="1" applyFill="1" applyAlignment="1" applyProtection="1">
      <alignment vertical="center"/>
      <protection locked="0"/>
    </xf>
    <xf numFmtId="170" fontId="68" fillId="0" borderId="1" xfId="0" applyNumberFormat="1" applyFont="1" applyBorder="1" applyAlignment="1">
      <alignment vertical="center" wrapText="1"/>
    </xf>
    <xf numFmtId="14" fontId="40" fillId="0" borderId="1" xfId="0" applyNumberFormat="1" applyFont="1" applyBorder="1" applyAlignment="1" applyProtection="1">
      <alignment horizontal="left" vertical="center"/>
      <protection locked="0"/>
    </xf>
    <xf numFmtId="0" fontId="69" fillId="0" borderId="1" xfId="0" applyFont="1" applyBorder="1" applyAlignment="1" applyProtection="1">
      <alignment horizontal="left" vertical="center" wrapText="1"/>
      <protection locked="0"/>
    </xf>
    <xf numFmtId="4" fontId="69" fillId="0" borderId="1" xfId="0" applyNumberFormat="1" applyFont="1" applyBorder="1" applyAlignment="1" applyProtection="1">
      <alignment horizontal="left" vertical="center" wrapText="1"/>
      <protection locked="0"/>
    </xf>
    <xf numFmtId="0" fontId="67" fillId="0" borderId="1" xfId="0" applyFont="1" applyBorder="1" applyAlignment="1" applyProtection="1">
      <alignment vertical="center"/>
      <protection locked="0"/>
    </xf>
    <xf numFmtId="0" fontId="73" fillId="0" borderId="0" xfId="4" applyFont="1"/>
    <xf numFmtId="0" fontId="73" fillId="0" borderId="17" xfId="4" applyFont="1" applyBorder="1"/>
    <xf numFmtId="0" fontId="73" fillId="0" borderId="2" xfId="4" applyFont="1" applyBorder="1"/>
    <xf numFmtId="0" fontId="73" fillId="0" borderId="18" xfId="4" applyFont="1" applyBorder="1"/>
    <xf numFmtId="0" fontId="73" fillId="0" borderId="19" xfId="4" applyFont="1" applyBorder="1" applyAlignment="1">
      <alignment vertical="center"/>
    </xf>
    <xf numFmtId="0" fontId="73" fillId="0" borderId="0" xfId="4" applyFont="1" applyAlignment="1">
      <alignment vertical="center"/>
    </xf>
    <xf numFmtId="14" fontId="73" fillId="0" borderId="0" xfId="4" applyNumberFormat="1" applyFont="1" applyAlignment="1">
      <alignment vertical="center"/>
    </xf>
    <xf numFmtId="0" fontId="73" fillId="0" borderId="21" xfId="4" applyFont="1" applyBorder="1" applyAlignment="1">
      <alignment vertical="center"/>
    </xf>
    <xf numFmtId="0" fontId="73" fillId="0" borderId="22" xfId="4" applyFont="1" applyBorder="1" applyAlignment="1">
      <alignment vertical="center"/>
    </xf>
    <xf numFmtId="0" fontId="73" fillId="0" borderId="23" xfId="4" applyFont="1" applyBorder="1" applyAlignment="1">
      <alignment vertical="center"/>
    </xf>
    <xf numFmtId="0" fontId="8" fillId="4" borderId="0" xfId="2" applyFont="1" applyFill="1" applyAlignment="1">
      <alignment vertical="center"/>
    </xf>
    <xf numFmtId="0" fontId="7" fillId="4" borderId="0" xfId="2" applyFont="1" applyFill="1" applyAlignment="1">
      <alignment vertical="center"/>
    </xf>
    <xf numFmtId="0" fontId="34" fillId="4" borderId="0" xfId="0" applyFont="1" applyFill="1" applyAlignment="1" applyProtection="1">
      <alignment horizontal="center" vertical="center" wrapText="1"/>
      <protection hidden="1"/>
    </xf>
    <xf numFmtId="0" fontId="34" fillId="4" borderId="3" xfId="0" applyFont="1" applyFill="1" applyBorder="1" applyAlignment="1">
      <alignment horizontal="center" wrapText="1"/>
    </xf>
    <xf numFmtId="164" fontId="35" fillId="4" borderId="1" xfId="1" applyFont="1" applyFill="1" applyBorder="1" applyAlignment="1" applyProtection="1">
      <alignment horizontal="center" vertical="center" wrapText="1"/>
      <protection hidden="1"/>
    </xf>
    <xf numFmtId="167" fontId="36" fillId="4" borderId="1" xfId="1" applyNumberFormat="1" applyFont="1" applyFill="1" applyBorder="1" applyAlignment="1" applyProtection="1">
      <alignment horizontal="center" vertical="center" wrapText="1"/>
    </xf>
    <xf numFmtId="4" fontId="35" fillId="4" borderId="1" xfId="1" applyNumberFormat="1" applyFont="1" applyFill="1" applyBorder="1" applyAlignment="1" applyProtection="1">
      <alignment horizontal="center" vertical="center"/>
    </xf>
    <xf numFmtId="164" fontId="35" fillId="4" borderId="1" xfId="1" applyFont="1" applyFill="1" applyBorder="1" applyAlignment="1" applyProtection="1">
      <alignment horizontal="center" vertical="center" wrapText="1"/>
    </xf>
    <xf numFmtId="164" fontId="37" fillId="4" borderId="1" xfId="1" applyFont="1" applyFill="1" applyBorder="1" applyAlignment="1" applyProtection="1">
      <alignment horizontal="center" vertical="center" wrapText="1"/>
      <protection hidden="1"/>
    </xf>
    <xf numFmtId="4" fontId="37" fillId="4" borderId="8" xfId="1" applyNumberFormat="1" applyFont="1" applyFill="1" applyBorder="1" applyAlignment="1" applyProtection="1">
      <alignment horizontal="center" vertical="center" wrapText="1"/>
      <protection hidden="1"/>
    </xf>
    <xf numFmtId="165" fontId="34" fillId="4" borderId="0" xfId="0" applyNumberFormat="1" applyFont="1" applyFill="1" applyAlignment="1" applyProtection="1">
      <alignment horizontal="center" vertical="center" wrapText="1"/>
      <protection hidden="1"/>
    </xf>
    <xf numFmtId="0" fontId="72" fillId="4" borderId="12" xfId="0" applyFont="1" applyFill="1" applyBorder="1" applyAlignment="1" applyProtection="1">
      <alignment vertical="center" wrapText="1"/>
      <protection hidden="1"/>
    </xf>
    <xf numFmtId="0" fontId="72" fillId="4" borderId="13" xfId="0" applyFont="1" applyFill="1" applyBorder="1" applyAlignment="1" applyProtection="1">
      <alignment vertical="center" wrapText="1"/>
      <protection hidden="1"/>
    </xf>
    <xf numFmtId="4" fontId="72" fillId="4" borderId="7" xfId="1" applyNumberFormat="1" applyFont="1" applyFill="1" applyBorder="1" applyAlignment="1" applyProtection="1">
      <alignment horizontal="center" vertical="center" wrapText="1"/>
      <protection hidden="1"/>
    </xf>
    <xf numFmtId="0" fontId="39" fillId="4" borderId="1" xfId="2" applyFont="1" applyFill="1" applyBorder="1" applyAlignment="1">
      <alignment vertical="center"/>
    </xf>
    <xf numFmtId="0" fontId="54" fillId="0" borderId="1" xfId="0" applyFont="1" applyBorder="1" applyAlignment="1">
      <alignment horizontal="left"/>
    </xf>
    <xf numFmtId="0" fontId="54" fillId="0" borderId="1" xfId="0" applyFont="1" applyBorder="1" applyAlignment="1">
      <alignment horizontal="left" vertical="center"/>
    </xf>
    <xf numFmtId="4" fontId="54" fillId="0" borderId="1" xfId="0" applyNumberFormat="1" applyFont="1" applyBorder="1" applyAlignment="1">
      <alignment horizontal="left" vertical="center" wrapText="1"/>
    </xf>
    <xf numFmtId="0" fontId="75" fillId="0" borderId="1" xfId="0" applyFont="1" applyBorder="1" applyAlignment="1">
      <alignment horizontal="left"/>
    </xf>
    <xf numFmtId="4" fontId="75" fillId="0" borderId="1" xfId="0" applyNumberFormat="1" applyFont="1" applyBorder="1" applyAlignment="1">
      <alignment horizontal="left"/>
    </xf>
    <xf numFmtId="0" fontId="54" fillId="0" borderId="1" xfId="0" applyFont="1" applyBorder="1" applyAlignment="1">
      <alignment vertical="center"/>
    </xf>
    <xf numFmtId="0" fontId="75" fillId="0" borderId="1" xfId="0" applyFont="1" applyBorder="1"/>
    <xf numFmtId="0" fontId="42" fillId="4" borderId="1" xfId="0" applyFont="1" applyFill="1" applyBorder="1" applyAlignment="1">
      <alignment vertical="center"/>
    </xf>
    <xf numFmtId="0" fontId="42" fillId="4" borderId="1" xfId="0" applyFont="1" applyFill="1" applyBorder="1" applyAlignment="1" applyProtection="1">
      <alignment vertical="center"/>
      <protection locked="0"/>
    </xf>
    <xf numFmtId="14" fontId="42" fillId="4" borderId="1" xfId="0" applyNumberFormat="1" applyFont="1" applyFill="1" applyBorder="1" applyAlignment="1" applyProtection="1">
      <alignment horizontal="left" vertical="center"/>
      <protection locked="0"/>
    </xf>
    <xf numFmtId="0" fontId="42" fillId="4" borderId="1" xfId="0" applyFont="1" applyFill="1" applyBorder="1" applyAlignment="1">
      <alignment horizontal="left" vertical="center"/>
    </xf>
    <xf numFmtId="0" fontId="42" fillId="4" borderId="0" xfId="0" applyFont="1" applyFill="1" applyAlignment="1">
      <alignment vertical="center"/>
    </xf>
    <xf numFmtId="0" fontId="42" fillId="4" borderId="1" xfId="0" applyFont="1" applyFill="1" applyBorder="1" applyAlignment="1" applyProtection="1">
      <alignment horizontal="left" vertical="center" wrapText="1"/>
      <protection locked="0"/>
    </xf>
    <xf numFmtId="4" fontId="42" fillId="4" borderId="1" xfId="0" applyNumberFormat="1" applyFont="1" applyFill="1" applyBorder="1" applyAlignment="1" applyProtection="1">
      <alignment horizontal="left" vertical="center" wrapText="1"/>
      <protection locked="0"/>
    </xf>
    <xf numFmtId="170" fontId="42" fillId="4" borderId="1" xfId="0" applyNumberFormat="1" applyFont="1" applyFill="1" applyBorder="1" applyAlignment="1">
      <alignment vertical="center" wrapText="1"/>
    </xf>
    <xf numFmtId="0" fontId="77" fillId="4" borderId="1" xfId="3" applyFont="1" applyFill="1" applyBorder="1" applyAlignment="1">
      <alignment horizontal="center" vertical="center" wrapText="1"/>
    </xf>
    <xf numFmtId="0" fontId="39" fillId="4" borderId="1" xfId="3" applyFont="1" applyFill="1" applyBorder="1" applyAlignment="1">
      <alignment horizontal="center" vertical="center" wrapText="1"/>
    </xf>
    <xf numFmtId="0" fontId="41" fillId="4" borderId="1" xfId="3" applyFill="1" applyBorder="1" applyAlignment="1">
      <alignment horizontal="left" vertical="center" wrapText="1"/>
    </xf>
    <xf numFmtId="0" fontId="76" fillId="4" borderId="1" xfId="2" applyFont="1" applyFill="1" applyBorder="1" applyAlignment="1">
      <alignment vertical="center"/>
    </xf>
    <xf numFmtId="0" fontId="11" fillId="4" borderId="1" xfId="0" applyFont="1" applyFill="1" applyBorder="1" applyAlignment="1">
      <alignment horizontal="center" vertical="center" wrapText="1"/>
    </xf>
    <xf numFmtId="0" fontId="78" fillId="4" borderId="1" xfId="2" applyFont="1" applyFill="1" applyBorder="1" applyAlignment="1">
      <alignment vertical="center" wrapText="1" shrinkToFit="1"/>
    </xf>
    <xf numFmtId="0" fontId="76" fillId="4" borderId="0" xfId="2" applyFont="1" applyFill="1" applyAlignment="1">
      <alignment vertical="center"/>
    </xf>
    <xf numFmtId="170" fontId="79" fillId="4" borderId="1" xfId="3" applyNumberFormat="1" applyFont="1" applyFill="1" applyBorder="1" applyAlignment="1">
      <alignment vertical="center" wrapText="1"/>
    </xf>
    <xf numFmtId="170" fontId="39" fillId="4" borderId="1" xfId="2" applyNumberFormat="1" applyFont="1" applyFill="1" applyBorder="1" applyAlignment="1">
      <alignment vertical="center" wrapText="1"/>
    </xf>
    <xf numFmtId="14" fontId="76" fillId="4" borderId="0" xfId="2" applyNumberFormat="1" applyFont="1" applyFill="1" applyAlignment="1">
      <alignment vertical="center"/>
    </xf>
    <xf numFmtId="165" fontId="12" fillId="3" borderId="1" xfId="0" applyNumberFormat="1" applyFont="1" applyFill="1" applyBorder="1" applyAlignment="1">
      <alignment horizontal="center" vertical="center" wrapText="1"/>
    </xf>
    <xf numFmtId="165" fontId="23" fillId="3" borderId="1" xfId="0" applyNumberFormat="1" applyFont="1" applyFill="1" applyBorder="1" applyAlignment="1">
      <alignment horizontal="center" vertical="center" wrapText="1"/>
    </xf>
    <xf numFmtId="165" fontId="12" fillId="3" borderId="1" xfId="0" applyNumberFormat="1" applyFont="1" applyFill="1" applyBorder="1" applyAlignment="1">
      <alignment vertical="center" wrapText="1"/>
    </xf>
    <xf numFmtId="165" fontId="12" fillId="2" borderId="1" xfId="0" applyNumberFormat="1" applyFont="1" applyFill="1" applyBorder="1" applyAlignment="1" applyProtection="1">
      <alignment horizontal="left" vertical="center" wrapText="1"/>
      <protection locked="0" hidden="1"/>
    </xf>
    <xf numFmtId="165" fontId="12" fillId="2" borderId="1" xfId="0" applyNumberFormat="1" applyFont="1" applyFill="1" applyBorder="1" applyAlignment="1" applyProtection="1">
      <alignment horizontal="center" vertical="center" wrapText="1"/>
      <protection locked="0"/>
    </xf>
    <xf numFmtId="165" fontId="12" fillId="2" borderId="1" xfId="0" applyNumberFormat="1" applyFont="1" applyFill="1" applyBorder="1" applyAlignment="1">
      <alignment horizontal="center" vertical="center" wrapText="1"/>
    </xf>
    <xf numFmtId="0" fontId="12" fillId="2" borderId="0" xfId="0" applyFont="1" applyFill="1" applyAlignment="1" applyProtection="1">
      <alignment horizontal="left" vertical="center" wrapText="1"/>
      <protection locked="0" hidden="1"/>
    </xf>
    <xf numFmtId="0" fontId="12" fillId="3" borderId="1" xfId="0" applyFont="1" applyFill="1" applyBorder="1" applyAlignment="1">
      <alignment vertical="center" wrapText="1"/>
    </xf>
    <xf numFmtId="0" fontId="12" fillId="2" borderId="0" xfId="0" applyFont="1" applyFill="1" applyAlignment="1" applyProtection="1">
      <alignment horizontal="center" vertical="center" wrapText="1"/>
      <protection locked="0" hidden="1"/>
    </xf>
    <xf numFmtId="0" fontId="12" fillId="2" borderId="1" xfId="0" applyFont="1" applyFill="1" applyBorder="1" applyAlignment="1">
      <alignment vertical="center" wrapText="1"/>
    </xf>
    <xf numFmtId="165" fontId="12" fillId="2" borderId="1" xfId="0" applyNumberFormat="1" applyFont="1" applyFill="1" applyBorder="1" applyAlignment="1">
      <alignment vertical="center" wrapText="1"/>
    </xf>
    <xf numFmtId="165" fontId="12" fillId="2" borderId="19" xfId="0" applyNumberFormat="1" applyFont="1" applyFill="1" applyBorder="1" applyAlignment="1">
      <alignment horizontal="center" vertical="center" wrapText="1"/>
    </xf>
    <xf numFmtId="165" fontId="12" fillId="2" borderId="20" xfId="0" applyNumberFormat="1" applyFont="1" applyFill="1" applyBorder="1" applyAlignment="1">
      <alignment horizontal="center" vertical="center" wrapText="1"/>
    </xf>
    <xf numFmtId="0" fontId="12" fillId="2" borderId="0" xfId="0" applyFont="1" applyFill="1" applyAlignment="1" applyProtection="1">
      <alignment vertical="center" wrapText="1"/>
      <protection locked="0" hidden="1"/>
    </xf>
    <xf numFmtId="165" fontId="12" fillId="2" borderId="18" xfId="0" applyNumberFormat="1" applyFont="1" applyFill="1" applyBorder="1" applyAlignment="1">
      <alignment horizontal="center" vertical="center" wrapText="1"/>
    </xf>
    <xf numFmtId="165" fontId="22" fillId="2" borderId="20" xfId="0" applyNumberFormat="1" applyFont="1" applyFill="1" applyBorder="1" applyAlignment="1">
      <alignment horizontal="center" vertical="center" wrapText="1"/>
    </xf>
    <xf numFmtId="0" fontId="12" fillId="2" borderId="20" xfId="0" applyFont="1" applyFill="1" applyBorder="1" applyAlignment="1">
      <alignment horizontal="center" vertical="center" wrapText="1"/>
    </xf>
    <xf numFmtId="0" fontId="12" fillId="2" borderId="0" xfId="0" applyFont="1" applyFill="1" applyAlignment="1">
      <alignment horizontal="left" vertical="center" wrapText="1"/>
    </xf>
    <xf numFmtId="0" fontId="12" fillId="2" borderId="19" xfId="0" applyFont="1" applyFill="1" applyBorder="1" applyAlignment="1" applyProtection="1">
      <alignment horizontal="center" vertical="center" wrapText="1"/>
      <protection locked="0" hidden="1"/>
    </xf>
    <xf numFmtId="0" fontId="40" fillId="2" borderId="21" xfId="0" applyFont="1" applyFill="1" applyBorder="1" applyAlignment="1" applyProtection="1">
      <alignment horizontal="center" vertical="center" wrapText="1"/>
      <protection locked="0" hidden="1"/>
    </xf>
    <xf numFmtId="165" fontId="40" fillId="2" borderId="22" xfId="0" applyNumberFormat="1" applyFont="1" applyFill="1" applyBorder="1" applyAlignment="1" applyProtection="1">
      <alignment horizontal="center" vertical="center" wrapText="1"/>
      <protection locked="0" hidden="1"/>
    </xf>
    <xf numFmtId="0" fontId="40" fillId="2" borderId="22" xfId="0" applyFont="1" applyFill="1" applyBorder="1" applyAlignment="1" applyProtection="1">
      <alignment horizontal="center" vertical="center" wrapText="1"/>
      <protection locked="0" hidden="1"/>
    </xf>
    <xf numFmtId="165" fontId="12" fillId="2" borderId="22" xfId="0" applyNumberFormat="1" applyFont="1" applyFill="1" applyBorder="1" applyAlignment="1" applyProtection="1">
      <alignment horizontal="center" vertical="center" wrapText="1"/>
      <protection locked="0" hidden="1"/>
    </xf>
    <xf numFmtId="165" fontId="12" fillId="2" borderId="22" xfId="0" applyNumberFormat="1" applyFont="1" applyFill="1" applyBorder="1" applyAlignment="1">
      <alignment horizontal="center" vertical="center" wrapText="1"/>
    </xf>
    <xf numFmtId="165" fontId="12" fillId="2" borderId="23" xfId="0" applyNumberFormat="1" applyFont="1" applyFill="1" applyBorder="1" applyAlignment="1">
      <alignment horizontal="center" vertical="center" wrapText="1"/>
    </xf>
    <xf numFmtId="14" fontId="60" fillId="0" borderId="1" xfId="4" applyNumberFormat="1" applyFont="1" applyBorder="1" applyAlignment="1">
      <alignment horizontal="center" vertical="center"/>
    </xf>
    <xf numFmtId="0" fontId="60" fillId="0" borderId="1" xfId="4" applyFont="1" applyBorder="1" applyAlignment="1">
      <alignment horizontal="center" vertical="center"/>
    </xf>
    <xf numFmtId="0" fontId="34" fillId="4" borderId="0" xfId="0" applyFont="1" applyFill="1" applyAlignment="1" applyProtection="1">
      <alignment vertical="center" wrapText="1"/>
      <protection locked="0" hidden="1"/>
    </xf>
    <xf numFmtId="0" fontId="6" fillId="4" borderId="0" xfId="2" applyFont="1" applyFill="1" applyAlignment="1">
      <alignment vertical="center"/>
    </xf>
    <xf numFmtId="14" fontId="81" fillId="0" borderId="1" xfId="4" applyNumberFormat="1" applyFont="1" applyBorder="1" applyAlignment="1">
      <alignment horizontal="center" vertical="center"/>
    </xf>
    <xf numFmtId="0" fontId="81" fillId="0" borderId="1" xfId="4" applyFont="1" applyBorder="1" applyAlignment="1">
      <alignment horizontal="center" vertical="center"/>
    </xf>
    <xf numFmtId="49" fontId="0" fillId="4" borderId="0" xfId="0" applyNumberFormat="1" applyFill="1" applyAlignment="1">
      <alignment vertical="center"/>
    </xf>
    <xf numFmtId="0" fontId="0" fillId="0" borderId="32" xfId="0" applyBorder="1"/>
    <xf numFmtId="0" fontId="5" fillId="4" borderId="33" xfId="2" applyFont="1" applyFill="1" applyBorder="1" applyAlignment="1">
      <alignment horizontal="center" vertical="center"/>
    </xf>
    <xf numFmtId="0" fontId="5" fillId="4" borderId="19" xfId="2" applyFont="1" applyFill="1" applyBorder="1" applyAlignment="1">
      <alignment vertical="center"/>
    </xf>
    <xf numFmtId="0" fontId="10" fillId="4" borderId="0" xfId="2" applyFill="1" applyAlignment="1">
      <alignment horizontal="center" vertical="center"/>
    </xf>
    <xf numFmtId="0" fontId="0" fillId="0" borderId="19" xfId="0" applyBorder="1"/>
    <xf numFmtId="0" fontId="0" fillId="0" borderId="21" xfId="0" applyBorder="1"/>
    <xf numFmtId="0" fontId="75" fillId="0" borderId="27" xfId="0" applyFont="1" applyBorder="1" applyAlignment="1">
      <alignment horizontal="left"/>
    </xf>
    <xf numFmtId="0" fontId="0" fillId="0" borderId="22" xfId="0" applyBorder="1"/>
    <xf numFmtId="0" fontId="0" fillId="0" borderId="33" xfId="0" applyBorder="1"/>
    <xf numFmtId="0" fontId="0" fillId="0" borderId="34" xfId="0" applyBorder="1"/>
    <xf numFmtId="0" fontId="0" fillId="0" borderId="20" xfId="0" applyBorder="1"/>
    <xf numFmtId="0" fontId="0" fillId="0" borderId="23" xfId="0" applyBorder="1"/>
    <xf numFmtId="0" fontId="49" fillId="0" borderId="0" xfId="0" applyFont="1" applyAlignment="1" applyProtection="1">
      <alignment horizontal="left" vertical="center"/>
      <protection locked="0"/>
    </xf>
    <xf numFmtId="170" fontId="79" fillId="4" borderId="0" xfId="3" applyNumberFormat="1" applyFont="1" applyFill="1" applyAlignment="1">
      <alignment vertical="center" wrapText="1"/>
    </xf>
    <xf numFmtId="0" fontId="43" fillId="4" borderId="0" xfId="0" applyFont="1" applyFill="1" applyAlignment="1">
      <alignment horizontal="center" vertical="center"/>
    </xf>
    <xf numFmtId="0" fontId="84" fillId="0" borderId="0" xfId="0" applyFont="1" applyAlignment="1">
      <alignment horizontal="center" vertical="center"/>
    </xf>
    <xf numFmtId="14" fontId="84" fillId="0" borderId="0" xfId="0" applyNumberFormat="1" applyFont="1" applyAlignment="1">
      <alignment horizontal="center" vertical="center"/>
    </xf>
    <xf numFmtId="0" fontId="76" fillId="4" borderId="26" xfId="2" applyFont="1" applyFill="1" applyBorder="1" applyAlignment="1">
      <alignment vertical="center"/>
    </xf>
    <xf numFmtId="0" fontId="0" fillId="4" borderId="0" xfId="0" applyFill="1"/>
    <xf numFmtId="0" fontId="82" fillId="4" borderId="0" xfId="0" applyFont="1" applyFill="1" applyAlignment="1">
      <alignment horizontal="left" vertical="center"/>
    </xf>
    <xf numFmtId="0" fontId="84" fillId="4" borderId="0" xfId="0" applyFont="1" applyFill="1" applyAlignment="1">
      <alignment horizontal="center" vertical="center"/>
    </xf>
    <xf numFmtId="0" fontId="10" fillId="4" borderId="0" xfId="2" applyFill="1" applyAlignment="1">
      <alignment horizontal="left" vertical="center"/>
    </xf>
    <xf numFmtId="14" fontId="6" fillId="4" borderId="0" xfId="4" applyNumberFormat="1" applyFont="1" applyFill="1" applyAlignment="1">
      <alignment horizontal="left" vertical="center"/>
    </xf>
    <xf numFmtId="0" fontId="6" fillId="4" borderId="0" xfId="4" applyFont="1" applyFill="1" applyAlignment="1">
      <alignment horizontal="left" vertical="center"/>
    </xf>
    <xf numFmtId="0" fontId="76" fillId="4" borderId="0" xfId="2" applyFont="1" applyFill="1" applyAlignment="1">
      <alignment horizontal="left" vertical="center"/>
    </xf>
    <xf numFmtId="14" fontId="76" fillId="4" borderId="0" xfId="2" applyNumberFormat="1" applyFont="1" applyFill="1" applyAlignment="1">
      <alignment horizontal="left" vertical="center"/>
    </xf>
    <xf numFmtId="0" fontId="34" fillId="4" borderId="29" xfId="0" applyFont="1" applyFill="1" applyBorder="1" applyAlignment="1">
      <alignment horizontal="center" wrapText="1"/>
    </xf>
    <xf numFmtId="1" fontId="35" fillId="4" borderId="0" xfId="1" applyNumberFormat="1" applyFont="1" applyFill="1" applyBorder="1" applyAlignment="1" applyProtection="1">
      <alignment horizontal="center" wrapText="1"/>
    </xf>
    <xf numFmtId="164" fontId="35" fillId="4" borderId="0" xfId="1" applyFont="1" applyFill="1" applyBorder="1" applyAlignment="1" applyProtection="1">
      <alignment horizontal="left" vertical="center" wrapText="1"/>
    </xf>
    <xf numFmtId="164" fontId="35" fillId="4" borderId="20" xfId="1" applyFont="1" applyFill="1" applyBorder="1" applyAlignment="1" applyProtection="1">
      <alignment horizontal="center" vertical="center" wrapText="1"/>
      <protection hidden="1"/>
    </xf>
    <xf numFmtId="167" fontId="36" fillId="4" borderId="25" xfId="1" applyNumberFormat="1" applyFont="1" applyFill="1" applyBorder="1" applyAlignment="1" applyProtection="1">
      <alignment horizontal="center" vertical="center" wrapText="1"/>
    </xf>
    <xf numFmtId="164" fontId="35" fillId="4" borderId="25" xfId="1" applyFont="1" applyFill="1" applyBorder="1" applyAlignment="1" applyProtection="1">
      <alignment horizontal="center" vertical="center" wrapText="1"/>
      <protection hidden="1"/>
    </xf>
    <xf numFmtId="4" fontId="35" fillId="4" borderId="25" xfId="1" applyNumberFormat="1" applyFont="1" applyFill="1" applyBorder="1" applyAlignment="1" applyProtection="1">
      <alignment horizontal="center" vertical="center"/>
    </xf>
    <xf numFmtId="164" fontId="35" fillId="4" borderId="25" xfId="1" applyFont="1" applyFill="1" applyBorder="1" applyAlignment="1" applyProtection="1">
      <alignment horizontal="center" vertical="center" wrapText="1"/>
    </xf>
    <xf numFmtId="164" fontId="37" fillId="4" borderId="25" xfId="1" applyFont="1" applyFill="1" applyBorder="1" applyAlignment="1" applyProtection="1">
      <alignment horizontal="center" vertical="center" wrapText="1"/>
      <protection hidden="1"/>
    </xf>
    <xf numFmtId="4" fontId="37" fillId="4" borderId="19" xfId="1" applyNumberFormat="1" applyFont="1" applyFill="1" applyBorder="1" applyAlignment="1" applyProtection="1">
      <alignment horizontal="center" vertical="center" wrapText="1"/>
      <protection hidden="1"/>
    </xf>
    <xf numFmtId="0" fontId="75" fillId="0" borderId="35" xfId="0" applyFont="1" applyBorder="1" applyAlignment="1">
      <alignment horizontal="left"/>
    </xf>
    <xf numFmtId="0" fontId="75" fillId="0" borderId="36" xfId="0" applyFont="1" applyBorder="1" applyAlignment="1">
      <alignment horizontal="left"/>
    </xf>
    <xf numFmtId="0" fontId="54" fillId="0" borderId="36" xfId="0" applyFont="1" applyBorder="1" applyAlignment="1">
      <alignment horizontal="left"/>
    </xf>
    <xf numFmtId="0" fontId="75" fillId="0" borderId="36" xfId="0" applyFont="1" applyBorder="1"/>
    <xf numFmtId="4" fontId="75" fillId="0" borderId="37" xfId="0" applyNumberFormat="1" applyFont="1" applyBorder="1" applyAlignment="1">
      <alignment horizontal="left"/>
    </xf>
    <xf numFmtId="0" fontId="86" fillId="4" borderId="1" xfId="0" applyFont="1" applyFill="1" applyBorder="1" applyAlignment="1" applyProtection="1">
      <alignment horizontal="center" vertical="center"/>
      <protection locked="0"/>
    </xf>
    <xf numFmtId="172" fontId="55" fillId="0" borderId="1" xfId="4" applyNumberFormat="1" applyFont="1" applyBorder="1" applyAlignment="1">
      <alignment horizontal="center" vertical="center"/>
    </xf>
    <xf numFmtId="0" fontId="89" fillId="0" borderId="0" xfId="4" applyFont="1"/>
    <xf numFmtId="174" fontId="56" fillId="0" borderId="0" xfId="4" applyNumberFormat="1" applyFont="1"/>
    <xf numFmtId="0" fontId="83" fillId="4" borderId="38" xfId="0" applyFont="1" applyFill="1" applyBorder="1" applyAlignment="1">
      <alignment horizontal="left" vertical="center"/>
    </xf>
    <xf numFmtId="0" fontId="91" fillId="4" borderId="39" xfId="0" applyFont="1" applyFill="1" applyBorder="1" applyAlignment="1">
      <alignment wrapText="1"/>
    </xf>
    <xf numFmtId="0" fontId="83" fillId="4" borderId="38" xfId="0" applyFont="1" applyFill="1" applyBorder="1" applyAlignment="1">
      <alignment horizontal="left"/>
    </xf>
    <xf numFmtId="14" fontId="83" fillId="4" borderId="38" xfId="0" applyNumberFormat="1" applyFont="1" applyFill="1" applyBorder="1" applyAlignment="1">
      <alignment horizontal="left"/>
    </xf>
    <xf numFmtId="0" fontId="83" fillId="0" borderId="40" xfId="0" applyFont="1" applyBorder="1"/>
    <xf numFmtId="0" fontId="90" fillId="0" borderId="40" xfId="0" applyFont="1" applyBorder="1" applyAlignment="1">
      <alignment horizontal="center"/>
    </xf>
    <xf numFmtId="0" fontId="90" fillId="0" borderId="40" xfId="0" applyFont="1" applyBorder="1"/>
    <xf numFmtId="0" fontId="83" fillId="4" borderId="40" xfId="0" applyFont="1" applyFill="1" applyBorder="1" applyAlignment="1" applyProtection="1">
      <alignment horizontal="left" vertical="center" wrapText="1"/>
      <protection locked="0"/>
    </xf>
    <xf numFmtId="4" fontId="83" fillId="4" borderId="40" xfId="0" applyNumberFormat="1" applyFont="1" applyFill="1" applyBorder="1" applyAlignment="1" applyProtection="1">
      <alignment horizontal="left" vertical="center" wrapText="1"/>
      <protection locked="0"/>
    </xf>
    <xf numFmtId="0" fontId="92" fillId="5" borderId="40" xfId="0" applyFont="1" applyFill="1" applyBorder="1" applyAlignment="1" applyProtection="1">
      <alignment vertical="center"/>
      <protection locked="0"/>
    </xf>
    <xf numFmtId="0" fontId="92" fillId="0" borderId="40" xfId="0" applyFont="1" applyBorder="1" applyAlignment="1" applyProtection="1">
      <alignment vertical="center"/>
      <protection locked="0"/>
    </xf>
    <xf numFmtId="0" fontId="83" fillId="4" borderId="40" xfId="0" applyFont="1" applyFill="1" applyBorder="1" applyAlignment="1">
      <alignment horizontal="left" vertical="center"/>
    </xf>
    <xf numFmtId="0" fontId="82" fillId="4" borderId="40" xfId="0" applyFont="1" applyFill="1" applyBorder="1" applyAlignment="1">
      <alignment horizontal="left" vertical="center" wrapText="1"/>
    </xf>
    <xf numFmtId="0" fontId="82" fillId="4" borderId="40" xfId="0" applyFont="1" applyFill="1" applyBorder="1" applyAlignment="1">
      <alignment wrapText="1"/>
    </xf>
    <xf numFmtId="14" fontId="90" fillId="0" borderId="40" xfId="0" applyNumberFormat="1" applyFont="1" applyBorder="1" applyAlignment="1">
      <alignment horizontal="left"/>
    </xf>
    <xf numFmtId="0" fontId="90" fillId="4" borderId="40" xfId="0" applyFont="1" applyFill="1" applyBorder="1" applyAlignment="1">
      <alignment horizontal="left" vertical="center" wrapText="1"/>
    </xf>
    <xf numFmtId="0" fontId="83" fillId="4" borderId="40" xfId="0" applyFont="1" applyFill="1" applyBorder="1" applyAlignment="1" applyProtection="1">
      <alignment vertical="center"/>
      <protection locked="0"/>
    </xf>
    <xf numFmtId="0" fontId="82" fillId="4" borderId="40" xfId="0" applyFont="1" applyFill="1" applyBorder="1" applyAlignment="1">
      <alignment horizontal="left" vertical="center"/>
    </xf>
    <xf numFmtId="0" fontId="83" fillId="4" borderId="40" xfId="0" applyFont="1" applyFill="1" applyBorder="1" applyAlignment="1">
      <alignment horizontal="left" vertical="center" wrapText="1"/>
    </xf>
    <xf numFmtId="0" fontId="90" fillId="4" borderId="40" xfId="0" applyFont="1" applyFill="1" applyBorder="1"/>
    <xf numFmtId="0" fontId="82" fillId="4" borderId="40" xfId="4" applyFont="1" applyFill="1" applyBorder="1" applyAlignment="1">
      <alignment wrapText="1"/>
    </xf>
    <xf numFmtId="0" fontId="82" fillId="4" borderId="40" xfId="0" applyFont="1" applyFill="1" applyBorder="1"/>
    <xf numFmtId="0" fontId="83" fillId="4" borderId="40" xfId="0" applyFont="1" applyFill="1" applyBorder="1" applyAlignment="1">
      <alignment wrapText="1"/>
    </xf>
    <xf numFmtId="0" fontId="83" fillId="4" borderId="40" xfId="0" applyFont="1" applyFill="1" applyBorder="1" applyAlignment="1">
      <alignment vertical="center" wrapText="1"/>
    </xf>
    <xf numFmtId="14" fontId="83" fillId="4" borderId="40" xfId="0" applyNumberFormat="1" applyFont="1" applyFill="1" applyBorder="1" applyAlignment="1">
      <alignment horizontal="left"/>
    </xf>
    <xf numFmtId="0" fontId="83" fillId="4" borderId="40" xfId="0" applyFont="1" applyFill="1" applyBorder="1" applyAlignment="1">
      <alignment horizontal="left"/>
    </xf>
    <xf numFmtId="0" fontId="83" fillId="4" borderId="40" xfId="0" applyFont="1" applyFill="1" applyBorder="1" applyAlignment="1">
      <alignment horizontal="left" wrapText="1"/>
    </xf>
    <xf numFmtId="0" fontId="42" fillId="0" borderId="40" xfId="0" applyFont="1" applyBorder="1"/>
    <xf numFmtId="0" fontId="65" fillId="0" borderId="40" xfId="0" applyFont="1" applyBorder="1" applyAlignment="1">
      <alignment horizontal="center"/>
    </xf>
    <xf numFmtId="0" fontId="65" fillId="0" borderId="40" xfId="0" applyFont="1" applyBorder="1"/>
    <xf numFmtId="0" fontId="0" fillId="0" borderId="40" xfId="0" applyBorder="1"/>
    <xf numFmtId="0" fontId="42" fillId="4" borderId="40" xfId="0" applyFont="1" applyFill="1" applyBorder="1" applyAlignment="1" applyProtection="1">
      <alignment horizontal="left" vertical="center" wrapText="1"/>
      <protection locked="0"/>
    </xf>
    <xf numFmtId="4" fontId="42" fillId="4" borderId="40" xfId="0" applyNumberFormat="1" applyFont="1" applyFill="1" applyBorder="1" applyAlignment="1" applyProtection="1">
      <alignment horizontal="left" vertical="center" wrapText="1"/>
      <protection locked="0"/>
    </xf>
    <xf numFmtId="0" fontId="67" fillId="0" borderId="40" xfId="0" applyFont="1" applyBorder="1" applyAlignment="1" applyProtection="1">
      <alignment vertical="center"/>
      <protection locked="0"/>
    </xf>
    <xf numFmtId="0" fontId="67" fillId="5" borderId="40" xfId="0" applyFont="1" applyFill="1" applyBorder="1" applyAlignment="1" applyProtection="1">
      <alignment vertical="center"/>
      <protection locked="0"/>
    </xf>
    <xf numFmtId="0" fontId="64" fillId="6" borderId="40" xfId="0" applyFont="1" applyFill="1" applyBorder="1" applyAlignment="1">
      <alignment horizontal="left" vertical="center"/>
    </xf>
    <xf numFmtId="0" fontId="42" fillId="0" borderId="40" xfId="0" applyFont="1" applyBorder="1" applyAlignment="1" applyProtection="1">
      <alignment horizontal="left"/>
      <protection locked="0"/>
    </xf>
    <xf numFmtId="0" fontId="42" fillId="4" borderId="40" xfId="0" applyFont="1" applyFill="1" applyBorder="1"/>
    <xf numFmtId="0" fontId="85" fillId="4" borderId="40" xfId="0" applyFont="1" applyFill="1" applyBorder="1"/>
    <xf numFmtId="14" fontId="40" fillId="0" borderId="1" xfId="0" applyNumberFormat="1" applyFont="1" applyBorder="1" applyAlignment="1" applyProtection="1">
      <alignment horizontal="center" vertical="center" wrapText="1"/>
      <protection locked="0"/>
    </xf>
    <xf numFmtId="14" fontId="0" fillId="0" borderId="40" xfId="0" applyNumberFormat="1" applyBorder="1" applyAlignment="1">
      <alignment horizontal="center"/>
    </xf>
    <xf numFmtId="14" fontId="90" fillId="0" borderId="40" xfId="0" applyNumberFormat="1" applyFont="1" applyBorder="1" applyAlignment="1">
      <alignment horizontal="center"/>
    </xf>
    <xf numFmtId="14" fontId="83" fillId="4" borderId="40" xfId="0" applyNumberFormat="1" applyFont="1" applyFill="1" applyBorder="1" applyAlignment="1" applyProtection="1">
      <alignment horizontal="center" vertical="center"/>
      <protection locked="0"/>
    </xf>
    <xf numFmtId="14" fontId="42" fillId="4" borderId="1" xfId="0" applyNumberFormat="1" applyFont="1" applyFill="1" applyBorder="1" applyAlignment="1" applyProtection="1">
      <alignment horizontal="center" vertical="center"/>
      <protection locked="0"/>
    </xf>
    <xf numFmtId="14" fontId="40" fillId="4" borderId="1" xfId="0" applyNumberFormat="1" applyFont="1" applyFill="1" applyBorder="1" applyAlignment="1" applyProtection="1">
      <alignment horizontal="center" vertical="center"/>
      <protection locked="0"/>
    </xf>
    <xf numFmtId="14" fontId="40" fillId="0" borderId="1" xfId="0" applyNumberFormat="1" applyFont="1" applyBorder="1" applyAlignment="1" applyProtection="1">
      <alignment horizontal="center" vertical="center"/>
      <protection locked="0"/>
    </xf>
    <xf numFmtId="14" fontId="38" fillId="0" borderId="0" xfId="0" applyNumberFormat="1" applyFont="1" applyAlignment="1" applyProtection="1">
      <alignment horizontal="center" vertical="center"/>
      <protection locked="0"/>
    </xf>
    <xf numFmtId="14" fontId="90" fillId="8" borderId="40" xfId="0" applyNumberFormat="1" applyFont="1" applyFill="1" applyBorder="1" applyAlignment="1">
      <alignment horizontal="center"/>
    </xf>
    <xf numFmtId="0" fontId="41" fillId="4" borderId="40" xfId="0" applyFont="1" applyFill="1" applyBorder="1"/>
    <xf numFmtId="0" fontId="47" fillId="4" borderId="3" xfId="0" applyFont="1" applyFill="1" applyBorder="1" applyAlignment="1">
      <alignment horizontal="center" wrapText="1"/>
    </xf>
    <xf numFmtId="1" fontId="45" fillId="4" borderId="1" xfId="1" applyNumberFormat="1" applyFont="1" applyFill="1" applyBorder="1" applyAlignment="1" applyProtection="1">
      <alignment horizontal="center" wrapText="1"/>
    </xf>
    <xf numFmtId="164" fontId="45" fillId="4" borderId="1" xfId="1" applyFont="1" applyFill="1" applyBorder="1" applyAlignment="1" applyProtection="1">
      <alignment horizontal="left" vertical="center" wrapText="1"/>
    </xf>
    <xf numFmtId="4" fontId="93" fillId="4" borderId="7" xfId="1" applyNumberFormat="1" applyFont="1" applyFill="1" applyBorder="1" applyAlignment="1" applyProtection="1">
      <alignment horizontal="center" vertical="center" wrapText="1"/>
      <protection hidden="1"/>
    </xf>
    <xf numFmtId="165" fontId="12" fillId="2" borderId="24" xfId="0" applyNumberFormat="1" applyFont="1" applyFill="1" applyBorder="1" applyAlignment="1">
      <alignment horizontal="left" vertical="center" wrapText="1"/>
    </xf>
    <xf numFmtId="165" fontId="12" fillId="2" borderId="40" xfId="0" applyNumberFormat="1" applyFont="1" applyFill="1" applyBorder="1" applyAlignment="1">
      <alignment horizontal="left" vertical="center" wrapText="1"/>
    </xf>
    <xf numFmtId="0" fontId="55" fillId="0" borderId="26" xfId="4" applyFont="1" applyBorder="1" applyAlignment="1">
      <alignment horizontal="center"/>
    </xf>
    <xf numFmtId="171" fontId="56" fillId="0" borderId="26" xfId="4" applyNumberFormat="1" applyFont="1" applyBorder="1" applyAlignment="1">
      <alignment horizontal="center" vertical="center"/>
    </xf>
    <xf numFmtId="0" fontId="56" fillId="0" borderId="0" xfId="4" applyFont="1" applyBorder="1"/>
    <xf numFmtId="0" fontId="55" fillId="0" borderId="20" xfId="4" applyFont="1" applyBorder="1" applyAlignment="1">
      <alignment horizontal="center" vertical="center"/>
    </xf>
    <xf numFmtId="0" fontId="56" fillId="0" borderId="20" xfId="4" applyFont="1" applyBorder="1" applyAlignment="1">
      <alignment vertical="center"/>
    </xf>
    <xf numFmtId="0" fontId="59" fillId="0" borderId="20" xfId="4" applyFont="1" applyBorder="1" applyAlignment="1">
      <alignment vertical="center"/>
    </xf>
    <xf numFmtId="0" fontId="59" fillId="0" borderId="19" xfId="4" applyFont="1" applyBorder="1" applyAlignment="1">
      <alignment horizontal="center" vertical="center"/>
    </xf>
    <xf numFmtId="0" fontId="59" fillId="0" borderId="0" xfId="4" applyFont="1" applyBorder="1" applyAlignment="1">
      <alignment horizontal="center" vertical="center"/>
    </xf>
    <xf numFmtId="0" fontId="56" fillId="0" borderId="0" xfId="4" applyFont="1" applyBorder="1" applyAlignment="1">
      <alignment horizontal="center"/>
    </xf>
    <xf numFmtId="14" fontId="55" fillId="0" borderId="0" xfId="4" applyNumberFormat="1" applyFont="1" applyBorder="1" applyAlignment="1">
      <alignment horizontal="center"/>
    </xf>
    <xf numFmtId="0" fontId="56" fillId="0" borderId="0" xfId="4" applyFont="1" applyBorder="1" applyAlignment="1">
      <alignment vertical="center"/>
    </xf>
    <xf numFmtId="0" fontId="56" fillId="0" borderId="19" xfId="11" applyFont="1" applyBorder="1"/>
    <xf numFmtId="0" fontId="56" fillId="0" borderId="22" xfId="11" applyFont="1" applyBorder="1"/>
    <xf numFmtId="0" fontId="56" fillId="0" borderId="23" xfId="11" applyFont="1" applyBorder="1"/>
    <xf numFmtId="0" fontId="56" fillId="0" borderId="21" xfId="11" applyFont="1" applyBorder="1" applyAlignment="1">
      <alignment vertical="center"/>
    </xf>
    <xf numFmtId="0" fontId="59" fillId="0" borderId="20" xfId="11" applyFont="1" applyBorder="1"/>
    <xf numFmtId="0" fontId="59" fillId="0" borderId="19" xfId="11" applyFont="1" applyBorder="1"/>
    <xf numFmtId="0" fontId="56" fillId="0" borderId="0" xfId="11" applyFont="1" applyBorder="1"/>
    <xf numFmtId="14" fontId="55" fillId="0" borderId="0" xfId="11" applyNumberFormat="1" applyFont="1" applyBorder="1" applyAlignment="1">
      <alignment horizontal="center"/>
    </xf>
    <xf numFmtId="0" fontId="59" fillId="0" borderId="0" xfId="11" applyFont="1" applyBorder="1"/>
    <xf numFmtId="0" fontId="87" fillId="0" borderId="0" xfId="11" applyFont="1" applyBorder="1"/>
    <xf numFmtId="0" fontId="88" fillId="0" borderId="0" xfId="11" applyFont="1" applyBorder="1" applyAlignment="1">
      <alignment vertical="center"/>
    </xf>
    <xf numFmtId="14" fontId="59" fillId="0" borderId="0" xfId="11" applyNumberFormat="1" applyFont="1" applyBorder="1"/>
    <xf numFmtId="0" fontId="59" fillId="0" borderId="0" xfId="11" applyFont="1" applyBorder="1" applyAlignment="1">
      <alignment vertical="justify"/>
    </xf>
    <xf numFmtId="0" fontId="56" fillId="0" borderId="0" xfId="11" applyFont="1" applyBorder="1" applyAlignment="1">
      <alignment vertical="center"/>
    </xf>
    <xf numFmtId="0" fontId="0" fillId="0" borderId="0" xfId="0"/>
    <xf numFmtId="0" fontId="56" fillId="0" borderId="19" xfId="11" applyFont="1" applyBorder="1"/>
    <xf numFmtId="0" fontId="56" fillId="0" borderId="22" xfId="11" applyFont="1" applyBorder="1"/>
    <xf numFmtId="0" fontId="56" fillId="0" borderId="23" xfId="11" applyFont="1" applyBorder="1"/>
    <xf numFmtId="0" fontId="56" fillId="0" borderId="21" xfId="11" applyFont="1" applyBorder="1" applyAlignment="1">
      <alignment vertical="center"/>
    </xf>
    <xf numFmtId="164" fontId="35" fillId="4" borderId="0" xfId="1" applyFont="1" applyFill="1" applyAlignment="1" applyProtection="1">
      <alignment horizontal="center" vertical="center" wrapText="1"/>
      <protection hidden="1"/>
    </xf>
    <xf numFmtId="4" fontId="37" fillId="4" borderId="8" xfId="1" applyNumberFormat="1" applyFont="1" applyFill="1" applyBorder="1" applyAlignment="1" applyProtection="1">
      <alignment horizontal="center" vertical="center" wrapText="1"/>
      <protection hidden="1"/>
    </xf>
    <xf numFmtId="165" fontId="34" fillId="4" borderId="0" xfId="0" applyNumberFormat="1" applyFont="1" applyFill="1" applyAlignment="1" applyProtection="1">
      <alignment horizontal="center" vertical="center" wrapText="1"/>
      <protection hidden="1"/>
    </xf>
    <xf numFmtId="0" fontId="59" fillId="0" borderId="20" xfId="11" applyFont="1" applyBorder="1"/>
    <xf numFmtId="0" fontId="59" fillId="0" borderId="19" xfId="11" applyFont="1" applyBorder="1"/>
    <xf numFmtId="0" fontId="56" fillId="0" borderId="0" xfId="11" applyFont="1" applyBorder="1"/>
    <xf numFmtId="14" fontId="55" fillId="0" borderId="0" xfId="11" applyNumberFormat="1" applyFont="1" applyBorder="1" applyAlignment="1">
      <alignment horizontal="center"/>
    </xf>
    <xf numFmtId="0" fontId="59" fillId="0" borderId="0" xfId="11" applyFont="1" applyBorder="1"/>
    <xf numFmtId="0" fontId="87" fillId="0" borderId="0" xfId="11" applyFont="1" applyBorder="1"/>
    <xf numFmtId="0" fontId="88" fillId="0" borderId="0" xfId="11" applyFont="1" applyBorder="1" applyAlignment="1">
      <alignment vertical="center"/>
    </xf>
    <xf numFmtId="14" fontId="59" fillId="0" borderId="0" xfId="11" applyNumberFormat="1" applyFont="1" applyBorder="1"/>
    <xf numFmtId="0" fontId="59" fillId="0" borderId="0" xfId="11" applyFont="1" applyBorder="1" applyAlignment="1">
      <alignment vertical="justify"/>
    </xf>
    <xf numFmtId="0" fontId="56" fillId="0" borderId="0" xfId="11" applyFont="1" applyBorder="1" applyAlignment="1">
      <alignment vertical="center"/>
    </xf>
    <xf numFmtId="0" fontId="3" fillId="4" borderId="0" xfId="2" applyFont="1" applyFill="1" applyAlignment="1">
      <alignment horizontal="center" vertical="center"/>
    </xf>
    <xf numFmtId="0" fontId="3" fillId="4" borderId="22" xfId="2" applyFont="1" applyFill="1" applyBorder="1" applyAlignment="1">
      <alignment horizontal="center" vertical="center"/>
    </xf>
    <xf numFmtId="0" fontId="63" fillId="0" borderId="43" xfId="0" applyFont="1" applyBorder="1"/>
    <xf numFmtId="0" fontId="13" fillId="0" borderId="0" xfId="0" applyFont="1" applyAlignment="1" applyProtection="1">
      <alignment horizontal="center" vertical="center" wrapText="1"/>
      <protection hidden="1"/>
    </xf>
    <xf numFmtId="0" fontId="40" fillId="2" borderId="0" xfId="0" applyFont="1" applyFill="1" applyAlignment="1" applyProtection="1">
      <alignment horizontal="center" vertical="center" wrapText="1"/>
      <protection locked="0" hidden="1"/>
    </xf>
    <xf numFmtId="0" fontId="34" fillId="4" borderId="0" xfId="0" applyFont="1" applyFill="1" applyAlignment="1" applyProtection="1">
      <alignment horizontal="center" vertical="center" wrapText="1"/>
      <protection hidden="1"/>
    </xf>
    <xf numFmtId="164" fontId="35" fillId="4" borderId="0" xfId="1" applyFont="1" applyFill="1" applyAlignment="1" applyProtection="1">
      <alignment horizontal="center" vertical="center" wrapText="1"/>
      <protection locked="0" hidden="1"/>
    </xf>
    <xf numFmtId="0" fontId="75" fillId="0" borderId="43" xfId="0" applyFont="1" applyBorder="1" applyAlignment="1">
      <alignment horizontal="left"/>
    </xf>
    <xf numFmtId="0" fontId="75" fillId="0" borderId="43" xfId="0" applyFont="1" applyBorder="1"/>
    <xf numFmtId="4" fontId="75" fillId="0" borderId="43" xfId="0" applyNumberFormat="1" applyFont="1" applyBorder="1" applyAlignment="1">
      <alignment horizontal="left"/>
    </xf>
    <xf numFmtId="164" fontId="53" fillId="4" borderId="0" xfId="1" applyFont="1" applyFill="1" applyBorder="1" applyAlignment="1" applyProtection="1">
      <alignment horizontal="center" vertical="center" wrapText="1"/>
      <protection locked="0" hidden="1"/>
    </xf>
    <xf numFmtId="164" fontId="35" fillId="4" borderId="43" xfId="1" applyFont="1" applyFill="1" applyBorder="1" applyAlignment="1" applyProtection="1">
      <alignment horizontal="center" vertical="center" wrapText="1"/>
      <protection hidden="1"/>
    </xf>
    <xf numFmtId="0" fontId="28" fillId="0" borderId="1" xfId="0" applyFont="1" applyBorder="1" applyAlignment="1" applyProtection="1">
      <alignment horizontal="center" vertical="center" wrapText="1"/>
      <protection hidden="1"/>
    </xf>
    <xf numFmtId="165" fontId="40" fillId="2" borderId="0" xfId="0" applyNumberFormat="1" applyFont="1" applyFill="1" applyAlignment="1">
      <alignment horizontal="center" vertical="center" wrapText="1"/>
    </xf>
    <xf numFmtId="0" fontId="27" fillId="0" borderId="1" xfId="0" applyFont="1" applyBorder="1" applyAlignment="1" applyProtection="1">
      <alignment horizontal="center" vertical="center" wrapText="1"/>
      <protection hidden="1"/>
    </xf>
    <xf numFmtId="0" fontId="27" fillId="0" borderId="9" xfId="0" applyFont="1" applyBorder="1" applyAlignment="1" applyProtection="1">
      <alignment horizontal="center" vertical="center" wrapText="1"/>
      <protection hidden="1"/>
    </xf>
    <xf numFmtId="0" fontId="17" fillId="0" borderId="10" xfId="0" applyFont="1" applyBorder="1" applyAlignment="1" applyProtection="1">
      <alignment horizontal="center" vertical="center" wrapText="1"/>
      <protection hidden="1"/>
    </xf>
    <xf numFmtId="0" fontId="17" fillId="0" borderId="11" xfId="0" applyFont="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30" fillId="0" borderId="1" xfId="0" applyFont="1" applyBorder="1" applyAlignment="1" applyProtection="1">
      <alignment horizontal="left" vertical="center" wrapText="1"/>
      <protection hidden="1"/>
    </xf>
    <xf numFmtId="0" fontId="30" fillId="0" borderId="1" xfId="0" applyFont="1" applyBorder="1" applyAlignment="1" applyProtection="1">
      <alignment horizontal="right" vertical="center" wrapText="1"/>
      <protection hidden="1"/>
    </xf>
    <xf numFmtId="0" fontId="33" fillId="0" borderId="1" xfId="0" applyFont="1" applyBorder="1" applyAlignment="1" applyProtection="1">
      <alignment horizontal="right" vertical="center" wrapText="1"/>
      <protection hidden="1"/>
    </xf>
    <xf numFmtId="0" fontId="30" fillId="0" borderId="1" xfId="0" applyFont="1" applyBorder="1" applyAlignment="1" applyProtection="1">
      <alignment horizontal="center" vertical="center" wrapText="1"/>
      <protection hidden="1"/>
    </xf>
    <xf numFmtId="0" fontId="30" fillId="0" borderId="1" xfId="0" applyFont="1" applyBorder="1" applyAlignment="1" applyProtection="1">
      <alignment horizontal="left" vertical="top" wrapText="1"/>
      <protection hidden="1"/>
    </xf>
    <xf numFmtId="0" fontId="40" fillId="0" borderId="14" xfId="0" applyFont="1" applyBorder="1" applyAlignment="1" applyProtection="1">
      <alignment horizontal="left" vertical="center" wrapText="1"/>
      <protection locked="0"/>
    </xf>
    <xf numFmtId="0" fontId="40" fillId="0" borderId="16" xfId="0" applyFont="1" applyBorder="1" applyAlignment="1" applyProtection="1">
      <alignment horizontal="left" vertical="center" wrapText="1"/>
      <protection locked="0"/>
    </xf>
    <xf numFmtId="165" fontId="12" fillId="2" borderId="0" xfId="0" applyNumberFormat="1" applyFont="1" applyFill="1" applyBorder="1" applyAlignment="1">
      <alignment horizontal="center" vertical="center" wrapText="1"/>
    </xf>
    <xf numFmtId="165" fontId="12" fillId="2" borderId="40" xfId="0" applyNumberFormat="1" applyFont="1" applyFill="1" applyBorder="1" applyAlignment="1" applyProtection="1">
      <alignment horizontal="left" vertical="center" wrapText="1"/>
      <protection locked="0" hidden="1"/>
    </xf>
    <xf numFmtId="165" fontId="12" fillId="2" borderId="24" xfId="0" applyNumberFormat="1" applyFont="1" applyFill="1" applyBorder="1" applyAlignment="1" applyProtection="1">
      <alignment horizontal="left" vertical="center" wrapText="1"/>
      <protection locked="0" hidden="1"/>
    </xf>
    <xf numFmtId="0" fontId="56" fillId="0" borderId="1" xfId="4" applyFont="1" applyBorder="1" applyAlignment="1">
      <alignment horizontal="center"/>
    </xf>
    <xf numFmtId="0" fontId="58" fillId="0" borderId="1" xfId="4" applyFont="1" applyBorder="1" applyAlignment="1">
      <alignment horizontal="center" vertical="center" textRotation="90"/>
    </xf>
    <xf numFmtId="0" fontId="56" fillId="0" borderId="19" xfId="4" applyFont="1" applyBorder="1" applyAlignment="1">
      <alignment horizontal="center"/>
    </xf>
    <xf numFmtId="0" fontId="56" fillId="0" borderId="0" xfId="4" applyFont="1" applyBorder="1" applyAlignment="1">
      <alignment horizontal="center"/>
    </xf>
    <xf numFmtId="0" fontId="57" fillId="0" borderId="14" xfId="4" applyFont="1" applyBorder="1" applyAlignment="1">
      <alignment horizontal="left"/>
    </xf>
    <xf numFmtId="0" fontId="57" fillId="0" borderId="16" xfId="4" applyFont="1" applyBorder="1" applyAlignment="1">
      <alignment horizontal="left"/>
    </xf>
    <xf numFmtId="0" fontId="57" fillId="0" borderId="35" xfId="4" applyFont="1" applyBorder="1" applyAlignment="1">
      <alignment horizontal="left"/>
    </xf>
    <xf numFmtId="0" fontId="57" fillId="0" borderId="37" xfId="4" applyFont="1" applyBorder="1" applyAlignment="1">
      <alignment horizontal="left"/>
    </xf>
    <xf numFmtId="0" fontId="56" fillId="0" borderId="35" xfId="4" applyFont="1" applyBorder="1" applyAlignment="1">
      <alignment horizontal="center"/>
    </xf>
    <xf numFmtId="0" fontId="56" fillId="0" borderId="36" xfId="4" applyFont="1" applyBorder="1" applyAlignment="1">
      <alignment horizontal="center"/>
    </xf>
    <xf numFmtId="0" fontId="56" fillId="0" borderId="37" xfId="4" applyFont="1" applyBorder="1" applyAlignment="1">
      <alignment horizontal="center"/>
    </xf>
    <xf numFmtId="0" fontId="56" fillId="0" borderId="20" xfId="4" applyFont="1" applyBorder="1" applyAlignment="1">
      <alignment horizontal="center"/>
    </xf>
    <xf numFmtId="0" fontId="57" fillId="0" borderId="1" xfId="4" applyFont="1" applyBorder="1" applyAlignment="1">
      <alignment horizontal="left"/>
    </xf>
    <xf numFmtId="0" fontId="56" fillId="0" borderId="0" xfId="4" applyFont="1" applyAlignment="1">
      <alignment horizontal="center"/>
    </xf>
    <xf numFmtId="0" fontId="81" fillId="0" borderId="1" xfId="4" applyFont="1" applyBorder="1" applyAlignment="1">
      <alignment horizontal="center" vertical="center" wrapText="1"/>
    </xf>
    <xf numFmtId="0" fontId="60" fillId="0" borderId="28" xfId="4" applyFont="1" applyBorder="1" applyAlignment="1">
      <alignment horizontal="center"/>
    </xf>
    <xf numFmtId="0" fontId="60" fillId="0" borderId="31" xfId="4" applyFont="1" applyBorder="1" applyAlignment="1">
      <alignment horizontal="center"/>
    </xf>
    <xf numFmtId="0" fontId="60" fillId="0" borderId="30" xfId="4" applyFont="1" applyBorder="1" applyAlignment="1">
      <alignment horizontal="center"/>
    </xf>
    <xf numFmtId="0" fontId="55" fillId="0" borderId="19" xfId="4" applyFont="1" applyBorder="1" applyAlignment="1">
      <alignment horizontal="center"/>
    </xf>
    <xf numFmtId="0" fontId="55" fillId="0" borderId="0" xfId="4" applyFont="1" applyBorder="1" applyAlignment="1">
      <alignment horizontal="center"/>
    </xf>
    <xf numFmtId="0" fontId="55" fillId="0" borderId="20" xfId="4" applyFont="1" applyBorder="1" applyAlignment="1">
      <alignment horizontal="center"/>
    </xf>
    <xf numFmtId="0" fontId="56" fillId="0" borderId="19" xfId="4" applyFont="1" applyBorder="1" applyAlignment="1">
      <alignment horizontal="center" vertical="center"/>
    </xf>
    <xf numFmtId="0" fontId="56" fillId="0" borderId="0" xfId="4" applyFont="1" applyBorder="1" applyAlignment="1">
      <alignment horizontal="center" vertical="center"/>
    </xf>
    <xf numFmtId="0" fontId="56" fillId="0" borderId="20" xfId="4" applyFont="1" applyBorder="1" applyAlignment="1">
      <alignment horizontal="center" vertical="center"/>
    </xf>
    <xf numFmtId="0" fontId="59" fillId="0" borderId="19" xfId="4" applyFont="1" applyBorder="1" applyAlignment="1">
      <alignment horizontal="center" vertical="center"/>
    </xf>
    <xf numFmtId="0" fontId="59" fillId="0" borderId="0" xfId="4" applyFont="1" applyBorder="1" applyAlignment="1">
      <alignment horizontal="center" vertical="center"/>
    </xf>
    <xf numFmtId="0" fontId="59" fillId="0" borderId="20" xfId="4" applyFont="1" applyBorder="1" applyAlignment="1">
      <alignment horizontal="center" vertical="center"/>
    </xf>
    <xf numFmtId="0" fontId="10" fillId="4" borderId="14" xfId="2" applyFill="1" applyBorder="1" applyAlignment="1">
      <alignment horizontal="center" vertical="center"/>
    </xf>
    <xf numFmtId="0" fontId="10" fillId="4" borderId="15" xfId="2" applyFill="1" applyBorder="1" applyAlignment="1">
      <alignment horizontal="center" vertical="center"/>
    </xf>
    <xf numFmtId="0" fontId="10" fillId="4" borderId="22" xfId="2" applyFill="1" applyBorder="1" applyAlignment="1">
      <alignment horizontal="center" vertical="center"/>
    </xf>
    <xf numFmtId="0" fontId="10" fillId="4" borderId="23" xfId="2" applyFill="1" applyBorder="1" applyAlignment="1">
      <alignment horizontal="center" vertical="center"/>
    </xf>
    <xf numFmtId="0" fontId="6" fillId="4" borderId="28" xfId="2" applyFont="1" applyFill="1" applyBorder="1" applyAlignment="1">
      <alignment horizontal="center" vertical="center"/>
    </xf>
    <xf numFmtId="0" fontId="10" fillId="4" borderId="31" xfId="2" applyFill="1" applyBorder="1" applyAlignment="1">
      <alignment horizontal="center" vertical="center"/>
    </xf>
    <xf numFmtId="0" fontId="10" fillId="4" borderId="30" xfId="2" applyFill="1" applyBorder="1" applyAlignment="1">
      <alignment horizontal="center" vertical="center"/>
    </xf>
    <xf numFmtId="0" fontId="50" fillId="4" borderId="28" xfId="2" applyFont="1" applyFill="1" applyBorder="1" applyAlignment="1">
      <alignment horizontal="left" vertical="center"/>
    </xf>
    <xf numFmtId="0" fontId="50" fillId="4" borderId="30" xfId="2" applyFont="1" applyFill="1" applyBorder="1" applyAlignment="1">
      <alignment horizontal="left" vertical="center"/>
    </xf>
    <xf numFmtId="14" fontId="10" fillId="4" borderId="28" xfId="2" applyNumberFormat="1" applyFill="1" applyBorder="1" applyAlignment="1">
      <alignment horizontal="right" vertical="center"/>
    </xf>
    <xf numFmtId="14" fontId="10" fillId="4" borderId="30" xfId="2" applyNumberFormat="1" applyFill="1" applyBorder="1" applyAlignment="1">
      <alignment horizontal="right" vertical="center"/>
    </xf>
    <xf numFmtId="14" fontId="10" fillId="4" borderId="28" xfId="2" applyNumberFormat="1" applyFill="1" applyBorder="1" applyAlignment="1">
      <alignment horizontal="center" vertical="center"/>
    </xf>
    <xf numFmtId="0" fontId="10" fillId="4" borderId="28" xfId="2" applyFill="1" applyBorder="1" applyAlignment="1">
      <alignment horizontal="left" vertical="center"/>
    </xf>
    <xf numFmtId="0" fontId="10" fillId="4" borderId="30" xfId="2" applyFill="1" applyBorder="1" applyAlignment="1">
      <alignment horizontal="left" vertical="center"/>
    </xf>
    <xf numFmtId="0" fontId="6" fillId="4" borderId="0" xfId="2" applyFont="1" applyFill="1" applyAlignment="1">
      <alignment horizontal="center" vertical="center"/>
    </xf>
    <xf numFmtId="0" fontId="10" fillId="4" borderId="0" xfId="2" applyFill="1" applyAlignment="1">
      <alignment horizontal="center" vertical="center"/>
    </xf>
    <xf numFmtId="0" fontId="10" fillId="4" borderId="27" xfId="2" applyFill="1" applyBorder="1" applyAlignment="1">
      <alignment horizontal="left" vertical="center"/>
    </xf>
    <xf numFmtId="0" fontId="6" fillId="4" borderId="27" xfId="2" applyFont="1" applyFill="1" applyBorder="1" applyAlignment="1">
      <alignment horizontal="right" vertical="center"/>
    </xf>
    <xf numFmtId="0" fontId="10" fillId="4" borderId="27" xfId="2" applyFill="1" applyBorder="1" applyAlignment="1">
      <alignment horizontal="right" vertical="center"/>
    </xf>
    <xf numFmtId="0" fontId="10" fillId="4" borderId="28" xfId="2" applyFill="1" applyBorder="1" applyAlignment="1">
      <alignment horizontal="center" vertical="center"/>
    </xf>
    <xf numFmtId="49" fontId="4" fillId="4" borderId="28" xfId="2" applyNumberFormat="1" applyFont="1" applyFill="1" applyBorder="1" applyAlignment="1">
      <alignment horizontal="center" vertical="center"/>
    </xf>
    <xf numFmtId="49" fontId="10" fillId="4" borderId="31" xfId="2" applyNumberFormat="1" applyFill="1" applyBorder="1" applyAlignment="1">
      <alignment horizontal="center" vertical="center"/>
    </xf>
    <xf numFmtId="49" fontId="10" fillId="4" borderId="30" xfId="2" applyNumberFormat="1" applyFill="1" applyBorder="1" applyAlignment="1">
      <alignment horizontal="center" vertical="center"/>
    </xf>
    <xf numFmtId="0" fontId="6" fillId="4" borderId="28" xfId="2" applyFont="1" applyFill="1" applyBorder="1" applyAlignment="1">
      <alignment horizontal="left" vertical="center"/>
    </xf>
    <xf numFmtId="0" fontId="80" fillId="4" borderId="28" xfId="2" applyFont="1" applyFill="1" applyBorder="1" applyAlignment="1">
      <alignment horizontal="right" vertical="center"/>
    </xf>
    <xf numFmtId="0" fontId="80" fillId="4" borderId="30" xfId="2" applyFont="1" applyFill="1" applyBorder="1" applyAlignment="1">
      <alignment horizontal="right" vertical="center"/>
    </xf>
    <xf numFmtId="0" fontId="50" fillId="4" borderId="28" xfId="2" applyFont="1" applyFill="1" applyBorder="1" applyAlignment="1">
      <alignment horizontal="left" vertical="center" wrapText="1"/>
    </xf>
    <xf numFmtId="0" fontId="50" fillId="4" borderId="31" xfId="2" applyFont="1" applyFill="1" applyBorder="1" applyAlignment="1">
      <alignment horizontal="left" vertical="center" wrapText="1"/>
    </xf>
    <xf numFmtId="0" fontId="50" fillId="4" borderId="30" xfId="2" applyFont="1" applyFill="1" applyBorder="1" applyAlignment="1">
      <alignment horizontal="left" vertical="center" wrapText="1"/>
    </xf>
    <xf numFmtId="0" fontId="2" fillId="4" borderId="0" xfId="2" applyFont="1" applyFill="1" applyAlignment="1">
      <alignment horizontal="center" vertical="center"/>
    </xf>
    <xf numFmtId="164" fontId="43" fillId="4" borderId="0" xfId="1" applyFont="1" applyFill="1" applyAlignment="1" applyProtection="1">
      <alignment horizontal="center" vertical="center" wrapText="1"/>
      <protection locked="0" hidden="1"/>
    </xf>
    <xf numFmtId="2" fontId="43" fillId="4" borderId="0" xfId="1" applyNumberFormat="1" applyFont="1" applyFill="1" applyAlignment="1" applyProtection="1">
      <alignment horizontal="center" vertical="center" wrapText="1"/>
      <protection locked="0" hidden="1"/>
    </xf>
    <xf numFmtId="164" fontId="43" fillId="4" borderId="12" xfId="1" applyFont="1" applyFill="1" applyBorder="1" applyAlignment="1" applyProtection="1">
      <alignment horizontal="center" vertical="center" wrapText="1"/>
      <protection locked="0" hidden="1"/>
    </xf>
    <xf numFmtId="2" fontId="43" fillId="4" borderId="12" xfId="1" applyNumberFormat="1" applyFont="1" applyFill="1" applyBorder="1" applyAlignment="1" applyProtection="1">
      <alignment horizontal="center" vertical="center" wrapText="1"/>
      <protection locked="0" hidden="1"/>
    </xf>
    <xf numFmtId="0" fontId="34" fillId="4" borderId="0" xfId="0" applyFont="1" applyFill="1" applyAlignment="1" applyProtection="1">
      <alignment horizontal="left" vertical="center" wrapText="1"/>
      <protection locked="0" hidden="1"/>
    </xf>
    <xf numFmtId="0" fontId="34" fillId="4" borderId="0" xfId="0" applyFont="1" applyFill="1" applyAlignment="1" applyProtection="1">
      <alignment horizontal="center" vertical="center" wrapText="1"/>
      <protection hidden="1"/>
    </xf>
    <xf numFmtId="164" fontId="43" fillId="4" borderId="12" xfId="1" applyFont="1" applyFill="1" applyBorder="1" applyAlignment="1" applyProtection="1">
      <alignment horizontal="left" vertical="center" wrapText="1"/>
      <protection locked="0" hidden="1"/>
    </xf>
    <xf numFmtId="164" fontId="53" fillId="4" borderId="12" xfId="1" applyFont="1" applyFill="1" applyBorder="1" applyAlignment="1" applyProtection="1">
      <alignment horizontal="center" vertical="center" wrapText="1"/>
      <protection locked="0" hidden="1"/>
    </xf>
    <xf numFmtId="164" fontId="35" fillId="4" borderId="12" xfId="1" applyFont="1" applyFill="1" applyBorder="1" applyAlignment="1" applyProtection="1">
      <alignment horizontal="center" vertical="center" wrapText="1"/>
      <protection locked="0" hidden="1"/>
    </xf>
    <xf numFmtId="164" fontId="35" fillId="4" borderId="0" xfId="1" applyFont="1" applyFill="1" applyAlignment="1" applyProtection="1">
      <alignment horizontal="left" vertical="center" wrapText="1"/>
      <protection locked="0" hidden="1"/>
    </xf>
    <xf numFmtId="164" fontId="35" fillId="4" borderId="0" xfId="1" applyFont="1" applyFill="1" applyAlignment="1" applyProtection="1">
      <alignment horizontal="center" vertical="center" wrapText="1"/>
      <protection locked="0" hidden="1"/>
    </xf>
    <xf numFmtId="0" fontId="56" fillId="0" borderId="17" xfId="4" applyFont="1" applyBorder="1" applyAlignment="1">
      <alignment vertical="center"/>
    </xf>
    <xf numFmtId="0" fontId="56" fillId="0" borderId="2" xfId="4" applyFont="1" applyBorder="1" applyAlignment="1">
      <alignment vertical="center"/>
    </xf>
    <xf numFmtId="0" fontId="56" fillId="0" borderId="18" xfId="4" applyFont="1" applyBorder="1" applyAlignment="1">
      <alignment vertical="center"/>
    </xf>
    <xf numFmtId="0" fontId="56" fillId="0" borderId="21" xfId="4" applyFont="1" applyBorder="1" applyAlignment="1">
      <alignment vertical="center"/>
    </xf>
    <xf numFmtId="0" fontId="56" fillId="0" borderId="22" xfId="4" applyFont="1" applyBorder="1" applyAlignment="1">
      <alignment vertical="center"/>
    </xf>
    <xf numFmtId="0" fontId="56" fillId="0" borderId="23" xfId="4" applyFont="1" applyBorder="1" applyAlignment="1">
      <alignment vertical="center"/>
    </xf>
    <xf numFmtId="0" fontId="56" fillId="0" borderId="17" xfId="4" applyFont="1" applyBorder="1" applyAlignment="1">
      <alignment horizontal="left" vertical="center"/>
    </xf>
    <xf numFmtId="0" fontId="56" fillId="0" borderId="2" xfId="4" applyFont="1" applyBorder="1" applyAlignment="1">
      <alignment horizontal="left" vertical="center"/>
    </xf>
    <xf numFmtId="0" fontId="56" fillId="0" borderId="18" xfId="4" applyFont="1" applyBorder="1" applyAlignment="1">
      <alignment horizontal="left" vertical="center"/>
    </xf>
    <xf numFmtId="0" fontId="56" fillId="0" borderId="21" xfId="4" applyFont="1" applyBorder="1" applyAlignment="1">
      <alignment horizontal="left" vertical="center"/>
    </xf>
    <xf numFmtId="0" fontId="56" fillId="0" borderId="22" xfId="4" applyFont="1" applyBorder="1" applyAlignment="1">
      <alignment horizontal="left" vertical="center"/>
    </xf>
    <xf numFmtId="0" fontId="56" fillId="0" borderId="23" xfId="4" applyFont="1" applyBorder="1" applyAlignment="1">
      <alignment horizontal="left" vertical="center"/>
    </xf>
    <xf numFmtId="4" fontId="56" fillId="0" borderId="17" xfId="4" applyNumberFormat="1" applyFont="1" applyBorder="1" applyAlignment="1">
      <alignment horizontal="left" vertical="center"/>
    </xf>
    <xf numFmtId="4" fontId="56" fillId="0" borderId="2" xfId="4" applyNumberFormat="1" applyFont="1" applyBorder="1" applyAlignment="1">
      <alignment horizontal="left" vertical="center"/>
    </xf>
    <xf numFmtId="4" fontId="56" fillId="0" borderId="18" xfId="4" applyNumberFormat="1" applyFont="1" applyBorder="1" applyAlignment="1">
      <alignment horizontal="left" vertical="center"/>
    </xf>
    <xf numFmtId="4" fontId="56" fillId="0" borderId="21" xfId="4" applyNumberFormat="1" applyFont="1" applyBorder="1" applyAlignment="1">
      <alignment horizontal="left" vertical="center"/>
    </xf>
    <xf numFmtId="4" fontId="56" fillId="0" borderId="22" xfId="4" applyNumberFormat="1" applyFont="1" applyBorder="1" applyAlignment="1">
      <alignment horizontal="left" vertical="center"/>
    </xf>
    <xf numFmtId="4" fontId="56" fillId="0" borderId="23" xfId="4" applyNumberFormat="1" applyFont="1" applyBorder="1" applyAlignment="1">
      <alignment horizontal="left" vertical="center"/>
    </xf>
    <xf numFmtId="14" fontId="56" fillId="0" borderId="17" xfId="4" applyNumberFormat="1" applyFont="1" applyBorder="1" applyAlignment="1">
      <alignment horizontal="center" vertical="center"/>
    </xf>
    <xf numFmtId="14" fontId="56" fillId="0" borderId="21" xfId="4" applyNumberFormat="1" applyFont="1" applyBorder="1" applyAlignment="1">
      <alignment horizontal="center" vertical="center"/>
    </xf>
    <xf numFmtId="14" fontId="56" fillId="0" borderId="2" xfId="4" applyNumberFormat="1" applyFont="1" applyBorder="1" applyAlignment="1">
      <alignment horizontal="center" vertical="center"/>
    </xf>
    <xf numFmtId="14" fontId="56" fillId="0" borderId="22" xfId="4" applyNumberFormat="1" applyFont="1" applyBorder="1" applyAlignment="1">
      <alignment horizontal="center" vertical="center"/>
    </xf>
    <xf numFmtId="0" fontId="55" fillId="0" borderId="0" xfId="4" applyFont="1" applyAlignment="1">
      <alignment horizontal="center" vertical="center"/>
    </xf>
    <xf numFmtId="0" fontId="56" fillId="0" borderId="17" xfId="4" applyFont="1" applyBorder="1" applyAlignment="1">
      <alignment horizontal="center" vertical="center"/>
    </xf>
    <xf numFmtId="0" fontId="56" fillId="0" borderId="2" xfId="4" applyFont="1" applyBorder="1" applyAlignment="1">
      <alignment horizontal="center" vertical="center"/>
    </xf>
    <xf numFmtId="0" fontId="56" fillId="0" borderId="18" xfId="4" applyFont="1" applyBorder="1" applyAlignment="1">
      <alignment horizontal="center" vertical="center"/>
    </xf>
    <xf numFmtId="0" fontId="56" fillId="0" borderId="21" xfId="4" applyFont="1" applyBorder="1" applyAlignment="1">
      <alignment horizontal="center" vertical="center"/>
    </xf>
    <xf numFmtId="0" fontId="56" fillId="0" borderId="22" xfId="4" applyFont="1" applyBorder="1" applyAlignment="1">
      <alignment horizontal="center" vertical="center"/>
    </xf>
    <xf numFmtId="0" fontId="56" fillId="0" borderId="23" xfId="4" applyFont="1" applyBorder="1" applyAlignment="1">
      <alignment horizontal="center" vertical="center"/>
    </xf>
    <xf numFmtId="174" fontId="56" fillId="0" borderId="2" xfId="4" applyNumberFormat="1" applyFont="1" applyBorder="1" applyAlignment="1">
      <alignment horizontal="left" vertical="center"/>
    </xf>
    <xf numFmtId="174" fontId="56" fillId="0" borderId="18" xfId="4" applyNumberFormat="1" applyFont="1" applyBorder="1" applyAlignment="1">
      <alignment horizontal="left" vertical="center"/>
    </xf>
    <xf numFmtId="174" fontId="56" fillId="0" borderId="22" xfId="4" applyNumberFormat="1" applyFont="1" applyBorder="1" applyAlignment="1">
      <alignment horizontal="left" vertical="center"/>
    </xf>
    <xf numFmtId="174" fontId="56" fillId="0" borderId="23" xfId="4" applyNumberFormat="1" applyFont="1" applyBorder="1" applyAlignment="1">
      <alignment horizontal="left" vertical="center"/>
    </xf>
    <xf numFmtId="0" fontId="56" fillId="0" borderId="19" xfId="11" applyFont="1" applyBorder="1" applyAlignment="1">
      <alignment horizontal="left" vertical="center"/>
    </xf>
    <xf numFmtId="0" fontId="56" fillId="0" borderId="0" xfId="11" applyFont="1" applyBorder="1" applyAlignment="1">
      <alignment horizontal="left" vertical="center"/>
    </xf>
    <xf numFmtId="0" fontId="59" fillId="0" borderId="0" xfId="11" applyFont="1" applyBorder="1" applyAlignment="1">
      <alignment horizontal="center"/>
    </xf>
    <xf numFmtId="0" fontId="59" fillId="0" borderId="20" xfId="11" applyFont="1" applyBorder="1" applyAlignment="1">
      <alignment horizontal="center"/>
    </xf>
    <xf numFmtId="0" fontId="56" fillId="0" borderId="0" xfId="11" applyFont="1" applyBorder="1" applyAlignment="1">
      <alignment horizontal="center"/>
    </xf>
    <xf numFmtId="0" fontId="59" fillId="0" borderId="19" xfId="11" applyFont="1" applyBorder="1" applyAlignment="1">
      <alignment horizontal="center"/>
    </xf>
    <xf numFmtId="0" fontId="56" fillId="0" borderId="19" xfId="11" applyFont="1" applyBorder="1" applyAlignment="1">
      <alignment horizontal="center"/>
    </xf>
    <xf numFmtId="0" fontId="56" fillId="0" borderId="0" xfId="4" applyFont="1" applyAlignment="1">
      <alignment horizontal="left" vertical="center"/>
    </xf>
    <xf numFmtId="0" fontId="56" fillId="0" borderId="20" xfId="4" applyFont="1" applyBorder="1" applyAlignment="1">
      <alignment horizontal="left" vertical="center"/>
    </xf>
    <xf numFmtId="0" fontId="57" fillId="0" borderId="41" xfId="11" applyFont="1" applyBorder="1" applyAlignment="1">
      <alignment horizontal="center"/>
    </xf>
    <xf numFmtId="0" fontId="57" fillId="0" borderId="44" xfId="11" applyFont="1" applyBorder="1" applyAlignment="1">
      <alignment horizontal="center"/>
    </xf>
    <xf numFmtId="0" fontId="57" fillId="0" borderId="42" xfId="11" applyFont="1" applyBorder="1" applyAlignment="1">
      <alignment horizontal="center"/>
    </xf>
    <xf numFmtId="0" fontId="56" fillId="0" borderId="24" xfId="4" applyFont="1" applyBorder="1" applyAlignment="1">
      <alignment horizontal="left" vertical="center" wrapText="1"/>
    </xf>
    <xf numFmtId="0" fontId="56" fillId="0" borderId="27" xfId="4" applyFont="1" applyBorder="1" applyAlignment="1">
      <alignment horizontal="left" vertical="center" wrapText="1"/>
    </xf>
    <xf numFmtId="0" fontId="59" fillId="0" borderId="19" xfId="11" applyFont="1" applyBorder="1" applyAlignment="1">
      <alignment horizontal="left" vertical="center" wrapText="1"/>
    </xf>
    <xf numFmtId="0" fontId="59" fillId="0" borderId="0" xfId="11" applyFont="1" applyBorder="1" applyAlignment="1">
      <alignment horizontal="left" vertical="center" wrapText="1"/>
    </xf>
    <xf numFmtId="0" fontId="55" fillId="0" borderId="19" xfId="11" applyFont="1" applyBorder="1" applyAlignment="1">
      <alignment horizontal="center"/>
    </xf>
    <xf numFmtId="0" fontId="55" fillId="0" borderId="0" xfId="11" applyFont="1" applyBorder="1" applyAlignment="1">
      <alignment horizontal="center"/>
    </xf>
    <xf numFmtId="0" fontId="56" fillId="0" borderId="0" xfId="11" applyFont="1" applyBorder="1" applyAlignment="1">
      <alignment horizontal="left"/>
    </xf>
    <xf numFmtId="0" fontId="56" fillId="0" borderId="1" xfId="4" applyFont="1" applyBorder="1" applyAlignment="1">
      <alignment horizontal="center" vertical="center" wrapText="1"/>
    </xf>
    <xf numFmtId="0" fontId="73" fillId="0" borderId="17" xfId="4" applyFont="1" applyBorder="1" applyAlignment="1">
      <alignment vertical="center"/>
    </xf>
    <xf numFmtId="0" fontId="73" fillId="0" borderId="2" xfId="4" applyFont="1" applyBorder="1" applyAlignment="1">
      <alignment vertical="center"/>
    </xf>
    <xf numFmtId="0" fontId="73" fillId="0" borderId="18" xfId="4" applyFont="1" applyBorder="1" applyAlignment="1">
      <alignment vertical="center"/>
    </xf>
    <xf numFmtId="0" fontId="73" fillId="0" borderId="21" xfId="4" applyFont="1" applyBorder="1" applyAlignment="1">
      <alignment vertical="center"/>
    </xf>
    <xf numFmtId="0" fontId="73" fillId="0" borderId="22" xfId="4" applyFont="1" applyBorder="1" applyAlignment="1">
      <alignment vertical="center"/>
    </xf>
    <xf numFmtId="0" fontId="73" fillId="0" borderId="23" xfId="4" applyFont="1" applyBorder="1" applyAlignment="1">
      <alignment vertical="center"/>
    </xf>
    <xf numFmtId="0" fontId="73" fillId="0" borderId="0" xfId="4" applyFont="1" applyAlignment="1">
      <alignment horizontal="left" vertical="center"/>
    </xf>
    <xf numFmtId="0" fontId="73" fillId="0" borderId="20" xfId="4" applyFont="1" applyBorder="1" applyAlignment="1">
      <alignment horizontal="left" vertical="center"/>
    </xf>
    <xf numFmtId="4" fontId="73" fillId="0" borderId="17" xfId="4" applyNumberFormat="1" applyFont="1" applyBorder="1" applyAlignment="1">
      <alignment horizontal="left" vertical="center"/>
    </xf>
    <xf numFmtId="4" fontId="73" fillId="0" borderId="2" xfId="4" applyNumberFormat="1" applyFont="1" applyBorder="1" applyAlignment="1">
      <alignment horizontal="left" vertical="center"/>
    </xf>
    <xf numFmtId="4" fontId="73" fillId="0" borderId="18" xfId="4" applyNumberFormat="1" applyFont="1" applyBorder="1" applyAlignment="1">
      <alignment horizontal="left" vertical="center"/>
    </xf>
    <xf numFmtId="4" fontId="73" fillId="0" borderId="21" xfId="4" applyNumberFormat="1" applyFont="1" applyBorder="1" applyAlignment="1">
      <alignment horizontal="left" vertical="center"/>
    </xf>
    <xf numFmtId="4" fontId="73" fillId="0" borderId="22" xfId="4" applyNumberFormat="1" applyFont="1" applyBorder="1" applyAlignment="1">
      <alignment horizontal="left" vertical="center"/>
    </xf>
    <xf numFmtId="4" fontId="73" fillId="0" borderId="23" xfId="4" applyNumberFormat="1" applyFont="1" applyBorder="1" applyAlignment="1">
      <alignment horizontal="left" vertical="center"/>
    </xf>
    <xf numFmtId="14" fontId="73" fillId="0" borderId="17" xfId="4" applyNumberFormat="1" applyFont="1" applyBorder="1" applyAlignment="1">
      <alignment horizontal="center" vertical="center"/>
    </xf>
    <xf numFmtId="14" fontId="73" fillId="0" borderId="21" xfId="4" applyNumberFormat="1" applyFont="1" applyBorder="1" applyAlignment="1">
      <alignment horizontal="center" vertical="center"/>
    </xf>
    <xf numFmtId="14" fontId="73" fillId="0" borderId="2" xfId="4" applyNumberFormat="1" applyFont="1" applyBorder="1" applyAlignment="1">
      <alignment horizontal="center" vertical="center"/>
    </xf>
    <xf numFmtId="14" fontId="73" fillId="0" borderId="22" xfId="4" applyNumberFormat="1" applyFont="1" applyBorder="1" applyAlignment="1">
      <alignment horizontal="center" vertical="center"/>
    </xf>
    <xf numFmtId="0" fontId="73" fillId="0" borderId="2" xfId="4" applyFont="1" applyBorder="1" applyAlignment="1">
      <alignment horizontal="center" vertical="center"/>
    </xf>
    <xf numFmtId="0" fontId="73" fillId="0" borderId="22" xfId="4" applyFont="1" applyBorder="1" applyAlignment="1">
      <alignment horizontal="center" vertical="center"/>
    </xf>
    <xf numFmtId="174" fontId="73" fillId="0" borderId="2" xfId="4" applyNumberFormat="1" applyFont="1" applyBorder="1" applyAlignment="1">
      <alignment horizontal="left" vertical="center"/>
    </xf>
    <xf numFmtId="174" fontId="73" fillId="0" borderId="18" xfId="4" applyNumberFormat="1" applyFont="1" applyBorder="1" applyAlignment="1">
      <alignment horizontal="left" vertical="center"/>
    </xf>
    <xf numFmtId="174" fontId="73" fillId="0" borderId="22" xfId="4" applyNumberFormat="1" applyFont="1" applyBorder="1" applyAlignment="1">
      <alignment horizontal="left" vertical="center"/>
    </xf>
    <xf numFmtId="174" fontId="73" fillId="0" borderId="23" xfId="4" applyNumberFormat="1" applyFont="1" applyBorder="1" applyAlignment="1">
      <alignment horizontal="left" vertical="center"/>
    </xf>
    <xf numFmtId="0" fontId="57" fillId="0" borderId="36" xfId="11" applyFont="1" applyBorder="1" applyAlignment="1">
      <alignment horizontal="center"/>
    </xf>
    <xf numFmtId="0" fontId="57" fillId="0" borderId="37" xfId="11" applyFont="1" applyBorder="1" applyAlignment="1">
      <alignment horizontal="center"/>
    </xf>
    <xf numFmtId="0" fontId="73" fillId="0" borderId="17" xfId="4" applyFont="1" applyBorder="1" applyAlignment="1">
      <alignment horizontal="left" vertical="center"/>
    </xf>
    <xf numFmtId="0" fontId="73" fillId="0" borderId="2" xfId="4" applyFont="1" applyBorder="1" applyAlignment="1">
      <alignment horizontal="left" vertical="center"/>
    </xf>
    <xf numFmtId="0" fontId="73" fillId="0" borderId="18" xfId="4" applyFont="1" applyBorder="1" applyAlignment="1">
      <alignment horizontal="left" vertical="center"/>
    </xf>
    <xf numFmtId="0" fontId="73" fillId="0" borderId="21" xfId="4" applyFont="1" applyBorder="1" applyAlignment="1">
      <alignment horizontal="left" vertical="center"/>
    </xf>
    <xf numFmtId="0" fontId="73" fillId="0" borderId="22" xfId="4" applyFont="1" applyBorder="1" applyAlignment="1">
      <alignment horizontal="left" vertical="center"/>
    </xf>
    <xf numFmtId="0" fontId="73" fillId="0" borderId="23" xfId="4" applyFont="1" applyBorder="1" applyAlignment="1">
      <alignment horizontal="left" vertical="center"/>
    </xf>
    <xf numFmtId="0" fontId="74" fillId="0" borderId="0" xfId="4" applyFont="1" applyAlignment="1">
      <alignment horizontal="center" vertical="center"/>
    </xf>
    <xf numFmtId="0" fontId="73" fillId="0" borderId="17" xfId="4" applyFont="1" applyBorder="1" applyAlignment="1">
      <alignment horizontal="center" vertical="center"/>
    </xf>
    <xf numFmtId="0" fontId="73" fillId="0" borderId="18" xfId="4" applyFont="1" applyBorder="1" applyAlignment="1">
      <alignment horizontal="center" vertical="center"/>
    </xf>
    <xf numFmtId="0" fontId="73" fillId="0" borderId="21" xfId="4" applyFont="1" applyBorder="1" applyAlignment="1">
      <alignment horizontal="center" vertical="center"/>
    </xf>
    <xf numFmtId="0" fontId="73" fillId="0" borderId="23" xfId="4" applyFont="1" applyBorder="1" applyAlignment="1">
      <alignment horizontal="center" vertical="center"/>
    </xf>
    <xf numFmtId="0" fontId="68" fillId="0" borderId="35" xfId="4" applyFont="1" applyBorder="1" applyAlignment="1">
      <alignment horizontal="left" vertical="top" wrapText="1"/>
    </xf>
    <xf numFmtId="0" fontId="68" fillId="0" borderId="36" xfId="4" applyFont="1" applyBorder="1" applyAlignment="1">
      <alignment horizontal="left" vertical="top" wrapText="1"/>
    </xf>
    <xf numFmtId="0" fontId="68" fillId="0" borderId="37" xfId="4" applyFont="1" applyBorder="1" applyAlignment="1">
      <alignment horizontal="left" vertical="top" wrapText="1"/>
    </xf>
    <xf numFmtId="0" fontId="68" fillId="0" borderId="19" xfId="4" applyFont="1" applyBorder="1" applyAlignment="1">
      <alignment horizontal="left" vertical="top" wrapText="1"/>
    </xf>
    <xf numFmtId="0" fontId="68" fillId="0" borderId="0" xfId="4" applyFont="1" applyAlignment="1">
      <alignment horizontal="left" vertical="top" wrapText="1"/>
    </xf>
    <xf numFmtId="0" fontId="68" fillId="0" borderId="20" xfId="4" applyFont="1" applyBorder="1" applyAlignment="1">
      <alignment horizontal="left" vertical="top" wrapText="1"/>
    </xf>
    <xf numFmtId="0" fontId="68" fillId="0" borderId="21" xfId="4" applyFont="1" applyBorder="1" applyAlignment="1">
      <alignment horizontal="left" vertical="top" wrapText="1"/>
    </xf>
    <xf numFmtId="0" fontId="68" fillId="0" borderId="22" xfId="4" applyFont="1" applyBorder="1" applyAlignment="1">
      <alignment horizontal="left" vertical="top" wrapText="1"/>
    </xf>
    <xf numFmtId="0" fontId="68" fillId="0" borderId="23" xfId="4" applyFont="1" applyBorder="1" applyAlignment="1">
      <alignment horizontal="left" vertical="top" wrapText="1"/>
    </xf>
    <xf numFmtId="0" fontId="75" fillId="0" borderId="28" xfId="0" applyFont="1" applyBorder="1" applyAlignment="1">
      <alignment horizontal="center"/>
    </xf>
    <xf numFmtId="0" fontId="75" fillId="0" borderId="31" xfId="0" applyFont="1" applyBorder="1" applyAlignment="1">
      <alignment horizontal="center"/>
    </xf>
    <xf numFmtId="0" fontId="94" fillId="0" borderId="41" xfId="2" applyFont="1" applyFill="1" applyBorder="1" applyAlignment="1">
      <alignment horizontal="center" vertical="center" wrapText="1"/>
    </xf>
    <xf numFmtId="0" fontId="94" fillId="0" borderId="44" xfId="2" applyFont="1" applyFill="1" applyBorder="1" applyAlignment="1">
      <alignment horizontal="center" vertical="center" wrapText="1"/>
    </xf>
    <xf numFmtId="0" fontId="94" fillId="0" borderId="42" xfId="2" applyFont="1" applyFill="1" applyBorder="1" applyAlignment="1">
      <alignment horizontal="center" vertical="center" wrapText="1"/>
    </xf>
    <xf numFmtId="0" fontId="94" fillId="0" borderId="19" xfId="2" applyFont="1" applyFill="1" applyBorder="1" applyAlignment="1">
      <alignment horizontal="center" vertical="center" wrapText="1"/>
    </xf>
    <xf numFmtId="0" fontId="94" fillId="0" borderId="0" xfId="2" applyFont="1" applyFill="1" applyBorder="1" applyAlignment="1">
      <alignment horizontal="center" vertical="center" wrapText="1"/>
    </xf>
    <xf numFmtId="0" fontId="94" fillId="0" borderId="20" xfId="2" applyFont="1" applyFill="1" applyBorder="1" applyAlignment="1">
      <alignment horizontal="center" vertical="center" wrapText="1"/>
    </xf>
    <xf numFmtId="0" fontId="94" fillId="0" borderId="21" xfId="2" applyFont="1" applyFill="1" applyBorder="1" applyAlignment="1">
      <alignment horizontal="center" vertical="center" wrapText="1"/>
    </xf>
    <xf numFmtId="0" fontId="94" fillId="0" borderId="22" xfId="2" applyFont="1" applyFill="1" applyBorder="1" applyAlignment="1">
      <alignment horizontal="center" vertical="center" wrapText="1"/>
    </xf>
    <xf numFmtId="0" fontId="94" fillId="0" borderId="23" xfId="2" applyFont="1" applyFill="1" applyBorder="1" applyAlignment="1">
      <alignment horizontal="center" vertical="center" wrapText="1"/>
    </xf>
    <xf numFmtId="0" fontId="95" fillId="7" borderId="41" xfId="2" applyFont="1" applyFill="1" applyBorder="1" applyAlignment="1">
      <alignment horizontal="center" vertical="center"/>
    </xf>
    <xf numFmtId="0" fontId="95" fillId="7" borderId="44" xfId="2" applyFont="1" applyFill="1" applyBorder="1" applyAlignment="1">
      <alignment horizontal="center" vertical="center"/>
    </xf>
    <xf numFmtId="0" fontId="95" fillId="7" borderId="42" xfId="2" applyFont="1" applyFill="1" applyBorder="1" applyAlignment="1">
      <alignment horizontal="center" vertical="center"/>
    </xf>
    <xf numFmtId="0" fontId="95" fillId="7" borderId="19" xfId="2" applyFont="1" applyFill="1" applyBorder="1" applyAlignment="1">
      <alignment horizontal="center" vertical="center"/>
    </xf>
    <xf numFmtId="0" fontId="95" fillId="7" borderId="0" xfId="2" applyFont="1" applyFill="1" applyAlignment="1">
      <alignment horizontal="center" vertical="center"/>
    </xf>
    <xf numFmtId="0" fontId="95" fillId="7" borderId="20" xfId="2" applyFont="1" applyFill="1" applyBorder="1" applyAlignment="1">
      <alignment horizontal="center" vertical="center"/>
    </xf>
    <xf numFmtId="0" fontId="95" fillId="7" borderId="21" xfId="2" applyFont="1" applyFill="1" applyBorder="1" applyAlignment="1">
      <alignment horizontal="center" vertical="center"/>
    </xf>
    <xf numFmtId="0" fontId="95" fillId="7" borderId="22" xfId="2" applyFont="1" applyFill="1" applyBorder="1" applyAlignment="1">
      <alignment horizontal="center" vertical="center"/>
    </xf>
    <xf numFmtId="0" fontId="95" fillId="7" borderId="23" xfId="2" applyFont="1" applyFill="1" applyBorder="1" applyAlignment="1">
      <alignment horizontal="center" vertical="center"/>
    </xf>
    <xf numFmtId="0" fontId="1" fillId="4" borderId="0" xfId="2" applyFont="1" applyFill="1" applyAlignment="1">
      <alignment horizontal="center" vertical="center"/>
    </xf>
    <xf numFmtId="169" fontId="96" fillId="7" borderId="7" xfId="1" applyNumberFormat="1" applyFont="1" applyFill="1" applyBorder="1" applyAlignment="1" applyProtection="1">
      <alignment horizontal="center" vertical="center" wrapText="1"/>
      <protection hidden="1"/>
    </xf>
    <xf numFmtId="4" fontId="96" fillId="7" borderId="7" xfId="1" applyNumberFormat="1" applyFont="1" applyFill="1" applyBorder="1" applyAlignment="1" applyProtection="1">
      <alignment horizontal="center" vertical="center" wrapText="1"/>
      <protection hidden="1"/>
    </xf>
  </cellXfs>
  <cellStyles count="13">
    <cellStyle name="Normal" xfId="0" builtinId="0"/>
    <cellStyle name="Normal 2" xfId="2"/>
    <cellStyle name="Normal 2 2" xfId="3"/>
    <cellStyle name="Normal 2 3" xfId="10"/>
    <cellStyle name="Normal 3" xfId="4"/>
    <cellStyle name="Normal 3 2" xfId="9"/>
    <cellStyle name="Normal 3 3" xfId="11"/>
    <cellStyle name="Normal 4" xfId="5"/>
    <cellStyle name="Normal 5" xfId="6"/>
    <cellStyle name="Normal 6" xfId="7"/>
    <cellStyle name="Virgül" xfId="1" builtinId="3"/>
    <cellStyle name="Virgül 2" xfId="8"/>
    <cellStyle name="Virgül 3" xfId="12"/>
  </cellStyles>
  <dxfs count="26">
    <dxf>
      <fill>
        <patternFill>
          <bgColor theme="0" tint="-0.24994659260841701"/>
        </patternFill>
      </fill>
    </dxf>
    <dxf>
      <fill>
        <patternFill>
          <bgColor theme="0" tint="-0.24994659260841701"/>
        </patternFill>
      </fill>
    </dxf>
    <dxf>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theme="0" tint="-0.24994659260841701"/>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microsoft.com/office/2006/relationships/vbaProject" Target="vbaProject.bin"/><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114300</xdr:colOff>
      <xdr:row>1</xdr:row>
      <xdr:rowOff>257175</xdr:rowOff>
    </xdr:from>
    <xdr:to>
      <xdr:col>1</xdr:col>
      <xdr:colOff>1228725</xdr:colOff>
      <xdr:row>1</xdr:row>
      <xdr:rowOff>619125</xdr:rowOff>
    </xdr:to>
    <xdr:pic>
      <xdr:nvPicPr>
        <xdr:cNvPr id="22754" name="Picture 80" descr="images">
          <a:extLst>
            <a:ext uri="{FF2B5EF4-FFF2-40B4-BE49-F238E27FC236}">
              <a16:creationId xmlns:a16="http://schemas.microsoft.com/office/drawing/2014/main" id="{00000000-0008-0000-0000-0000E25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5" y="333375"/>
          <a:ext cx="1114425"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114300</xdr:colOff>
      <xdr:row>1</xdr:row>
      <xdr:rowOff>257175</xdr:rowOff>
    </xdr:from>
    <xdr:to>
      <xdr:col>1</xdr:col>
      <xdr:colOff>1228725</xdr:colOff>
      <xdr:row>1</xdr:row>
      <xdr:rowOff>619125</xdr:rowOff>
    </xdr:to>
    <xdr:pic>
      <xdr:nvPicPr>
        <xdr:cNvPr id="3" name="Picture 80" descr="images">
          <a:extLst>
            <a:ext uri="{FF2B5EF4-FFF2-40B4-BE49-F238E27FC236}">
              <a16:creationId xmlns:a16="http://schemas.microsoft.com/office/drawing/2014/main" id="{00000000-0008-0000-0000-0000E25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5" y="333375"/>
          <a:ext cx="1114425"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114300</xdr:colOff>
      <xdr:row>1</xdr:row>
      <xdr:rowOff>257175</xdr:rowOff>
    </xdr:from>
    <xdr:to>
      <xdr:col>1</xdr:col>
      <xdr:colOff>1228725</xdr:colOff>
      <xdr:row>1</xdr:row>
      <xdr:rowOff>619125</xdr:rowOff>
    </xdr:to>
    <xdr:pic>
      <xdr:nvPicPr>
        <xdr:cNvPr id="4" name="Picture 80" descr="images">
          <a:extLst>
            <a:ext uri="{FF2B5EF4-FFF2-40B4-BE49-F238E27FC236}">
              <a16:creationId xmlns:a16="http://schemas.microsoft.com/office/drawing/2014/main" id="{00000000-0008-0000-0000-0000E25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5" y="333375"/>
          <a:ext cx="1114425"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10583</xdr:colOff>
      <xdr:row>0</xdr:row>
      <xdr:rowOff>57979</xdr:rowOff>
    </xdr:from>
    <xdr:to>
      <xdr:col>2</xdr:col>
      <xdr:colOff>1209261</xdr:colOff>
      <xdr:row>0</xdr:row>
      <xdr:rowOff>427935</xdr:rowOff>
    </xdr:to>
    <xdr:sp macro="[0]!Sırala" textlink="">
      <xdr:nvSpPr>
        <xdr:cNvPr id="5" name="Yuvarlatılmış Dikdörtgen 4">
          <a:extLst>
            <a:ext uri="{FF2B5EF4-FFF2-40B4-BE49-F238E27FC236}">
              <a16:creationId xmlns:a16="http://schemas.microsoft.com/office/drawing/2014/main" id="{00000000-0008-0000-0100-000005000000}"/>
            </a:ext>
          </a:extLst>
        </xdr:cNvPr>
        <xdr:cNvSpPr/>
      </xdr:nvSpPr>
      <xdr:spPr bwMode="auto">
        <a:xfrm>
          <a:off x="317040" y="57979"/>
          <a:ext cx="2142895" cy="369956"/>
        </a:xfrm>
        <a:prstGeom prst="roundRect">
          <a:avLst/>
        </a:prstGeom>
        <a:ln>
          <a:headEnd type="none" w="med" len="med"/>
          <a:tailEnd type="none" w="med" len="med"/>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wrap="square" lIns="18288" tIns="0" rIns="0" bIns="0" rtlCol="0" anchor="ctr" upright="1"/>
        <a:lstStyle/>
        <a:p>
          <a:pPr algn="ctr"/>
          <a:r>
            <a:rPr lang="tr-TR" sz="1500" b="1"/>
            <a:t>SIRALA</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YBU/Desktop/&#304;&#350;KUR/D%20Klas&#246;r&#252;/&#304;&#350;KUR%20Mart%20EVRAKLARI/Maa&#351;%20Program&#305;/MAA&#350;/2025%20&#304;UP%20&#350;UBAT%20%20MAA&#350;%20ETL&#304;K.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YBU/Desktop/&#304;&#350;KUR/D%20Klas&#246;r&#252;/&#304;&#350;KUR%20Mart%20EVRAKLARI/Maa&#351;%20Program&#305;/MAA&#350;/2025%20&#304;UP%20&#350;UBAT%20%20MAA&#350;%20B&#304;LKENT.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ERİLER"/>
      <sheetName val="İşçi Bilgileri"/>
      <sheetName val="ANA SAYFA"/>
      <sheetName val="Hakediş Raporu"/>
      <sheetName val="Harcama Pusulası"/>
      <sheetName val="Hakediş Raporu GSS"/>
      <sheetName val="Harcama Pusulası GSS"/>
      <sheetName val="İşkur karşılaştırma"/>
      <sheetName val="İcra Takip"/>
      <sheetName val="Puantaj"/>
      <sheetName val="Bildirge"/>
      <sheetName val="MAAŞ BORDROSU"/>
      <sheetName val="SGK Karşılaştırma"/>
      <sheetName val="İcra Kesinti Listesi"/>
      <sheetName val="banka listesi"/>
      <sheetName val="Sayfa1"/>
      <sheetName val="HalkbankDTO"/>
      <sheetName val="Kişi Bordros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2">
          <cell r="B2" t="str">
            <v>MART  2025</v>
          </cell>
        </row>
      </sheetData>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ERİLER"/>
      <sheetName val="İşçi Bilgileri"/>
      <sheetName val="ANA SAYFA"/>
      <sheetName val="Hakediş Raporu"/>
      <sheetName val="Harcama Pusulası"/>
      <sheetName val="Hakediş Raporu GSS"/>
      <sheetName val="Harcama Pusulası GSS"/>
      <sheetName val="İşkur karşılaştırma"/>
      <sheetName val="İcra Takip"/>
      <sheetName val="Puantaj"/>
      <sheetName val="Bildirge"/>
      <sheetName val="MAAŞ BORDROSU"/>
      <sheetName val="SGK Karşılaştırma"/>
      <sheetName val="İcra Kesinti Listesi"/>
      <sheetName val="banka listesi"/>
      <sheetName val="Sayfa1"/>
      <sheetName val="HalkbankDTO"/>
      <sheetName val="Kişi Bordros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2">
          <cell r="B2" t="str">
            <v>MART  2025</v>
          </cell>
        </row>
      </sheetData>
      <sheetData sheetId="12" refreshError="1"/>
      <sheetData sheetId="13" refreshError="1"/>
      <sheetData sheetId="14" refreshError="1"/>
      <sheetData sheetId="15" refreshError="1"/>
      <sheetData sheetId="16" refreshError="1"/>
      <sheetData sheetId="17" refreshError="1"/>
    </sheetDataSet>
  </externalBook>
</externalLink>
</file>

<file path=xl/theme/theme1.xml><?xml version="1.0" encoding="utf-8"?>
<a:theme xmlns:a="http://schemas.openxmlformats.org/drawingml/2006/main" name="Ofis Teması">
  <a:themeElements>
    <a:clrScheme name="Ofis">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is">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i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ayfa1">
    <tabColor indexed="10"/>
  </sheetPr>
  <dimension ref="B1:J30"/>
  <sheetViews>
    <sheetView zoomScaleNormal="100" workbookViewId="0">
      <selection activeCell="B23" sqref="B23:I25"/>
    </sheetView>
  </sheetViews>
  <sheetFormatPr defaultColWidth="9.140625" defaultRowHeight="12.75" x14ac:dyDescent="0.2"/>
  <cols>
    <col min="1" max="1" width="1.28515625" style="6" customWidth="1"/>
    <col min="2" max="2" width="42.28515625" style="6" customWidth="1"/>
    <col min="3" max="3" width="17.140625" style="6" bestFit="1" customWidth="1"/>
    <col min="4" max="4" width="0.85546875" style="6" customWidth="1"/>
    <col min="5" max="5" width="38.140625" style="6" customWidth="1"/>
    <col min="6" max="6" width="16.42578125" style="6" customWidth="1"/>
    <col min="7" max="7" width="1.42578125" style="6" customWidth="1"/>
    <col min="8" max="9" width="13.28515625" style="6" customWidth="1"/>
    <col min="10" max="16384" width="9.140625" style="6"/>
  </cols>
  <sheetData>
    <row r="1" spans="2:10" ht="6" customHeight="1" x14ac:dyDescent="0.2"/>
    <row r="2" spans="2:10" ht="61.5" customHeight="1" x14ac:dyDescent="0.2">
      <c r="B2" s="363" t="s">
        <v>143</v>
      </c>
      <c r="C2" s="364"/>
      <c r="D2" s="364"/>
      <c r="E2" s="364"/>
      <c r="F2" s="364"/>
      <c r="G2" s="364"/>
      <c r="H2" s="364"/>
      <c r="I2" s="365"/>
    </row>
    <row r="3" spans="2:10" s="366" customFormat="1" ht="4.5" customHeight="1" x14ac:dyDescent="0.2"/>
    <row r="4" spans="2:10" ht="22.5" customHeight="1" x14ac:dyDescent="0.2">
      <c r="B4" s="8" t="s">
        <v>0</v>
      </c>
      <c r="C4" s="42">
        <v>28075.5</v>
      </c>
    </row>
    <row r="5" spans="2:10" ht="19.5" customHeight="1" x14ac:dyDescent="0.2">
      <c r="B5" s="14" t="s">
        <v>3</v>
      </c>
      <c r="C5" s="41">
        <v>1375</v>
      </c>
      <c r="D5" s="362"/>
      <c r="E5" s="360" t="s">
        <v>37</v>
      </c>
      <c r="F5" s="360"/>
      <c r="G5" s="9"/>
      <c r="H5" s="370" t="s">
        <v>41</v>
      </c>
      <c r="I5" s="370"/>
    </row>
    <row r="6" spans="2:10" ht="19.5" customHeight="1" x14ac:dyDescent="0.2">
      <c r="B6" s="14" t="s">
        <v>4</v>
      </c>
      <c r="C6" s="16">
        <v>1</v>
      </c>
      <c r="D6" s="362"/>
      <c r="E6" s="360"/>
      <c r="F6" s="360"/>
      <c r="G6" s="9"/>
      <c r="H6" s="370"/>
      <c r="I6" s="370"/>
    </row>
    <row r="7" spans="2:10" ht="19.5" customHeight="1" x14ac:dyDescent="0.2">
      <c r="B7" s="8" t="s">
        <v>129</v>
      </c>
      <c r="C7" s="42">
        <f>C5*C6</f>
        <v>1375</v>
      </c>
      <c r="D7" s="362"/>
      <c r="E7" s="7" t="s">
        <v>36</v>
      </c>
      <c r="F7" s="67">
        <v>1</v>
      </c>
      <c r="G7" s="9"/>
      <c r="H7" s="22">
        <f>C5</f>
        <v>1375</v>
      </c>
      <c r="I7" s="23">
        <f>C6</f>
        <v>1</v>
      </c>
      <c r="J7" s="20"/>
    </row>
    <row r="8" spans="2:10" ht="19.5" customHeight="1" x14ac:dyDescent="0.2">
      <c r="B8" s="8" t="s">
        <v>134</v>
      </c>
      <c r="C8" s="10">
        <f>ROUND(C7*0.45/10,2)</f>
        <v>61.88</v>
      </c>
      <c r="D8" s="362"/>
      <c r="E8" s="7" t="s">
        <v>35</v>
      </c>
      <c r="F8" s="66">
        <v>0</v>
      </c>
      <c r="G8" s="9"/>
      <c r="H8" s="11">
        <f>ROUND(H7*I7,2)</f>
        <v>1375</v>
      </c>
      <c r="I8" s="11">
        <f>H10+I9</f>
        <v>0</v>
      </c>
    </row>
    <row r="9" spans="2:10" ht="19.5" customHeight="1" x14ac:dyDescent="0.2">
      <c r="B9" s="8" t="s">
        <v>1</v>
      </c>
      <c r="C9" s="10">
        <f>ROUND(C5*C6*0.01,2)</f>
        <v>13.75</v>
      </c>
      <c r="D9" s="362"/>
      <c r="E9" s="7" t="s">
        <v>38</v>
      </c>
      <c r="F9" s="7">
        <f>F8/100</f>
        <v>0</v>
      </c>
      <c r="G9" s="9"/>
      <c r="H9" s="11">
        <f>H8-I8</f>
        <v>1375</v>
      </c>
      <c r="I9" s="11">
        <f>ROUND(H8/100*0,2)</f>
        <v>0</v>
      </c>
    </row>
    <row r="10" spans="2:10" ht="19.5" customHeight="1" x14ac:dyDescent="0.2">
      <c r="B10" s="8" t="s">
        <v>7</v>
      </c>
      <c r="C10" s="10">
        <f>C7-C8-C9</f>
        <v>1299.3699999999999</v>
      </c>
      <c r="D10" s="362"/>
      <c r="E10" s="8" t="s">
        <v>40</v>
      </c>
      <c r="F10" s="68">
        <v>7.5900000000000004E-3</v>
      </c>
      <c r="G10" s="9"/>
      <c r="H10" s="11">
        <f>ROUND(H8/100*0,2)</f>
        <v>0</v>
      </c>
      <c r="I10" s="11">
        <f>ROUND(H9/100*0,2)</f>
        <v>0</v>
      </c>
    </row>
    <row r="11" spans="2:10" ht="19.5" customHeight="1" x14ac:dyDescent="0.2">
      <c r="B11" s="8" t="s">
        <v>10</v>
      </c>
      <c r="C11" s="42">
        <f>IF(C10&gt;C4,ROUND((C10-C4)*0.15,2),0)</f>
        <v>0</v>
      </c>
      <c r="D11" s="362"/>
      <c r="E11" s="367" t="s">
        <v>49</v>
      </c>
      <c r="F11" s="367"/>
      <c r="G11" s="9"/>
      <c r="H11" s="371" t="s">
        <v>42</v>
      </c>
      <c r="I11" s="371"/>
    </row>
    <row r="12" spans="2:10" ht="19.5" customHeight="1" x14ac:dyDescent="0.2">
      <c r="B12" s="14" t="s">
        <v>31</v>
      </c>
      <c r="C12" s="15">
        <v>0</v>
      </c>
      <c r="D12" s="362"/>
      <c r="E12" s="367"/>
      <c r="F12" s="367"/>
      <c r="G12" s="9"/>
      <c r="H12" s="371"/>
      <c r="I12" s="371"/>
    </row>
    <row r="13" spans="2:10" ht="19.5" customHeight="1" x14ac:dyDescent="0.2">
      <c r="B13" s="8" t="s">
        <v>6</v>
      </c>
      <c r="C13" s="10">
        <f>C11-C12</f>
        <v>0</v>
      </c>
      <c r="D13" s="362"/>
      <c r="E13" s="367"/>
      <c r="F13" s="367"/>
      <c r="G13" s="9"/>
      <c r="H13" s="9"/>
      <c r="I13" s="9"/>
    </row>
    <row r="14" spans="2:10" ht="19.5" customHeight="1" x14ac:dyDescent="0.2">
      <c r="B14" s="8" t="s">
        <v>32</v>
      </c>
      <c r="C14" s="42">
        <f>IF(C10&gt;C4,ROUND(C7*F10,2),0)</f>
        <v>0</v>
      </c>
      <c r="D14" s="362"/>
      <c r="E14" s="367"/>
      <c r="F14" s="367"/>
      <c r="G14" s="9"/>
      <c r="H14" s="9"/>
      <c r="I14" s="9"/>
    </row>
    <row r="15" spans="2:10" ht="19.5" customHeight="1" x14ac:dyDescent="0.2">
      <c r="B15" s="8" t="s">
        <v>2</v>
      </c>
      <c r="C15" s="10">
        <f>C8+C9+C13+C14</f>
        <v>75.63</v>
      </c>
      <c r="D15" s="362"/>
      <c r="E15" s="367"/>
      <c r="F15" s="367"/>
      <c r="G15" s="9"/>
      <c r="H15" s="9"/>
      <c r="I15" s="9"/>
    </row>
    <row r="16" spans="2:10" ht="19.5" customHeight="1" x14ac:dyDescent="0.2">
      <c r="B16" s="17" t="s">
        <v>8</v>
      </c>
      <c r="C16" s="18">
        <f>C7-C15</f>
        <v>1299.3699999999999</v>
      </c>
      <c r="D16" s="362"/>
      <c r="E16" s="367"/>
      <c r="F16" s="367"/>
      <c r="G16" s="9"/>
      <c r="H16" s="9"/>
      <c r="I16" s="9"/>
    </row>
    <row r="17" spans="2:9" ht="19.5" customHeight="1" x14ac:dyDescent="0.2">
      <c r="B17" s="8" t="s">
        <v>0</v>
      </c>
      <c r="C17" s="10">
        <f>C7</f>
        <v>1375</v>
      </c>
      <c r="D17" s="362"/>
      <c r="E17" s="8"/>
      <c r="F17" s="10"/>
      <c r="G17" s="9"/>
      <c r="H17" s="9"/>
      <c r="I17" s="9"/>
    </row>
    <row r="18" spans="2:9" ht="19.5" customHeight="1" x14ac:dyDescent="0.2">
      <c r="B18" s="8" t="s">
        <v>34</v>
      </c>
      <c r="C18" s="10">
        <f>ROUND(C17*F9,2)</f>
        <v>0</v>
      </c>
      <c r="D18" s="362"/>
      <c r="E18" s="368"/>
      <c r="F18" s="368"/>
      <c r="G18" s="9"/>
      <c r="H18" s="9"/>
      <c r="I18" s="9"/>
    </row>
    <row r="19" spans="2:9" ht="19.5" customHeight="1" x14ac:dyDescent="0.2">
      <c r="B19" s="8" t="s">
        <v>132</v>
      </c>
      <c r="C19" s="10">
        <f>ROUND(C17*0.045,2)</f>
        <v>61.88</v>
      </c>
      <c r="D19" s="362"/>
      <c r="E19" s="13"/>
      <c r="F19" s="13"/>
      <c r="G19" s="9"/>
      <c r="H19" s="9"/>
      <c r="I19" s="9"/>
    </row>
    <row r="20" spans="2:9" ht="19.5" customHeight="1" x14ac:dyDescent="0.2">
      <c r="B20" s="8" t="s">
        <v>9</v>
      </c>
      <c r="C20" s="12">
        <f>C17+C18+C19+C9</f>
        <v>1450.63</v>
      </c>
      <c r="D20" s="362"/>
      <c r="E20" s="9"/>
      <c r="F20" s="9"/>
      <c r="G20" s="9"/>
      <c r="H20" s="9"/>
      <c r="I20" s="9"/>
    </row>
    <row r="21" spans="2:9" ht="2.25" customHeight="1" x14ac:dyDescent="0.2">
      <c r="B21" s="9"/>
      <c r="C21" s="9"/>
      <c r="D21" s="362"/>
      <c r="E21" s="9"/>
      <c r="F21" s="9"/>
      <c r="G21" s="9"/>
      <c r="H21" s="9"/>
      <c r="I21" s="9"/>
    </row>
    <row r="22" spans="2:9" ht="17.25" customHeight="1" x14ac:dyDescent="0.2">
      <c r="B22" s="8"/>
      <c r="C22" s="12"/>
      <c r="D22" s="362"/>
      <c r="E22" s="369"/>
      <c r="F22" s="369"/>
      <c r="G22" s="9"/>
      <c r="H22" s="9"/>
      <c r="I22" s="9"/>
    </row>
    <row r="23" spans="2:9" ht="33.75" customHeight="1" x14ac:dyDescent="0.2">
      <c r="C23" s="19"/>
    </row>
    <row r="24" spans="2:9" ht="15.75" x14ac:dyDescent="0.2">
      <c r="B24" s="34" t="s">
        <v>165</v>
      </c>
      <c r="H24" s="361" t="s">
        <v>167</v>
      </c>
      <c r="I24" s="361"/>
    </row>
    <row r="25" spans="2:9" ht="15.75" x14ac:dyDescent="0.2">
      <c r="B25" s="34" t="s">
        <v>166</v>
      </c>
      <c r="H25" s="361" t="s">
        <v>168</v>
      </c>
      <c r="I25" s="361"/>
    </row>
    <row r="26" spans="2:9" ht="24" customHeight="1" x14ac:dyDescent="0.2"/>
    <row r="27" spans="2:9" ht="24" customHeight="1" x14ac:dyDescent="0.2"/>
    <row r="28" spans="2:9" ht="24" customHeight="1" x14ac:dyDescent="0.2"/>
    <row r="29" spans="2:9" ht="24" customHeight="1" x14ac:dyDescent="0.2"/>
    <row r="30" spans="2:9" ht="24" customHeight="1" x14ac:dyDescent="0.2"/>
  </sheetData>
  <customSheetViews>
    <customSheetView guid="{78FE0CAC-51E5-4C61-A88D-7FAD500C2464}" showPageBreaks="1" showRuler="0" topLeftCell="C1">
      <selection activeCell="F6" sqref="F6"/>
      <pageMargins left="0.39" right="0.31" top="0.84" bottom="0.42" header="0.35" footer="0.41"/>
      <printOptions horizontalCentered="1"/>
      <pageSetup paperSize="9" scale="96" orientation="landscape" r:id="rId1"/>
      <headerFooter alignWithMargins="0"/>
    </customSheetView>
  </customSheetViews>
  <mergeCells count="11">
    <mergeCell ref="E5:F6"/>
    <mergeCell ref="H24:I24"/>
    <mergeCell ref="H25:I25"/>
    <mergeCell ref="D5:D22"/>
    <mergeCell ref="B2:I2"/>
    <mergeCell ref="A3:XFD3"/>
    <mergeCell ref="E11:F16"/>
    <mergeCell ref="E18:F18"/>
    <mergeCell ref="E22:F22"/>
    <mergeCell ref="H5:I6"/>
    <mergeCell ref="H11:I12"/>
  </mergeCells>
  <phoneticPr fontId="0" type="noConversion"/>
  <printOptions horizontalCentered="1"/>
  <pageMargins left="0.39" right="0.31" top="0.84" bottom="0.42" header="0.35" footer="0.41"/>
  <pageSetup paperSize="9" scale="96" orientation="landscape" r:id="rId2"/>
  <headerFooter alignWithMargins="0"/>
  <drawing r:id="rId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4">
    <tabColor indexed="15"/>
  </sheetPr>
  <dimension ref="A1:AN700"/>
  <sheetViews>
    <sheetView view="pageBreakPreview" zoomScale="90" zoomScaleNormal="90" zoomScaleSheetLayoutView="90" workbookViewId="0">
      <selection activeCell="E11" sqref="E11"/>
    </sheetView>
  </sheetViews>
  <sheetFormatPr defaultColWidth="9.140625" defaultRowHeight="30" customHeight="1" x14ac:dyDescent="0.2"/>
  <cols>
    <col min="1" max="1" width="7" style="98" customWidth="1"/>
    <col min="2" max="2" width="20.85546875" style="36" customWidth="1"/>
    <col min="3" max="3" width="16.28515625" style="36" customWidth="1"/>
    <col min="4" max="4" width="17" style="96" customWidth="1"/>
    <col min="5" max="5" width="25.42578125" style="40" customWidth="1"/>
    <col min="6" max="6" width="29.7109375" style="37" customWidth="1"/>
    <col min="7" max="7" width="5.5703125" style="36" customWidth="1"/>
    <col min="8" max="8" width="6.140625" style="36" customWidth="1"/>
    <col min="9" max="9" width="12.7109375" style="87" customWidth="1"/>
    <col min="10" max="10" width="14.140625" style="296" customWidth="1"/>
    <col min="11" max="11" width="13.7109375" style="37" customWidth="1"/>
    <col min="12" max="12" width="12.85546875" style="37" customWidth="1"/>
    <col min="13" max="13" width="14.85546875" style="37" customWidth="1"/>
    <col min="14" max="14" width="13.28515625" style="36" customWidth="1"/>
    <col min="15" max="15" width="19.7109375" style="37" customWidth="1"/>
    <col min="16" max="16" width="14.7109375" style="36" customWidth="1"/>
    <col min="17" max="17" width="17.42578125" style="36" customWidth="1"/>
    <col min="18" max="18" width="8.42578125" style="36" customWidth="1"/>
    <col min="19" max="19" width="14" style="89" bestFit="1" customWidth="1"/>
    <col min="20" max="20" width="12" style="36" customWidth="1"/>
    <col min="21" max="21" width="10.5703125" style="36" customWidth="1"/>
    <col min="22" max="22" width="9.42578125" style="36" customWidth="1"/>
    <col min="23" max="23" width="31" style="36" customWidth="1"/>
    <col min="24" max="24" width="31.7109375" style="36" customWidth="1"/>
    <col min="25" max="40" width="9.140625" style="36" hidden="1" customWidth="1"/>
    <col min="41" max="41" width="18.28515625" style="36" customWidth="1"/>
    <col min="42" max="42" width="23.5703125" style="36" customWidth="1"/>
    <col min="43" max="16384" width="9.140625" style="36"/>
  </cols>
  <sheetData>
    <row r="1" spans="1:22" ht="30" customHeight="1" x14ac:dyDescent="0.2">
      <c r="A1" s="79"/>
      <c r="B1" s="372" t="s">
        <v>62</v>
      </c>
      <c r="C1" s="373"/>
      <c r="D1" s="80" t="s">
        <v>17</v>
      </c>
      <c r="E1" s="80" t="s">
        <v>73</v>
      </c>
      <c r="F1" s="81" t="s">
        <v>78</v>
      </c>
      <c r="G1" s="80" t="s">
        <v>74</v>
      </c>
      <c r="H1" s="80" t="s">
        <v>75</v>
      </c>
      <c r="I1" s="82" t="s">
        <v>46</v>
      </c>
      <c r="J1" s="289" t="s">
        <v>47</v>
      </c>
      <c r="K1" s="81" t="s">
        <v>76</v>
      </c>
      <c r="L1" s="81" t="s">
        <v>77</v>
      </c>
      <c r="M1" s="81" t="s">
        <v>55</v>
      </c>
      <c r="N1" s="83" t="s">
        <v>79</v>
      </c>
      <c r="O1" s="84" t="s">
        <v>43</v>
      </c>
      <c r="P1" s="83" t="s">
        <v>124</v>
      </c>
      <c r="Q1" s="83" t="s">
        <v>80</v>
      </c>
      <c r="R1" s="83" t="s">
        <v>81</v>
      </c>
      <c r="S1" s="83" t="s">
        <v>82</v>
      </c>
      <c r="T1" s="83"/>
      <c r="U1" s="85"/>
      <c r="V1" s="85"/>
    </row>
    <row r="2" spans="1:22" ht="30" customHeight="1" x14ac:dyDescent="0.25">
      <c r="A2" s="97">
        <v>1</v>
      </c>
      <c r="B2" s="277"/>
      <c r="C2" s="277"/>
      <c r="D2" s="278"/>
      <c r="E2" s="279"/>
      <c r="F2" s="279"/>
      <c r="G2" s="280"/>
      <c r="H2" s="280"/>
      <c r="I2" s="279"/>
      <c r="J2" s="290"/>
      <c r="K2" s="281"/>
      <c r="L2" s="282"/>
      <c r="M2" s="283"/>
      <c r="N2" s="76"/>
      <c r="O2" s="76"/>
      <c r="P2" s="77"/>
      <c r="Q2" s="77"/>
      <c r="R2" s="77"/>
      <c r="S2" s="88"/>
      <c r="T2" s="71"/>
      <c r="U2" s="37"/>
      <c r="V2" s="36">
        <f t="shared" ref="V2:V44" si="0">COUNTIF($B$2:$B$501,D2)</f>
        <v>0</v>
      </c>
    </row>
    <row r="3" spans="1:22" ht="30" customHeight="1" x14ac:dyDescent="0.25">
      <c r="A3" s="97" t="str">
        <f>IF(D3="","",MAX($A$2:A2)+1)</f>
        <v/>
      </c>
      <c r="B3" s="277"/>
      <c r="C3" s="277"/>
      <c r="D3" s="278"/>
      <c r="E3" s="279"/>
      <c r="F3" s="279"/>
      <c r="G3" s="280"/>
      <c r="H3" s="280"/>
      <c r="I3" s="279"/>
      <c r="J3" s="290"/>
      <c r="K3" s="281"/>
      <c r="L3" s="282"/>
      <c r="M3" s="284"/>
      <c r="N3" s="76"/>
      <c r="O3" s="76"/>
      <c r="P3" s="77"/>
      <c r="Q3" s="77"/>
      <c r="R3" s="77"/>
      <c r="S3" s="88"/>
      <c r="T3" s="71"/>
      <c r="U3" s="37"/>
      <c r="V3" s="36">
        <f t="shared" si="0"/>
        <v>0</v>
      </c>
    </row>
    <row r="4" spans="1:22" ht="30" customHeight="1" x14ac:dyDescent="0.25">
      <c r="A4" s="97" t="str">
        <f>IF(D4="","",MAX($A$2:A3)+1)</f>
        <v/>
      </c>
      <c r="B4" s="277"/>
      <c r="C4" s="277"/>
      <c r="D4" s="278"/>
      <c r="E4" s="279"/>
      <c r="F4" s="279"/>
      <c r="G4" s="280"/>
      <c r="H4" s="280"/>
      <c r="I4" s="279"/>
      <c r="J4" s="290"/>
      <c r="K4" s="281"/>
      <c r="L4" s="282"/>
      <c r="M4" s="284"/>
      <c r="N4" s="76"/>
      <c r="O4" s="76"/>
      <c r="P4" s="77"/>
      <c r="Q4" s="77"/>
      <c r="R4" s="77"/>
      <c r="S4" s="88"/>
      <c r="T4" s="71"/>
      <c r="U4" s="37"/>
      <c r="V4" s="36">
        <f t="shared" si="0"/>
        <v>0</v>
      </c>
    </row>
    <row r="5" spans="1:22" ht="30" customHeight="1" x14ac:dyDescent="0.25">
      <c r="A5" s="97" t="str">
        <f>IF(D5="","",MAX($A$2:A4)+1)</f>
        <v/>
      </c>
      <c r="B5" s="277"/>
      <c r="C5" s="277"/>
      <c r="D5" s="278"/>
      <c r="E5" s="279"/>
      <c r="F5" s="279"/>
      <c r="G5" s="280"/>
      <c r="H5" s="280"/>
      <c r="I5" s="279"/>
      <c r="J5" s="290"/>
      <c r="K5" s="281"/>
      <c r="L5" s="282"/>
      <c r="M5" s="284"/>
      <c r="N5" s="76"/>
      <c r="O5" s="76"/>
      <c r="P5" s="77"/>
      <c r="Q5" s="77"/>
      <c r="R5" s="77"/>
      <c r="S5" s="88"/>
      <c r="T5" s="71"/>
      <c r="U5" s="37"/>
      <c r="V5" s="36">
        <f t="shared" si="0"/>
        <v>0</v>
      </c>
    </row>
    <row r="6" spans="1:22" ht="30" customHeight="1" x14ac:dyDescent="0.25">
      <c r="A6" s="97" t="str">
        <f>IF(D6="","",MAX($A$2:A5)+1)</f>
        <v/>
      </c>
      <c r="B6" s="277"/>
      <c r="C6" s="277"/>
      <c r="D6" s="278"/>
      <c r="E6" s="279"/>
      <c r="F6" s="279"/>
      <c r="G6" s="280"/>
      <c r="H6" s="280"/>
      <c r="I6" s="279"/>
      <c r="J6" s="290"/>
      <c r="K6" s="281"/>
      <c r="L6" s="282"/>
      <c r="M6" s="284"/>
      <c r="N6" s="76"/>
      <c r="O6" s="76"/>
      <c r="P6" s="77"/>
      <c r="Q6" s="77"/>
      <c r="R6" s="77"/>
      <c r="S6" s="88"/>
      <c r="T6" s="71"/>
      <c r="U6" s="37"/>
      <c r="V6" s="36">
        <f t="shared" si="0"/>
        <v>0</v>
      </c>
    </row>
    <row r="7" spans="1:22" s="38" customFormat="1" ht="30" customHeight="1" x14ac:dyDescent="0.25">
      <c r="A7" s="97" t="str">
        <f>IF(D7="","",MAX($A$2:A6)+1)</f>
        <v/>
      </c>
      <c r="B7" s="277"/>
      <c r="C7" s="277"/>
      <c r="D7" s="278"/>
      <c r="E7" s="279"/>
      <c r="F7" s="279"/>
      <c r="G7" s="280"/>
      <c r="H7" s="280"/>
      <c r="I7" s="279"/>
      <c r="J7" s="290"/>
      <c r="K7" s="281"/>
      <c r="L7" s="282"/>
      <c r="M7" s="284"/>
      <c r="N7" s="76"/>
      <c r="O7" s="76"/>
      <c r="P7" s="77"/>
      <c r="Q7" s="77"/>
      <c r="R7" s="77"/>
      <c r="S7" s="88"/>
      <c r="T7" s="71"/>
      <c r="U7" s="37"/>
      <c r="V7" s="36">
        <f t="shared" si="0"/>
        <v>0</v>
      </c>
    </row>
    <row r="8" spans="1:22" ht="30" customHeight="1" x14ac:dyDescent="0.25">
      <c r="A8" s="97" t="str">
        <f>IF(D8="","",MAX($A$2:A7)+1)</f>
        <v/>
      </c>
      <c r="B8" s="277"/>
      <c r="C8" s="277"/>
      <c r="D8" s="278"/>
      <c r="E8" s="279"/>
      <c r="F8" s="279"/>
      <c r="G8" s="280"/>
      <c r="H8" s="280"/>
      <c r="I8" s="279"/>
      <c r="J8" s="290"/>
      <c r="K8" s="281"/>
      <c r="L8" s="282"/>
      <c r="M8" s="284"/>
      <c r="N8" s="76"/>
      <c r="O8" s="76"/>
      <c r="P8" s="77"/>
      <c r="Q8" s="77"/>
      <c r="R8" s="77"/>
      <c r="S8" s="88"/>
      <c r="T8" s="71"/>
      <c r="U8" s="37"/>
      <c r="V8" s="36">
        <f t="shared" si="0"/>
        <v>0</v>
      </c>
    </row>
    <row r="9" spans="1:22" ht="30" customHeight="1" x14ac:dyDescent="0.25">
      <c r="A9" s="97" t="str">
        <f>IF(D9="","",MAX($A$2:A8)+1)</f>
        <v/>
      </c>
      <c r="B9" s="277"/>
      <c r="C9" s="277"/>
      <c r="D9" s="278"/>
      <c r="E9" s="279"/>
      <c r="F9" s="279"/>
      <c r="G9" s="280"/>
      <c r="H9" s="280"/>
      <c r="I9" s="279"/>
      <c r="J9" s="290"/>
      <c r="K9" s="281"/>
      <c r="L9" s="282"/>
      <c r="M9" s="284"/>
      <c r="N9" s="76"/>
      <c r="O9" s="76"/>
      <c r="P9" s="77"/>
      <c r="Q9" s="77"/>
      <c r="R9" s="77"/>
      <c r="S9" s="88"/>
      <c r="T9" s="71"/>
      <c r="U9" s="37"/>
      <c r="V9" s="36">
        <f t="shared" si="0"/>
        <v>0</v>
      </c>
    </row>
    <row r="10" spans="1:22" ht="30" customHeight="1" x14ac:dyDescent="0.25">
      <c r="A10" s="97" t="str">
        <f>IF(D10="","",MAX($A$2:A9)+1)</f>
        <v/>
      </c>
      <c r="B10" s="277"/>
      <c r="C10" s="277"/>
      <c r="D10" s="278"/>
      <c r="E10" s="279"/>
      <c r="F10" s="279"/>
      <c r="G10" s="280"/>
      <c r="H10" s="280"/>
      <c r="I10" s="279"/>
      <c r="J10" s="290"/>
      <c r="K10" s="281"/>
      <c r="L10" s="282"/>
      <c r="M10" s="284"/>
      <c r="N10" s="76"/>
      <c r="O10" s="76"/>
      <c r="P10" s="77"/>
      <c r="Q10" s="77"/>
      <c r="R10" s="77"/>
      <c r="S10" s="88"/>
      <c r="T10" s="71"/>
      <c r="U10" s="37"/>
      <c r="V10" s="36">
        <f t="shared" si="0"/>
        <v>0</v>
      </c>
    </row>
    <row r="11" spans="1:22" ht="30" customHeight="1" x14ac:dyDescent="0.25">
      <c r="A11" s="97" t="str">
        <f>IF(D11="","",MAX($A$2:A10)+1)</f>
        <v/>
      </c>
      <c r="B11" s="277"/>
      <c r="C11" s="277"/>
      <c r="D11" s="278"/>
      <c r="E11" s="279"/>
      <c r="F11" s="279"/>
      <c r="G11" s="280"/>
      <c r="H11" s="280"/>
      <c r="I11" s="279"/>
      <c r="J11" s="290"/>
      <c r="K11" s="281"/>
      <c r="L11" s="282"/>
      <c r="M11" s="284"/>
      <c r="N11" s="76"/>
      <c r="O11" s="76"/>
      <c r="P11" s="77"/>
      <c r="Q11" s="77"/>
      <c r="R11" s="77"/>
      <c r="S11" s="88"/>
      <c r="T11" s="71"/>
      <c r="U11" s="37"/>
      <c r="V11" s="36">
        <f t="shared" si="0"/>
        <v>0</v>
      </c>
    </row>
    <row r="12" spans="1:22" ht="30" customHeight="1" x14ac:dyDescent="0.25">
      <c r="A12" s="97" t="str">
        <f>IF(D12="","",MAX($A$2:A11)+1)</f>
        <v/>
      </c>
      <c r="B12" s="277"/>
      <c r="C12" s="277"/>
      <c r="D12" s="278"/>
      <c r="E12" s="279"/>
      <c r="F12" s="279"/>
      <c r="G12" s="280"/>
      <c r="H12" s="280"/>
      <c r="I12" s="279"/>
      <c r="J12" s="290"/>
      <c r="K12" s="281"/>
      <c r="L12" s="282"/>
      <c r="M12" s="284"/>
      <c r="N12" s="76"/>
      <c r="O12" s="76"/>
      <c r="P12" s="77"/>
      <c r="Q12" s="77"/>
      <c r="R12" s="77"/>
      <c r="S12" s="88"/>
      <c r="T12" s="71"/>
      <c r="U12" s="37"/>
      <c r="V12" s="36">
        <f t="shared" si="0"/>
        <v>0</v>
      </c>
    </row>
    <row r="13" spans="1:22" ht="30" customHeight="1" x14ac:dyDescent="0.25">
      <c r="A13" s="97" t="str">
        <f>IF(D13="","",MAX($A$2:A12)+1)</f>
        <v/>
      </c>
      <c r="B13" s="277"/>
      <c r="C13" s="277"/>
      <c r="D13" s="278"/>
      <c r="E13" s="279"/>
      <c r="F13" s="279"/>
      <c r="G13" s="280"/>
      <c r="H13" s="280"/>
      <c r="I13" s="279"/>
      <c r="J13" s="290"/>
      <c r="K13" s="281"/>
      <c r="L13" s="282"/>
      <c r="M13" s="284"/>
      <c r="N13" s="76"/>
      <c r="O13" s="76"/>
      <c r="P13" s="77"/>
      <c r="Q13" s="77"/>
      <c r="R13" s="77"/>
      <c r="S13" s="88"/>
      <c r="T13" s="71"/>
      <c r="U13" s="37"/>
      <c r="V13" s="36">
        <f t="shared" si="0"/>
        <v>0</v>
      </c>
    </row>
    <row r="14" spans="1:22" ht="30" customHeight="1" x14ac:dyDescent="0.25">
      <c r="A14" s="97" t="str">
        <f>IF(D14="","",MAX($A$2:A13)+1)</f>
        <v/>
      </c>
      <c r="B14" s="277"/>
      <c r="C14" s="277"/>
      <c r="D14" s="278"/>
      <c r="E14" s="279"/>
      <c r="F14" s="279"/>
      <c r="G14" s="280"/>
      <c r="H14" s="280"/>
      <c r="I14" s="279"/>
      <c r="J14" s="290"/>
      <c r="K14" s="281"/>
      <c r="L14" s="282"/>
      <c r="M14" s="284"/>
      <c r="N14" s="76"/>
      <c r="O14" s="76"/>
      <c r="P14" s="77"/>
      <c r="Q14" s="77"/>
      <c r="R14" s="77"/>
      <c r="S14" s="88"/>
      <c r="T14" s="71"/>
      <c r="U14" s="37"/>
      <c r="V14" s="36">
        <f t="shared" si="0"/>
        <v>0</v>
      </c>
    </row>
    <row r="15" spans="1:22" ht="30" customHeight="1" x14ac:dyDescent="0.25">
      <c r="A15" s="97" t="str">
        <f>IF(D15="","",MAX($A$2:A14)+1)</f>
        <v/>
      </c>
      <c r="B15" s="277"/>
      <c r="C15" s="277"/>
      <c r="D15" s="278"/>
      <c r="E15" s="279"/>
      <c r="F15" s="279"/>
      <c r="G15" s="280"/>
      <c r="H15" s="280"/>
      <c r="I15" s="279"/>
      <c r="J15" s="290"/>
      <c r="K15" s="281"/>
      <c r="L15" s="282"/>
      <c r="M15" s="284"/>
      <c r="N15" s="76"/>
      <c r="O15" s="76"/>
      <c r="P15" s="77"/>
      <c r="Q15" s="77"/>
      <c r="R15" s="77"/>
      <c r="S15" s="88"/>
      <c r="T15" s="71"/>
      <c r="U15" s="37"/>
      <c r="V15" s="36">
        <f t="shared" si="0"/>
        <v>0</v>
      </c>
    </row>
    <row r="16" spans="1:22" ht="30" customHeight="1" x14ac:dyDescent="0.25">
      <c r="A16" s="97" t="str">
        <f>IF(D16="","",MAX($A$2:A15)+1)</f>
        <v/>
      </c>
      <c r="B16" s="277"/>
      <c r="C16" s="277"/>
      <c r="D16" s="278"/>
      <c r="E16" s="279"/>
      <c r="F16" s="279"/>
      <c r="G16" s="280"/>
      <c r="H16" s="280"/>
      <c r="I16" s="279"/>
      <c r="J16" s="290"/>
      <c r="K16" s="281"/>
      <c r="L16" s="282"/>
      <c r="M16" s="284"/>
      <c r="N16" s="76"/>
      <c r="O16" s="76"/>
      <c r="P16" s="77"/>
      <c r="Q16" s="77"/>
      <c r="R16" s="77"/>
      <c r="S16" s="88"/>
      <c r="T16" s="71"/>
      <c r="U16" s="37"/>
      <c r="V16" s="36">
        <f t="shared" si="0"/>
        <v>0</v>
      </c>
    </row>
    <row r="17" spans="1:22" ht="30" customHeight="1" x14ac:dyDescent="0.25">
      <c r="A17" s="97" t="str">
        <f>IF(D17="","",MAX($A$2:A16)+1)</f>
        <v/>
      </c>
      <c r="B17" s="277"/>
      <c r="C17" s="277"/>
      <c r="D17" s="278"/>
      <c r="E17" s="279"/>
      <c r="F17" s="279"/>
      <c r="G17" s="280"/>
      <c r="H17" s="280"/>
      <c r="I17" s="279"/>
      <c r="J17" s="290"/>
      <c r="K17" s="281"/>
      <c r="L17" s="282"/>
      <c r="M17" s="284"/>
      <c r="N17" s="76"/>
      <c r="O17" s="76"/>
      <c r="P17" s="77"/>
      <c r="Q17" s="77"/>
      <c r="R17" s="77"/>
      <c r="S17" s="88"/>
      <c r="T17" s="71"/>
      <c r="U17" s="37"/>
      <c r="V17" s="36">
        <f t="shared" si="0"/>
        <v>0</v>
      </c>
    </row>
    <row r="18" spans="1:22" ht="30" customHeight="1" x14ac:dyDescent="0.25">
      <c r="A18" s="97" t="str">
        <f>IF(D18="","",MAX($A$2:A17)+1)</f>
        <v/>
      </c>
      <c r="B18" s="277"/>
      <c r="C18" s="277"/>
      <c r="D18" s="278"/>
      <c r="E18" s="279"/>
      <c r="F18" s="279"/>
      <c r="G18" s="280"/>
      <c r="H18" s="280"/>
      <c r="I18" s="279"/>
      <c r="J18" s="290"/>
      <c r="K18" s="281"/>
      <c r="L18" s="282"/>
      <c r="M18" s="284"/>
      <c r="N18" s="76"/>
      <c r="O18" s="76"/>
      <c r="P18" s="77"/>
      <c r="Q18" s="77"/>
      <c r="R18" s="77"/>
      <c r="S18" s="88"/>
      <c r="T18" s="71"/>
      <c r="U18" s="37"/>
      <c r="V18" s="36">
        <f t="shared" si="0"/>
        <v>0</v>
      </c>
    </row>
    <row r="19" spans="1:22" ht="30" customHeight="1" x14ac:dyDescent="0.25">
      <c r="A19" s="97" t="str">
        <f>IF(D19="","",MAX($A$2:A18)+1)</f>
        <v/>
      </c>
      <c r="B19" s="277"/>
      <c r="C19" s="277"/>
      <c r="D19" s="278"/>
      <c r="E19" s="279"/>
      <c r="F19" s="279"/>
      <c r="G19" s="280"/>
      <c r="H19" s="280"/>
      <c r="I19" s="279"/>
      <c r="J19" s="290"/>
      <c r="K19" s="281"/>
      <c r="L19" s="282"/>
      <c r="M19" s="284"/>
      <c r="N19" s="76"/>
      <c r="O19" s="76"/>
      <c r="P19" s="77"/>
      <c r="Q19" s="77"/>
      <c r="R19" s="77"/>
      <c r="S19" s="88"/>
      <c r="T19" s="71"/>
      <c r="U19" s="37"/>
      <c r="V19" s="36">
        <f t="shared" si="0"/>
        <v>0</v>
      </c>
    </row>
    <row r="20" spans="1:22" ht="30" customHeight="1" x14ac:dyDescent="0.25">
      <c r="A20" s="97" t="str">
        <f>IF(D20="","",MAX($A$2:A19)+1)</f>
        <v/>
      </c>
      <c r="B20" s="277"/>
      <c r="C20" s="277"/>
      <c r="D20" s="278"/>
      <c r="E20" s="279"/>
      <c r="F20" s="279"/>
      <c r="G20" s="280"/>
      <c r="H20" s="280"/>
      <c r="I20" s="279"/>
      <c r="J20" s="290"/>
      <c r="K20" s="281"/>
      <c r="L20" s="282"/>
      <c r="M20" s="284"/>
      <c r="N20" s="76"/>
      <c r="O20" s="76"/>
      <c r="P20" s="77"/>
      <c r="Q20" s="77"/>
      <c r="R20" s="77"/>
      <c r="S20" s="88"/>
      <c r="T20" s="71"/>
      <c r="U20" s="37"/>
      <c r="V20" s="36">
        <f t="shared" si="0"/>
        <v>0</v>
      </c>
    </row>
    <row r="21" spans="1:22" ht="30" customHeight="1" x14ac:dyDescent="0.25">
      <c r="A21" s="97" t="str">
        <f>IF(D21="","",MAX($A$2:A20)+1)</f>
        <v/>
      </c>
      <c r="B21" s="277"/>
      <c r="C21" s="277"/>
      <c r="D21" s="278"/>
      <c r="E21" s="279"/>
      <c r="F21" s="279"/>
      <c r="G21" s="280"/>
      <c r="H21" s="280"/>
      <c r="I21" s="279"/>
      <c r="J21" s="290"/>
      <c r="K21" s="281"/>
      <c r="L21" s="282"/>
      <c r="M21" s="284"/>
      <c r="N21" s="76"/>
      <c r="O21" s="76"/>
      <c r="P21" s="77"/>
      <c r="Q21" s="77"/>
      <c r="R21" s="77"/>
      <c r="S21" s="88"/>
      <c r="T21" s="71"/>
      <c r="U21" s="37"/>
      <c r="V21" s="36">
        <f t="shared" si="0"/>
        <v>0</v>
      </c>
    </row>
    <row r="22" spans="1:22" ht="30" customHeight="1" x14ac:dyDescent="0.25">
      <c r="A22" s="97" t="str">
        <f>IF(D22="","",MAX($A$2:A21)+1)</f>
        <v/>
      </c>
      <c r="B22" s="277"/>
      <c r="C22" s="277"/>
      <c r="D22" s="278"/>
      <c r="E22" s="279"/>
      <c r="F22" s="279"/>
      <c r="G22" s="280"/>
      <c r="H22" s="280"/>
      <c r="I22" s="279"/>
      <c r="J22" s="290"/>
      <c r="K22" s="281"/>
      <c r="L22" s="282"/>
      <c r="M22" s="284"/>
      <c r="N22" s="76"/>
      <c r="O22" s="76"/>
      <c r="P22" s="77"/>
      <c r="Q22" s="77"/>
      <c r="R22" s="77"/>
      <c r="S22" s="88"/>
      <c r="T22" s="71"/>
      <c r="U22" s="37"/>
      <c r="V22" s="36">
        <f t="shared" si="0"/>
        <v>0</v>
      </c>
    </row>
    <row r="23" spans="1:22" ht="30" customHeight="1" x14ac:dyDescent="0.25">
      <c r="A23" s="97" t="str">
        <f>IF(D23="","",MAX($A$2:A22)+1)</f>
        <v/>
      </c>
      <c r="B23" s="277"/>
      <c r="C23" s="277"/>
      <c r="D23" s="278"/>
      <c r="E23" s="279"/>
      <c r="F23" s="279"/>
      <c r="G23" s="280"/>
      <c r="H23" s="280"/>
      <c r="I23" s="279"/>
      <c r="J23" s="290"/>
      <c r="K23" s="281"/>
      <c r="L23" s="282"/>
      <c r="M23" s="283"/>
      <c r="N23" s="76"/>
      <c r="O23" s="76"/>
      <c r="P23" s="77"/>
      <c r="Q23" s="77"/>
      <c r="R23" s="77"/>
      <c r="S23" s="88"/>
      <c r="T23" s="71"/>
      <c r="U23" s="37"/>
      <c r="V23" s="36">
        <f t="shared" si="0"/>
        <v>0</v>
      </c>
    </row>
    <row r="24" spans="1:22" ht="30" customHeight="1" x14ac:dyDescent="0.25">
      <c r="A24" s="97" t="str">
        <f>IF(D24="","",MAX($A$2:A23)+1)</f>
        <v/>
      </c>
      <c r="B24" s="277"/>
      <c r="C24" s="277"/>
      <c r="D24" s="278"/>
      <c r="E24" s="279"/>
      <c r="F24" s="279"/>
      <c r="G24" s="280"/>
      <c r="H24" s="280"/>
      <c r="I24" s="279"/>
      <c r="J24" s="290"/>
      <c r="K24" s="281"/>
      <c r="L24" s="282"/>
      <c r="M24" s="284"/>
      <c r="N24" s="76"/>
      <c r="O24" s="76"/>
      <c r="P24" s="77"/>
      <c r="Q24" s="77"/>
      <c r="R24" s="77"/>
      <c r="S24" s="88"/>
      <c r="T24" s="71"/>
      <c r="U24" s="37"/>
      <c r="V24" s="36">
        <f t="shared" si="0"/>
        <v>0</v>
      </c>
    </row>
    <row r="25" spans="1:22" ht="30" customHeight="1" x14ac:dyDescent="0.25">
      <c r="A25" s="97" t="str">
        <f>IF(D25="","",MAX($A$2:A24)+1)</f>
        <v/>
      </c>
      <c r="B25" s="277"/>
      <c r="C25" s="277"/>
      <c r="D25" s="278"/>
      <c r="E25" s="279"/>
      <c r="F25" s="279"/>
      <c r="G25" s="280"/>
      <c r="H25" s="280"/>
      <c r="I25" s="279"/>
      <c r="J25" s="290"/>
      <c r="K25" s="281"/>
      <c r="L25" s="282"/>
      <c r="M25" s="284"/>
      <c r="N25" s="76"/>
      <c r="O25" s="76"/>
      <c r="P25" s="77"/>
      <c r="Q25" s="77"/>
      <c r="R25" s="77"/>
      <c r="S25" s="88"/>
      <c r="T25" s="71"/>
      <c r="U25" s="37"/>
      <c r="V25" s="36">
        <f t="shared" si="0"/>
        <v>0</v>
      </c>
    </row>
    <row r="26" spans="1:22" ht="30" customHeight="1" x14ac:dyDescent="0.25">
      <c r="A26" s="97" t="str">
        <f>IF(D26="","",MAX($A$2:A25)+1)</f>
        <v/>
      </c>
      <c r="B26" s="277"/>
      <c r="C26" s="277"/>
      <c r="D26" s="278"/>
      <c r="E26" s="279"/>
      <c r="F26" s="279"/>
      <c r="G26" s="280"/>
      <c r="H26" s="280"/>
      <c r="I26" s="279"/>
      <c r="J26" s="290"/>
      <c r="K26" s="281"/>
      <c r="L26" s="282"/>
      <c r="M26" s="284"/>
      <c r="N26" s="76"/>
      <c r="O26" s="76"/>
      <c r="P26" s="77"/>
      <c r="Q26" s="77"/>
      <c r="R26" s="77"/>
      <c r="S26" s="88"/>
      <c r="T26" s="71"/>
      <c r="U26" s="37"/>
      <c r="V26" s="36">
        <f t="shared" si="0"/>
        <v>0</v>
      </c>
    </row>
    <row r="27" spans="1:22" ht="30" customHeight="1" x14ac:dyDescent="0.25">
      <c r="A27" s="97" t="str">
        <f>IF(D27="","",MAX($A$2:A26)+1)</f>
        <v/>
      </c>
      <c r="B27" s="277"/>
      <c r="C27" s="277"/>
      <c r="D27" s="278"/>
      <c r="E27" s="279"/>
      <c r="F27" s="279"/>
      <c r="G27" s="280"/>
      <c r="H27" s="280"/>
      <c r="I27" s="279"/>
      <c r="J27" s="290"/>
      <c r="K27" s="281"/>
      <c r="L27" s="282"/>
      <c r="M27" s="284"/>
      <c r="N27" s="76"/>
      <c r="O27" s="76"/>
      <c r="P27" s="77"/>
      <c r="Q27" s="77"/>
      <c r="R27" s="77"/>
      <c r="S27" s="88"/>
      <c r="T27" s="71"/>
      <c r="U27" s="37"/>
      <c r="V27" s="36">
        <f t="shared" si="0"/>
        <v>0</v>
      </c>
    </row>
    <row r="28" spans="1:22" ht="30" customHeight="1" x14ac:dyDescent="0.25">
      <c r="A28" s="97" t="str">
        <f>IF(D28="","",MAX($A$2:A27)+1)</f>
        <v/>
      </c>
      <c r="B28" s="277"/>
      <c r="C28" s="277"/>
      <c r="D28" s="278"/>
      <c r="E28" s="279"/>
      <c r="F28" s="279"/>
      <c r="G28" s="280"/>
      <c r="H28" s="280"/>
      <c r="I28" s="279"/>
      <c r="J28" s="290"/>
      <c r="K28" s="281"/>
      <c r="L28" s="282"/>
      <c r="M28" s="284"/>
      <c r="N28" s="76"/>
      <c r="O28" s="76"/>
      <c r="P28" s="77"/>
      <c r="Q28" s="77"/>
      <c r="R28" s="77"/>
      <c r="S28" s="88"/>
      <c r="T28" s="71"/>
      <c r="U28" s="37"/>
      <c r="V28" s="36">
        <f t="shared" si="0"/>
        <v>0</v>
      </c>
    </row>
    <row r="29" spans="1:22" ht="30" customHeight="1" x14ac:dyDescent="0.25">
      <c r="A29" s="97" t="str">
        <f>IF(D29="","",MAX($A$2:A28)+1)</f>
        <v/>
      </c>
      <c r="B29" s="277"/>
      <c r="C29" s="277"/>
      <c r="D29" s="278"/>
      <c r="E29" s="279"/>
      <c r="F29" s="279"/>
      <c r="G29" s="280"/>
      <c r="H29" s="280"/>
      <c r="I29" s="279"/>
      <c r="J29" s="290"/>
      <c r="K29" s="281"/>
      <c r="L29" s="282"/>
      <c r="M29" s="284"/>
      <c r="N29" s="76"/>
      <c r="O29" s="76"/>
      <c r="P29" s="77"/>
      <c r="Q29" s="77"/>
      <c r="R29" s="77"/>
      <c r="S29" s="88"/>
      <c r="T29" s="71"/>
      <c r="U29" s="37"/>
      <c r="V29" s="36">
        <f t="shared" si="0"/>
        <v>0</v>
      </c>
    </row>
    <row r="30" spans="1:22" ht="30" customHeight="1" x14ac:dyDescent="0.25">
      <c r="A30" s="97" t="str">
        <f>IF(D30="","",MAX($A$2:A29)+1)</f>
        <v/>
      </c>
      <c r="B30" s="277"/>
      <c r="C30" s="277"/>
      <c r="D30" s="278"/>
      <c r="E30" s="279"/>
      <c r="F30" s="279"/>
      <c r="G30" s="280"/>
      <c r="H30" s="280"/>
      <c r="I30" s="279"/>
      <c r="J30" s="290"/>
      <c r="K30" s="281"/>
      <c r="L30" s="282"/>
      <c r="M30" s="284"/>
      <c r="N30" s="76"/>
      <c r="O30" s="76"/>
      <c r="P30" s="77"/>
      <c r="Q30" s="77"/>
      <c r="R30" s="77"/>
      <c r="S30" s="88"/>
      <c r="T30" s="71"/>
      <c r="U30" s="37"/>
      <c r="V30" s="36">
        <f t="shared" si="0"/>
        <v>0</v>
      </c>
    </row>
    <row r="31" spans="1:22" ht="30" customHeight="1" x14ac:dyDescent="0.25">
      <c r="A31" s="97" t="str">
        <f>IF(D31="","",MAX($A$2:A30)+1)</f>
        <v/>
      </c>
      <c r="B31" s="277"/>
      <c r="C31" s="277"/>
      <c r="D31" s="278"/>
      <c r="E31" s="279"/>
      <c r="F31" s="279"/>
      <c r="G31" s="280"/>
      <c r="H31" s="280"/>
      <c r="I31" s="279"/>
      <c r="J31" s="290"/>
      <c r="K31" s="281"/>
      <c r="L31" s="282"/>
      <c r="M31" s="283"/>
      <c r="N31" s="76"/>
      <c r="O31" s="76"/>
      <c r="P31" s="77"/>
      <c r="Q31" s="77"/>
      <c r="R31" s="77"/>
      <c r="S31" s="88"/>
      <c r="T31" s="71"/>
      <c r="U31" s="37"/>
      <c r="V31" s="36">
        <f t="shared" si="0"/>
        <v>0</v>
      </c>
    </row>
    <row r="32" spans="1:22" ht="30" customHeight="1" x14ac:dyDescent="0.25">
      <c r="A32" s="97" t="str">
        <f>IF(D32="","",MAX($A$2:A31)+1)</f>
        <v/>
      </c>
      <c r="B32" s="277"/>
      <c r="C32" s="277"/>
      <c r="D32" s="278"/>
      <c r="E32" s="279"/>
      <c r="F32" s="279"/>
      <c r="G32" s="280"/>
      <c r="H32" s="280"/>
      <c r="I32" s="279"/>
      <c r="J32" s="290"/>
      <c r="K32" s="281"/>
      <c r="L32" s="282"/>
      <c r="M32" s="284"/>
      <c r="N32" s="76"/>
      <c r="O32" s="76"/>
      <c r="P32" s="77"/>
      <c r="Q32" s="77"/>
      <c r="R32" s="77"/>
      <c r="S32" s="88"/>
      <c r="T32" s="71"/>
      <c r="U32" s="37"/>
      <c r="V32" s="36">
        <f t="shared" si="0"/>
        <v>0</v>
      </c>
    </row>
    <row r="33" spans="1:22" ht="30" customHeight="1" x14ac:dyDescent="0.25">
      <c r="A33" s="97" t="str">
        <f>IF(D33="","",MAX($A$2:A32)+1)</f>
        <v/>
      </c>
      <c r="B33" s="277"/>
      <c r="C33" s="277"/>
      <c r="D33" s="278"/>
      <c r="E33" s="279"/>
      <c r="F33" s="279"/>
      <c r="G33" s="280"/>
      <c r="H33" s="280"/>
      <c r="I33" s="279"/>
      <c r="J33" s="290"/>
      <c r="K33" s="281"/>
      <c r="L33" s="282"/>
      <c r="M33" s="284"/>
      <c r="N33" s="76"/>
      <c r="O33" s="76"/>
      <c r="P33" s="77"/>
      <c r="Q33" s="77"/>
      <c r="R33" s="77"/>
      <c r="S33" s="88"/>
      <c r="T33" s="71"/>
      <c r="U33" s="37"/>
      <c r="V33" s="36">
        <f t="shared" si="0"/>
        <v>0</v>
      </c>
    </row>
    <row r="34" spans="1:22" ht="30" customHeight="1" x14ac:dyDescent="0.25">
      <c r="A34" s="97" t="str">
        <f>IF(D34="","",MAX($A$2:A33)+1)</f>
        <v/>
      </c>
      <c r="B34" s="277"/>
      <c r="C34" s="277"/>
      <c r="D34" s="278"/>
      <c r="E34" s="279"/>
      <c r="F34" s="279"/>
      <c r="G34" s="280"/>
      <c r="H34" s="280"/>
      <c r="I34" s="279"/>
      <c r="J34" s="290"/>
      <c r="K34" s="281"/>
      <c r="L34" s="282"/>
      <c r="M34" s="284"/>
      <c r="N34" s="76"/>
      <c r="O34" s="76"/>
      <c r="P34" s="77"/>
      <c r="Q34" s="77"/>
      <c r="R34" s="77"/>
      <c r="S34" s="88"/>
      <c r="T34" s="71"/>
      <c r="U34" s="37"/>
      <c r="V34" s="36">
        <f t="shared" si="0"/>
        <v>0</v>
      </c>
    </row>
    <row r="35" spans="1:22" ht="30" customHeight="1" x14ac:dyDescent="0.25">
      <c r="A35" s="97" t="str">
        <f>IF(D35="","",MAX($A$2:A34)+1)</f>
        <v/>
      </c>
      <c r="B35" s="277"/>
      <c r="C35" s="277"/>
      <c r="D35" s="278"/>
      <c r="E35" s="279"/>
      <c r="F35" s="279"/>
      <c r="G35" s="280"/>
      <c r="H35" s="280"/>
      <c r="I35" s="279"/>
      <c r="J35" s="290"/>
      <c r="K35" s="281"/>
      <c r="L35" s="282"/>
      <c r="M35" s="284"/>
      <c r="N35" s="76"/>
      <c r="O35" s="76"/>
      <c r="P35" s="77"/>
      <c r="Q35" s="77"/>
      <c r="R35" s="77"/>
      <c r="S35" s="88"/>
      <c r="T35" s="71"/>
      <c r="U35" s="37"/>
      <c r="V35" s="36">
        <f t="shared" si="0"/>
        <v>0</v>
      </c>
    </row>
    <row r="36" spans="1:22" ht="30" customHeight="1" x14ac:dyDescent="0.25">
      <c r="A36" s="97" t="str">
        <f>IF(D36="","",MAX($A$2:A35)+1)</f>
        <v/>
      </c>
      <c r="B36" s="277"/>
      <c r="C36" s="277"/>
      <c r="D36" s="278"/>
      <c r="E36" s="279"/>
      <c r="F36" s="279"/>
      <c r="G36" s="280"/>
      <c r="H36" s="280"/>
      <c r="I36" s="279"/>
      <c r="J36" s="290"/>
      <c r="K36" s="281"/>
      <c r="L36" s="282"/>
      <c r="M36" s="283"/>
      <c r="N36" s="76"/>
      <c r="O36" s="76"/>
      <c r="P36" s="77"/>
      <c r="Q36" s="77"/>
      <c r="R36" s="77"/>
      <c r="S36" s="88"/>
      <c r="T36" s="71"/>
      <c r="U36" s="37"/>
      <c r="V36" s="36">
        <f t="shared" si="0"/>
        <v>0</v>
      </c>
    </row>
    <row r="37" spans="1:22" ht="30" customHeight="1" x14ac:dyDescent="0.25">
      <c r="A37" s="97" t="str">
        <f>IF(D37="","",MAX($A$2:A36)+1)</f>
        <v/>
      </c>
      <c r="B37" s="277"/>
      <c r="C37" s="277"/>
      <c r="D37" s="278"/>
      <c r="E37" s="279"/>
      <c r="F37" s="279"/>
      <c r="G37" s="280"/>
      <c r="H37" s="280"/>
      <c r="I37" s="279"/>
      <c r="J37" s="290"/>
      <c r="K37" s="281"/>
      <c r="L37" s="282"/>
      <c r="M37" s="284"/>
      <c r="N37" s="76"/>
      <c r="O37" s="76"/>
      <c r="P37" s="77"/>
      <c r="Q37" s="77"/>
      <c r="R37" s="77"/>
      <c r="S37" s="88"/>
      <c r="T37" s="71"/>
      <c r="U37" s="37"/>
      <c r="V37" s="36">
        <f t="shared" si="0"/>
        <v>0</v>
      </c>
    </row>
    <row r="38" spans="1:22" ht="30" customHeight="1" x14ac:dyDescent="0.25">
      <c r="A38" s="97" t="str">
        <f>IF(D38="","",MAX($A$2:A37)+1)</f>
        <v/>
      </c>
      <c r="B38" s="277"/>
      <c r="C38" s="277"/>
      <c r="D38" s="278"/>
      <c r="E38" s="279"/>
      <c r="F38" s="279"/>
      <c r="G38" s="280"/>
      <c r="H38" s="280"/>
      <c r="I38" s="279"/>
      <c r="J38" s="290"/>
      <c r="K38" s="281"/>
      <c r="L38" s="282"/>
      <c r="M38" s="283"/>
      <c r="N38" s="76"/>
      <c r="O38" s="76"/>
      <c r="P38" s="77"/>
      <c r="Q38" s="77"/>
      <c r="R38" s="77"/>
      <c r="S38" s="88"/>
      <c r="T38" s="71"/>
      <c r="U38" s="37"/>
      <c r="V38" s="36">
        <f t="shared" si="0"/>
        <v>0</v>
      </c>
    </row>
    <row r="39" spans="1:22" ht="30" customHeight="1" x14ac:dyDescent="0.25">
      <c r="A39" s="97" t="str">
        <f>IF(D39="","",MAX($A$2:A38)+1)</f>
        <v/>
      </c>
      <c r="B39" s="277"/>
      <c r="C39" s="277"/>
      <c r="D39" s="278"/>
      <c r="E39" s="279"/>
      <c r="F39" s="279"/>
      <c r="G39" s="280"/>
      <c r="H39" s="280"/>
      <c r="I39" s="279"/>
      <c r="J39" s="290"/>
      <c r="K39" s="281"/>
      <c r="L39" s="282"/>
      <c r="M39" s="284"/>
      <c r="N39" s="76"/>
      <c r="O39" s="76"/>
      <c r="P39" s="77"/>
      <c r="Q39" s="77"/>
      <c r="R39" s="77"/>
      <c r="S39" s="88"/>
      <c r="T39" s="71"/>
      <c r="U39" s="37"/>
      <c r="V39" s="36">
        <f t="shared" si="0"/>
        <v>0</v>
      </c>
    </row>
    <row r="40" spans="1:22" ht="30" customHeight="1" x14ac:dyDescent="0.25">
      <c r="A40" s="97" t="str">
        <f>IF(D40="","",MAX($A$2:A39)+1)</f>
        <v/>
      </c>
      <c r="B40" s="277"/>
      <c r="C40" s="277"/>
      <c r="D40" s="278"/>
      <c r="E40" s="279"/>
      <c r="F40" s="279"/>
      <c r="G40" s="280"/>
      <c r="H40" s="280"/>
      <c r="I40" s="279"/>
      <c r="J40" s="290"/>
      <c r="K40" s="281"/>
      <c r="L40" s="282"/>
      <c r="M40" s="284"/>
      <c r="N40" s="76"/>
      <c r="O40" s="76"/>
      <c r="P40" s="77"/>
      <c r="Q40" s="77"/>
      <c r="R40" s="77"/>
      <c r="S40" s="88"/>
      <c r="T40" s="71"/>
      <c r="U40" s="37"/>
      <c r="V40" s="36">
        <f t="shared" si="0"/>
        <v>0</v>
      </c>
    </row>
    <row r="41" spans="1:22" ht="30" customHeight="1" x14ac:dyDescent="0.25">
      <c r="A41" s="97" t="str">
        <f>IF(D41="","",MAX($A$2:A40)+1)</f>
        <v/>
      </c>
      <c r="B41" s="277"/>
      <c r="C41" s="277"/>
      <c r="D41" s="278"/>
      <c r="E41" s="279"/>
      <c r="F41" s="279"/>
      <c r="G41" s="280"/>
      <c r="H41" s="280"/>
      <c r="I41" s="279"/>
      <c r="J41" s="290"/>
      <c r="K41" s="281"/>
      <c r="L41" s="282"/>
      <c r="M41" s="284"/>
      <c r="N41" s="76"/>
      <c r="O41" s="76"/>
      <c r="P41" s="77"/>
      <c r="Q41" s="77"/>
      <c r="R41" s="77"/>
      <c r="S41" s="88"/>
      <c r="T41" s="71"/>
      <c r="U41" s="37"/>
      <c r="V41" s="36">
        <f t="shared" si="0"/>
        <v>0</v>
      </c>
    </row>
    <row r="42" spans="1:22" ht="30" customHeight="1" x14ac:dyDescent="0.25">
      <c r="A42" s="97" t="str">
        <f>IF(D42="","",MAX($A$2:A41)+1)</f>
        <v/>
      </c>
      <c r="B42" s="277"/>
      <c r="C42" s="277"/>
      <c r="D42" s="278"/>
      <c r="E42" s="279"/>
      <c r="F42" s="279"/>
      <c r="G42" s="280"/>
      <c r="H42" s="280"/>
      <c r="I42" s="279"/>
      <c r="J42" s="290"/>
      <c r="K42" s="281"/>
      <c r="L42" s="282"/>
      <c r="M42" s="284"/>
      <c r="N42" s="76"/>
      <c r="O42" s="76"/>
      <c r="P42" s="77"/>
      <c r="Q42" s="77"/>
      <c r="R42" s="77"/>
      <c r="S42" s="88"/>
      <c r="T42" s="71"/>
      <c r="U42" s="37"/>
      <c r="V42" s="36">
        <f t="shared" si="0"/>
        <v>0</v>
      </c>
    </row>
    <row r="43" spans="1:22" ht="30" customHeight="1" x14ac:dyDescent="0.25">
      <c r="A43" s="97" t="str">
        <f>IF(D43="","",MAX($A$2:A42)+1)</f>
        <v/>
      </c>
      <c r="B43" s="277"/>
      <c r="C43" s="277"/>
      <c r="D43" s="278"/>
      <c r="E43" s="279"/>
      <c r="F43" s="279"/>
      <c r="G43" s="280"/>
      <c r="H43" s="280"/>
      <c r="I43" s="279"/>
      <c r="J43" s="290"/>
      <c r="K43" s="281"/>
      <c r="L43" s="282"/>
      <c r="M43" s="284"/>
      <c r="N43" s="76"/>
      <c r="O43" s="76"/>
      <c r="P43" s="77"/>
      <c r="Q43" s="77"/>
      <c r="R43" s="77"/>
      <c r="S43" s="88"/>
      <c r="T43" s="71"/>
      <c r="U43" s="37"/>
      <c r="V43" s="36">
        <f t="shared" si="0"/>
        <v>0</v>
      </c>
    </row>
    <row r="44" spans="1:22" ht="30" customHeight="1" x14ac:dyDescent="0.25">
      <c r="A44" s="97" t="str">
        <f>IF(D44="","",MAX($A$2:A43)+1)</f>
        <v/>
      </c>
      <c r="B44" s="277"/>
      <c r="C44" s="277"/>
      <c r="D44" s="278"/>
      <c r="E44" s="279"/>
      <c r="F44" s="279"/>
      <c r="G44" s="280"/>
      <c r="H44" s="280"/>
      <c r="I44" s="279"/>
      <c r="J44" s="290"/>
      <c r="K44" s="281"/>
      <c r="L44" s="282"/>
      <c r="M44" s="283"/>
      <c r="N44" s="76"/>
      <c r="O44" s="76"/>
      <c r="P44" s="77"/>
      <c r="Q44" s="77"/>
      <c r="R44" s="77"/>
      <c r="S44" s="88"/>
      <c r="T44" s="71"/>
      <c r="U44" s="37"/>
      <c r="V44" s="36">
        <f t="shared" si="0"/>
        <v>0</v>
      </c>
    </row>
    <row r="45" spans="1:22" ht="30" customHeight="1" x14ac:dyDescent="0.25">
      <c r="A45" s="97" t="str">
        <f>IF(D45="","",MAX($A$2:A44)+1)</f>
        <v/>
      </c>
      <c r="B45" s="277"/>
      <c r="C45" s="277"/>
      <c r="D45" s="278"/>
      <c r="E45" s="279"/>
      <c r="F45" s="279"/>
      <c r="G45" s="280"/>
      <c r="H45" s="280"/>
      <c r="I45" s="279"/>
      <c r="J45" s="290"/>
      <c r="K45" s="281"/>
      <c r="L45" s="282"/>
      <c r="M45" s="284"/>
      <c r="N45" s="76"/>
      <c r="O45" s="76"/>
      <c r="P45" s="77"/>
      <c r="Q45" s="77"/>
      <c r="R45" s="77"/>
      <c r="S45" s="88"/>
      <c r="T45" s="71"/>
      <c r="U45" s="37"/>
      <c r="V45" s="36">
        <f>COUNTIF($B$2:$B$501,B45)</f>
        <v>0</v>
      </c>
    </row>
    <row r="46" spans="1:22" ht="30" customHeight="1" x14ac:dyDescent="0.25">
      <c r="A46" s="97" t="str">
        <f>IF(D46="","",MAX($A$2:A45)+1)</f>
        <v/>
      </c>
      <c r="B46" s="277"/>
      <c r="C46" s="277"/>
      <c r="D46" s="278"/>
      <c r="E46" s="279"/>
      <c r="F46" s="279"/>
      <c r="G46" s="280"/>
      <c r="H46" s="280"/>
      <c r="I46" s="279"/>
      <c r="J46" s="290"/>
      <c r="K46" s="281"/>
      <c r="L46" s="282"/>
      <c r="M46" s="283"/>
      <c r="N46" s="76"/>
      <c r="O46" s="76"/>
      <c r="P46" s="77"/>
      <c r="Q46" s="77"/>
      <c r="R46" s="77"/>
      <c r="S46" s="88"/>
      <c r="T46" s="71"/>
      <c r="U46" s="37"/>
      <c r="V46" s="36">
        <f t="shared" ref="V46:V109" si="1">COUNTIF($B$2:$B$501,D46)</f>
        <v>0</v>
      </c>
    </row>
    <row r="47" spans="1:22" ht="30" customHeight="1" x14ac:dyDescent="0.25">
      <c r="A47" s="97" t="str">
        <f>IF(D47="","",MAX($A$2:A46)+1)</f>
        <v/>
      </c>
      <c r="B47" s="277"/>
      <c r="C47" s="277"/>
      <c r="D47" s="278"/>
      <c r="E47" s="279"/>
      <c r="F47" s="279"/>
      <c r="G47" s="280"/>
      <c r="H47" s="280"/>
      <c r="I47" s="279"/>
      <c r="J47" s="290"/>
      <c r="K47" s="281"/>
      <c r="L47" s="282"/>
      <c r="M47" s="284"/>
      <c r="N47" s="76"/>
      <c r="O47" s="76"/>
      <c r="P47" s="77"/>
      <c r="Q47" s="77"/>
      <c r="R47" s="77"/>
      <c r="S47" s="88"/>
      <c r="T47" s="71"/>
      <c r="U47" s="37"/>
      <c r="V47" s="36">
        <f t="shared" si="1"/>
        <v>0</v>
      </c>
    </row>
    <row r="48" spans="1:22" ht="30" customHeight="1" x14ac:dyDescent="0.25">
      <c r="A48" s="97" t="str">
        <f>IF(D48="","",MAX($A$2:A47)+1)</f>
        <v/>
      </c>
      <c r="B48" s="277"/>
      <c r="C48" s="277"/>
      <c r="D48" s="278"/>
      <c r="E48" s="279"/>
      <c r="F48" s="279"/>
      <c r="G48" s="280"/>
      <c r="H48" s="280"/>
      <c r="I48" s="279"/>
      <c r="J48" s="290"/>
      <c r="K48" s="281"/>
      <c r="L48" s="282"/>
      <c r="M48" s="284"/>
      <c r="N48" s="76"/>
      <c r="O48" s="76"/>
      <c r="P48" s="77"/>
      <c r="Q48" s="77"/>
      <c r="R48" s="77"/>
      <c r="S48" s="88"/>
      <c r="T48" s="71"/>
      <c r="U48" s="37"/>
      <c r="V48" s="36">
        <f t="shared" si="1"/>
        <v>0</v>
      </c>
    </row>
    <row r="49" spans="1:22" ht="30" customHeight="1" x14ac:dyDescent="0.25">
      <c r="A49" s="97" t="str">
        <f>IF(D49="","",MAX($A$2:A48)+1)</f>
        <v/>
      </c>
      <c r="B49" s="277"/>
      <c r="C49" s="277"/>
      <c r="D49" s="278"/>
      <c r="E49" s="279"/>
      <c r="F49" s="279"/>
      <c r="G49" s="280"/>
      <c r="H49" s="280"/>
      <c r="I49" s="279"/>
      <c r="J49" s="290"/>
      <c r="K49" s="281"/>
      <c r="L49" s="282"/>
      <c r="M49" s="284"/>
      <c r="N49" s="76"/>
      <c r="O49" s="76"/>
      <c r="P49" s="77"/>
      <c r="Q49" s="77"/>
      <c r="R49" s="77"/>
      <c r="S49" s="88"/>
      <c r="T49" s="71"/>
      <c r="U49" s="37"/>
      <c r="V49" s="36">
        <f t="shared" si="1"/>
        <v>0</v>
      </c>
    </row>
    <row r="50" spans="1:22" ht="30" customHeight="1" x14ac:dyDescent="0.25">
      <c r="A50" s="97" t="str">
        <f>IF(D50="","",MAX($A$2:A49)+1)</f>
        <v/>
      </c>
      <c r="B50" s="277"/>
      <c r="C50" s="277"/>
      <c r="D50" s="278"/>
      <c r="E50" s="279"/>
      <c r="F50" s="279"/>
      <c r="G50" s="280"/>
      <c r="H50" s="280"/>
      <c r="I50" s="279"/>
      <c r="J50" s="290"/>
      <c r="K50" s="281"/>
      <c r="L50" s="282"/>
      <c r="M50" s="284"/>
      <c r="N50" s="76"/>
      <c r="O50" s="76"/>
      <c r="P50" s="77"/>
      <c r="Q50" s="77"/>
      <c r="R50" s="77"/>
      <c r="S50" s="88"/>
      <c r="T50" s="71"/>
      <c r="U50" s="37"/>
      <c r="V50" s="36">
        <f t="shared" si="1"/>
        <v>0</v>
      </c>
    </row>
    <row r="51" spans="1:22" ht="30" customHeight="1" x14ac:dyDescent="0.25">
      <c r="A51" s="97" t="str">
        <f>IF(D51="","",MAX($A$2:A50)+1)</f>
        <v/>
      </c>
      <c r="B51" s="277"/>
      <c r="C51" s="277"/>
      <c r="D51" s="278"/>
      <c r="E51" s="279"/>
      <c r="F51" s="279"/>
      <c r="G51" s="280"/>
      <c r="H51" s="280"/>
      <c r="I51" s="279"/>
      <c r="J51" s="290"/>
      <c r="K51" s="281"/>
      <c r="L51" s="282"/>
      <c r="M51" s="284"/>
      <c r="N51" s="76"/>
      <c r="O51" s="76"/>
      <c r="P51" s="77"/>
      <c r="Q51" s="77"/>
      <c r="R51" s="77"/>
      <c r="S51" s="88"/>
      <c r="T51" s="71"/>
      <c r="U51" s="37"/>
      <c r="V51" s="36">
        <f t="shared" si="1"/>
        <v>0</v>
      </c>
    </row>
    <row r="52" spans="1:22" ht="30" customHeight="1" x14ac:dyDescent="0.25">
      <c r="A52" s="97" t="str">
        <f>IF(D52="","",MAX($A$2:A51)+1)</f>
        <v/>
      </c>
      <c r="B52" s="277"/>
      <c r="C52" s="277"/>
      <c r="D52" s="278"/>
      <c r="E52" s="279"/>
      <c r="F52" s="279"/>
      <c r="G52" s="280"/>
      <c r="H52" s="280"/>
      <c r="I52" s="279"/>
      <c r="J52" s="290"/>
      <c r="K52" s="281"/>
      <c r="L52" s="282"/>
      <c r="M52" s="283"/>
      <c r="N52" s="76"/>
      <c r="O52" s="76"/>
      <c r="P52" s="77"/>
      <c r="Q52" s="77"/>
      <c r="R52" s="77"/>
      <c r="S52" s="88"/>
      <c r="T52" s="71"/>
      <c r="U52" s="37"/>
      <c r="V52" s="36">
        <f t="shared" si="1"/>
        <v>0</v>
      </c>
    </row>
    <row r="53" spans="1:22" ht="30" customHeight="1" x14ac:dyDescent="0.25">
      <c r="A53" s="97" t="str">
        <f>IF(D53="","",MAX($A$2:A52)+1)</f>
        <v/>
      </c>
      <c r="B53" s="277"/>
      <c r="C53" s="277"/>
      <c r="D53" s="278"/>
      <c r="E53" s="279"/>
      <c r="F53" s="279"/>
      <c r="G53" s="280"/>
      <c r="H53" s="280"/>
      <c r="I53" s="279"/>
      <c r="J53" s="290"/>
      <c r="K53" s="281"/>
      <c r="L53" s="282"/>
      <c r="M53" s="284"/>
      <c r="N53" s="76"/>
      <c r="O53" s="76"/>
      <c r="P53" s="77"/>
      <c r="Q53" s="77"/>
      <c r="R53" s="77"/>
      <c r="S53" s="88"/>
      <c r="T53" s="71"/>
      <c r="U53" s="37"/>
      <c r="V53" s="36">
        <f t="shared" si="1"/>
        <v>0</v>
      </c>
    </row>
    <row r="54" spans="1:22" ht="30" customHeight="1" x14ac:dyDescent="0.25">
      <c r="A54" s="97" t="str">
        <f>IF(D54="","",MAX($A$2:A53)+1)</f>
        <v/>
      </c>
      <c r="B54" s="277"/>
      <c r="C54" s="277"/>
      <c r="D54" s="278"/>
      <c r="E54" s="279"/>
      <c r="F54" s="279"/>
      <c r="G54" s="280"/>
      <c r="H54" s="280"/>
      <c r="I54" s="279"/>
      <c r="J54" s="290"/>
      <c r="K54" s="281"/>
      <c r="L54" s="282"/>
      <c r="M54" s="284"/>
      <c r="N54" s="76"/>
      <c r="O54" s="76"/>
      <c r="P54" s="77"/>
      <c r="Q54" s="77"/>
      <c r="R54" s="77"/>
      <c r="S54" s="88"/>
      <c r="T54" s="71"/>
      <c r="U54" s="37"/>
      <c r="V54" s="36">
        <f t="shared" si="1"/>
        <v>0</v>
      </c>
    </row>
    <row r="55" spans="1:22" ht="30" customHeight="1" x14ac:dyDescent="0.25">
      <c r="A55" s="97" t="str">
        <f>IF(D55="","",MAX($A$2:A54)+1)</f>
        <v/>
      </c>
      <c r="B55" s="277"/>
      <c r="C55" s="277"/>
      <c r="D55" s="278"/>
      <c r="E55" s="279"/>
      <c r="F55" s="279"/>
      <c r="G55" s="280"/>
      <c r="H55" s="280"/>
      <c r="I55" s="279"/>
      <c r="J55" s="290"/>
      <c r="K55" s="281"/>
      <c r="L55" s="282"/>
      <c r="M55" s="284"/>
      <c r="N55" s="76"/>
      <c r="O55" s="76"/>
      <c r="P55" s="77"/>
      <c r="Q55" s="77"/>
      <c r="R55" s="77"/>
      <c r="S55" s="88"/>
      <c r="T55" s="71"/>
      <c r="U55" s="37"/>
      <c r="V55" s="36">
        <f t="shared" si="1"/>
        <v>0</v>
      </c>
    </row>
    <row r="56" spans="1:22" ht="30" customHeight="1" x14ac:dyDescent="0.25">
      <c r="A56" s="97" t="str">
        <f>IF(D56="","",MAX($A$2:A55)+1)</f>
        <v/>
      </c>
      <c r="B56" s="277"/>
      <c r="C56" s="277"/>
      <c r="D56" s="278"/>
      <c r="E56" s="279"/>
      <c r="F56" s="279"/>
      <c r="G56" s="280"/>
      <c r="H56" s="280"/>
      <c r="I56" s="279"/>
      <c r="J56" s="290"/>
      <c r="K56" s="281"/>
      <c r="L56" s="282"/>
      <c r="M56" s="284"/>
      <c r="N56" s="76"/>
      <c r="O56" s="76"/>
      <c r="P56" s="77"/>
      <c r="Q56" s="77"/>
      <c r="R56" s="77"/>
      <c r="S56" s="88"/>
      <c r="T56" s="71"/>
      <c r="U56" s="37"/>
      <c r="V56" s="36">
        <f t="shared" si="1"/>
        <v>0</v>
      </c>
    </row>
    <row r="57" spans="1:22" ht="30" customHeight="1" x14ac:dyDescent="0.25">
      <c r="A57" s="97" t="str">
        <f>IF(D57="","",MAX($A$2:A56)+1)</f>
        <v/>
      </c>
      <c r="B57" s="277"/>
      <c r="C57" s="277"/>
      <c r="D57" s="278"/>
      <c r="E57" s="279"/>
      <c r="F57" s="279"/>
      <c r="G57" s="280"/>
      <c r="H57" s="280"/>
      <c r="I57" s="279"/>
      <c r="J57" s="290"/>
      <c r="K57" s="281"/>
      <c r="L57" s="282"/>
      <c r="M57" s="284"/>
      <c r="N57" s="76"/>
      <c r="O57" s="76"/>
      <c r="P57" s="77"/>
      <c r="Q57" s="77"/>
      <c r="R57" s="77"/>
      <c r="S57" s="88"/>
      <c r="T57" s="71"/>
      <c r="U57" s="37"/>
      <c r="V57" s="36">
        <f t="shared" si="1"/>
        <v>0</v>
      </c>
    </row>
    <row r="58" spans="1:22" ht="30" customHeight="1" x14ac:dyDescent="0.25">
      <c r="A58" s="97" t="str">
        <f>IF(D58="","",MAX($A$2:A57)+1)</f>
        <v/>
      </c>
      <c r="B58" s="277"/>
      <c r="C58" s="277"/>
      <c r="D58" s="278"/>
      <c r="E58" s="279"/>
      <c r="F58" s="279"/>
      <c r="G58" s="280"/>
      <c r="H58" s="280"/>
      <c r="I58" s="279"/>
      <c r="J58" s="290"/>
      <c r="K58" s="281"/>
      <c r="L58" s="282"/>
      <c r="M58" s="284"/>
      <c r="N58" s="76"/>
      <c r="O58" s="76"/>
      <c r="P58" s="77"/>
      <c r="Q58" s="77"/>
      <c r="R58" s="77"/>
      <c r="S58" s="88"/>
      <c r="T58" s="71"/>
      <c r="U58" s="37"/>
      <c r="V58" s="36">
        <f t="shared" si="1"/>
        <v>0</v>
      </c>
    </row>
    <row r="59" spans="1:22" ht="30" customHeight="1" x14ac:dyDescent="0.25">
      <c r="A59" s="97" t="str">
        <f>IF(D59="","",MAX($A$2:A58)+1)</f>
        <v/>
      </c>
      <c r="B59" s="277"/>
      <c r="C59" s="277"/>
      <c r="D59" s="278"/>
      <c r="E59" s="279"/>
      <c r="F59" s="279"/>
      <c r="G59" s="280"/>
      <c r="H59" s="280"/>
      <c r="I59" s="279"/>
      <c r="J59" s="290"/>
      <c r="K59" s="281"/>
      <c r="L59" s="282"/>
      <c r="M59" s="284"/>
      <c r="N59" s="76"/>
      <c r="O59" s="76"/>
      <c r="P59" s="77"/>
      <c r="Q59" s="77"/>
      <c r="R59" s="77"/>
      <c r="S59" s="88"/>
      <c r="T59" s="71"/>
      <c r="U59" s="37"/>
      <c r="V59" s="36">
        <f t="shared" si="1"/>
        <v>0</v>
      </c>
    </row>
    <row r="60" spans="1:22" ht="30" customHeight="1" x14ac:dyDescent="0.25">
      <c r="A60" s="97" t="str">
        <f>IF(D60="","",MAX($A$2:A59)+1)</f>
        <v/>
      </c>
      <c r="B60" s="277"/>
      <c r="C60" s="277"/>
      <c r="D60" s="278"/>
      <c r="E60" s="279"/>
      <c r="F60" s="279"/>
      <c r="G60" s="280"/>
      <c r="H60" s="280"/>
      <c r="I60" s="279"/>
      <c r="J60" s="290"/>
      <c r="K60" s="281"/>
      <c r="L60" s="282"/>
      <c r="M60" s="284"/>
      <c r="N60" s="76"/>
      <c r="O60" s="76"/>
      <c r="P60" s="77"/>
      <c r="Q60" s="77"/>
      <c r="R60" s="77"/>
      <c r="S60" s="88"/>
      <c r="T60" s="71"/>
      <c r="U60" s="37"/>
      <c r="V60" s="36">
        <f t="shared" si="1"/>
        <v>0</v>
      </c>
    </row>
    <row r="61" spans="1:22" ht="30" customHeight="1" x14ac:dyDescent="0.25">
      <c r="A61" s="97" t="str">
        <f>IF(D61="","",MAX($A$2:A60)+1)</f>
        <v/>
      </c>
      <c r="B61" s="277"/>
      <c r="C61" s="277"/>
      <c r="D61" s="278"/>
      <c r="E61" s="279"/>
      <c r="F61" s="279"/>
      <c r="G61" s="280"/>
      <c r="H61" s="280"/>
      <c r="I61" s="279"/>
      <c r="J61" s="290"/>
      <c r="K61" s="281"/>
      <c r="L61" s="282"/>
      <c r="M61" s="284"/>
      <c r="N61" s="76"/>
      <c r="O61" s="76"/>
      <c r="P61" s="77"/>
      <c r="Q61" s="77"/>
      <c r="R61" s="77"/>
      <c r="S61" s="88"/>
      <c r="T61" s="71"/>
      <c r="U61" s="37"/>
      <c r="V61" s="36">
        <f t="shared" si="1"/>
        <v>0</v>
      </c>
    </row>
    <row r="62" spans="1:22" ht="30" customHeight="1" x14ac:dyDescent="0.25">
      <c r="A62" s="97" t="str">
        <f>IF(D62="","",MAX($A$2:A61)+1)</f>
        <v/>
      </c>
      <c r="B62" s="277"/>
      <c r="C62" s="277"/>
      <c r="D62" s="278"/>
      <c r="E62" s="279"/>
      <c r="F62" s="279"/>
      <c r="G62" s="280"/>
      <c r="H62" s="280"/>
      <c r="I62" s="279"/>
      <c r="J62" s="290"/>
      <c r="K62" s="281"/>
      <c r="L62" s="282"/>
      <c r="M62" s="284"/>
      <c r="N62" s="76"/>
      <c r="O62" s="76"/>
      <c r="P62" s="77"/>
      <c r="Q62" s="77"/>
      <c r="R62" s="77"/>
      <c r="S62" s="88"/>
      <c r="T62" s="71"/>
      <c r="U62" s="37"/>
      <c r="V62" s="36">
        <f t="shared" si="1"/>
        <v>0</v>
      </c>
    </row>
    <row r="63" spans="1:22" ht="30" customHeight="1" x14ac:dyDescent="0.25">
      <c r="A63" s="97" t="str">
        <f>IF(D63="","",MAX($A$2:A62)+1)</f>
        <v/>
      </c>
      <c r="B63" s="277"/>
      <c r="C63" s="277"/>
      <c r="D63" s="278"/>
      <c r="E63" s="279"/>
      <c r="F63" s="279"/>
      <c r="G63" s="280"/>
      <c r="H63" s="280"/>
      <c r="I63" s="279"/>
      <c r="J63" s="290"/>
      <c r="K63" s="281"/>
      <c r="L63" s="282"/>
      <c r="M63" s="284"/>
      <c r="N63" s="76"/>
      <c r="O63" s="76"/>
      <c r="P63" s="77"/>
      <c r="Q63" s="77"/>
      <c r="R63" s="77"/>
      <c r="S63" s="88"/>
      <c r="T63" s="71"/>
      <c r="U63" s="37"/>
      <c r="V63" s="36">
        <f t="shared" si="1"/>
        <v>0</v>
      </c>
    </row>
    <row r="64" spans="1:22" ht="30" customHeight="1" x14ac:dyDescent="0.25">
      <c r="A64" s="97" t="str">
        <f>IF(D64="","",MAX($A$2:A63)+1)</f>
        <v/>
      </c>
      <c r="B64" s="277"/>
      <c r="C64" s="277"/>
      <c r="D64" s="278"/>
      <c r="E64" s="279"/>
      <c r="F64" s="279"/>
      <c r="G64" s="280"/>
      <c r="H64" s="280"/>
      <c r="I64" s="279"/>
      <c r="J64" s="290"/>
      <c r="K64" s="281"/>
      <c r="L64" s="282"/>
      <c r="M64" s="284"/>
      <c r="N64" s="76"/>
      <c r="O64" s="76"/>
      <c r="P64" s="77"/>
      <c r="Q64" s="77"/>
      <c r="R64" s="77"/>
      <c r="S64" s="88"/>
      <c r="T64" s="71"/>
      <c r="U64" s="37"/>
      <c r="V64" s="36">
        <f t="shared" si="1"/>
        <v>0</v>
      </c>
    </row>
    <row r="65" spans="1:24" ht="30" customHeight="1" x14ac:dyDescent="0.25">
      <c r="A65" s="97" t="str">
        <f>IF(D65="","",MAX($A$2:A64)+1)</f>
        <v/>
      </c>
      <c r="B65" s="277"/>
      <c r="C65" s="277"/>
      <c r="D65" s="278"/>
      <c r="E65" s="279"/>
      <c r="F65" s="279"/>
      <c r="G65" s="280"/>
      <c r="H65" s="280"/>
      <c r="I65" s="279"/>
      <c r="J65" s="290"/>
      <c r="K65" s="281"/>
      <c r="L65" s="282"/>
      <c r="M65" s="284"/>
      <c r="N65" s="76"/>
      <c r="O65" s="76"/>
      <c r="P65" s="77"/>
      <c r="Q65" s="77"/>
      <c r="R65" s="77"/>
      <c r="S65" s="88"/>
      <c r="T65" s="71"/>
      <c r="U65" s="37"/>
      <c r="V65" s="36">
        <f t="shared" si="1"/>
        <v>0</v>
      </c>
    </row>
    <row r="66" spans="1:24" ht="30" customHeight="1" x14ac:dyDescent="0.25">
      <c r="A66" s="97" t="str">
        <f>IF(D66="","",MAX($A$2:A65)+1)</f>
        <v/>
      </c>
      <c r="B66" s="277"/>
      <c r="C66" s="277"/>
      <c r="D66" s="278"/>
      <c r="E66" s="279"/>
      <c r="F66" s="279"/>
      <c r="G66" s="280"/>
      <c r="H66" s="280"/>
      <c r="I66" s="279"/>
      <c r="J66" s="290"/>
      <c r="K66" s="281"/>
      <c r="L66" s="282"/>
      <c r="M66" s="284"/>
      <c r="N66" s="76"/>
      <c r="O66" s="76"/>
      <c r="P66" s="77"/>
      <c r="Q66" s="77"/>
      <c r="R66" s="77"/>
      <c r="S66" s="88"/>
      <c r="T66" s="71"/>
      <c r="U66" s="37"/>
      <c r="V66" s="36">
        <f t="shared" si="1"/>
        <v>0</v>
      </c>
    </row>
    <row r="67" spans="1:24" ht="30" customHeight="1" x14ac:dyDescent="0.25">
      <c r="A67" s="97" t="str">
        <f>IF(D67="","",MAX($A$2:A66)+1)</f>
        <v/>
      </c>
      <c r="B67" s="277"/>
      <c r="C67" s="277"/>
      <c r="D67" s="278"/>
      <c r="E67" s="279"/>
      <c r="F67" s="279"/>
      <c r="G67" s="280"/>
      <c r="H67" s="280"/>
      <c r="I67" s="279"/>
      <c r="J67" s="290"/>
      <c r="K67" s="281"/>
      <c r="L67" s="282"/>
      <c r="M67" s="284"/>
      <c r="N67" s="76"/>
      <c r="O67" s="76"/>
      <c r="P67" s="77"/>
      <c r="Q67" s="77"/>
      <c r="R67" s="77"/>
      <c r="S67" s="88"/>
      <c r="T67" s="71"/>
      <c r="U67" s="37"/>
      <c r="V67" s="36">
        <f t="shared" si="1"/>
        <v>0</v>
      </c>
    </row>
    <row r="68" spans="1:24" ht="30" customHeight="1" x14ac:dyDescent="0.25">
      <c r="A68" s="97" t="str">
        <f>IF(D68="","",MAX($A$2:A67)+1)</f>
        <v/>
      </c>
      <c r="B68" s="277"/>
      <c r="C68" s="277"/>
      <c r="D68" s="278"/>
      <c r="E68" s="279"/>
      <c r="F68" s="279"/>
      <c r="G68" s="280"/>
      <c r="H68" s="280"/>
      <c r="I68" s="279"/>
      <c r="J68" s="290"/>
      <c r="K68" s="281"/>
      <c r="L68" s="282"/>
      <c r="M68" s="284"/>
      <c r="N68" s="76"/>
      <c r="O68" s="76"/>
      <c r="P68" s="77"/>
      <c r="Q68" s="77"/>
      <c r="R68" s="77"/>
      <c r="S68" s="88"/>
      <c r="T68" s="71"/>
      <c r="U68" s="37"/>
      <c r="V68" s="36">
        <f t="shared" si="1"/>
        <v>0</v>
      </c>
    </row>
    <row r="69" spans="1:24" ht="30" customHeight="1" x14ac:dyDescent="0.25">
      <c r="A69" s="97" t="str">
        <f>IF(D69="","",MAX($A$2:A68)+1)</f>
        <v/>
      </c>
      <c r="B69" s="277"/>
      <c r="C69" s="277"/>
      <c r="D69" s="278"/>
      <c r="E69" s="279"/>
      <c r="F69" s="279"/>
      <c r="G69" s="280"/>
      <c r="H69" s="280"/>
      <c r="I69" s="279"/>
      <c r="J69" s="290"/>
      <c r="K69" s="281"/>
      <c r="L69" s="282"/>
      <c r="M69" s="284"/>
      <c r="N69" s="76"/>
      <c r="O69" s="76"/>
      <c r="P69" s="77"/>
      <c r="Q69" s="77"/>
      <c r="R69" s="77"/>
      <c r="S69" s="88"/>
      <c r="T69" s="71"/>
      <c r="U69" s="37"/>
      <c r="V69" s="36">
        <f t="shared" si="1"/>
        <v>0</v>
      </c>
    </row>
    <row r="70" spans="1:24" ht="30" customHeight="1" x14ac:dyDescent="0.25">
      <c r="A70" s="97" t="str">
        <f>IF(D70="","",MAX($A$2:A69)+1)</f>
        <v/>
      </c>
      <c r="B70" s="277"/>
      <c r="C70" s="277"/>
      <c r="D70" s="278"/>
      <c r="E70" s="279"/>
      <c r="F70" s="279"/>
      <c r="G70" s="280"/>
      <c r="H70" s="280"/>
      <c r="I70" s="279"/>
      <c r="J70" s="290"/>
      <c r="K70" s="281"/>
      <c r="L70" s="282"/>
      <c r="M70" s="284"/>
      <c r="N70" s="76"/>
      <c r="O70" s="76"/>
      <c r="P70" s="77"/>
      <c r="Q70" s="77"/>
      <c r="R70" s="77"/>
      <c r="S70" s="88"/>
      <c r="T70" s="71"/>
      <c r="U70" s="37"/>
      <c r="V70" s="36">
        <f t="shared" si="1"/>
        <v>0</v>
      </c>
    </row>
    <row r="71" spans="1:24" ht="30" customHeight="1" x14ac:dyDescent="0.25">
      <c r="A71" s="97" t="str">
        <f>IF(D71="","",MAX($A$2:A70)+1)</f>
        <v/>
      </c>
      <c r="B71" s="277"/>
      <c r="C71" s="277"/>
      <c r="D71" s="278"/>
      <c r="E71" s="279"/>
      <c r="F71" s="279"/>
      <c r="G71" s="280"/>
      <c r="H71" s="280"/>
      <c r="I71" s="279"/>
      <c r="J71" s="290"/>
      <c r="K71" s="281"/>
      <c r="L71" s="282"/>
      <c r="M71" s="284"/>
      <c r="N71" s="76"/>
      <c r="O71" s="76"/>
      <c r="P71" s="77"/>
      <c r="Q71" s="77"/>
      <c r="R71" s="77"/>
      <c r="S71" s="88"/>
      <c r="T71" s="71"/>
      <c r="U71" s="37"/>
      <c r="V71" s="36">
        <f t="shared" si="1"/>
        <v>0</v>
      </c>
    </row>
    <row r="72" spans="1:24" ht="30" customHeight="1" x14ac:dyDescent="0.25">
      <c r="A72" s="97" t="str">
        <f>IF(D72="","",MAX($A$2:A71)+1)</f>
        <v/>
      </c>
      <c r="B72" s="277"/>
      <c r="C72" s="277"/>
      <c r="D72" s="278"/>
      <c r="E72" s="279"/>
      <c r="F72" s="279"/>
      <c r="G72" s="280"/>
      <c r="H72" s="280"/>
      <c r="I72" s="279"/>
      <c r="J72" s="290"/>
      <c r="K72" s="281"/>
      <c r="L72" s="282"/>
      <c r="M72" s="284"/>
      <c r="N72" s="76"/>
      <c r="O72" s="76"/>
      <c r="P72" s="77"/>
      <c r="Q72" s="77"/>
      <c r="R72" s="77"/>
      <c r="S72" s="88"/>
      <c r="T72" s="71"/>
      <c r="U72" s="37"/>
      <c r="V72" s="36">
        <f t="shared" si="1"/>
        <v>0</v>
      </c>
    </row>
    <row r="73" spans="1:24" ht="30" customHeight="1" x14ac:dyDescent="0.25">
      <c r="A73" s="97" t="str">
        <f>IF(D73="","",MAX($A$2:A72)+1)</f>
        <v/>
      </c>
      <c r="B73" s="277"/>
      <c r="C73" s="277"/>
      <c r="D73" s="278"/>
      <c r="E73" s="279"/>
      <c r="F73" s="279"/>
      <c r="G73" s="280"/>
      <c r="H73" s="280"/>
      <c r="I73" s="279"/>
      <c r="J73" s="290"/>
      <c r="K73" s="281"/>
      <c r="L73" s="282"/>
      <c r="M73" s="284"/>
      <c r="N73" s="76"/>
      <c r="O73" s="76"/>
      <c r="P73" s="77"/>
      <c r="Q73" s="77"/>
      <c r="R73" s="77"/>
      <c r="S73" s="88"/>
      <c r="T73" s="71"/>
      <c r="U73" s="37"/>
      <c r="V73" s="36">
        <f t="shared" si="1"/>
        <v>0</v>
      </c>
    </row>
    <row r="74" spans="1:24" ht="30" customHeight="1" x14ac:dyDescent="0.25">
      <c r="A74" s="97" t="str">
        <f>IF(D74="","",MAX($A$2:A73)+1)</f>
        <v/>
      </c>
      <c r="B74" s="277"/>
      <c r="C74" s="277"/>
      <c r="D74" s="278"/>
      <c r="E74" s="279"/>
      <c r="F74" s="279"/>
      <c r="G74" s="280"/>
      <c r="H74" s="280"/>
      <c r="I74" s="279"/>
      <c r="J74" s="290"/>
      <c r="K74" s="281"/>
      <c r="L74" s="282"/>
      <c r="M74" s="284"/>
      <c r="N74" s="76"/>
      <c r="O74" s="76"/>
      <c r="P74" s="77"/>
      <c r="Q74" s="77"/>
      <c r="R74" s="77"/>
      <c r="S74" s="88"/>
      <c r="T74" s="71"/>
      <c r="U74" s="37"/>
      <c r="V74" s="36">
        <f t="shared" si="1"/>
        <v>0</v>
      </c>
    </row>
    <row r="75" spans="1:24" ht="30" customHeight="1" x14ac:dyDescent="0.25">
      <c r="A75" s="97" t="str">
        <f>IF(D75="","",MAX($A$2:A74)+1)</f>
        <v/>
      </c>
      <c r="B75" s="277"/>
      <c r="C75" s="277"/>
      <c r="D75" s="278"/>
      <c r="E75" s="279"/>
      <c r="F75" s="279"/>
      <c r="G75" s="280"/>
      <c r="H75" s="280"/>
      <c r="I75" s="279"/>
      <c r="J75" s="290"/>
      <c r="K75" s="281"/>
      <c r="L75" s="282"/>
      <c r="M75" s="284"/>
      <c r="N75" s="76"/>
      <c r="O75" s="76"/>
      <c r="P75" s="77"/>
      <c r="Q75" s="77"/>
      <c r="R75" s="77"/>
      <c r="S75" s="88"/>
      <c r="T75" s="71"/>
      <c r="U75" s="37"/>
      <c r="V75" s="36">
        <f t="shared" si="1"/>
        <v>0</v>
      </c>
    </row>
    <row r="76" spans="1:24" ht="30" customHeight="1" x14ac:dyDescent="0.25">
      <c r="A76" s="97" t="str">
        <f>IF(D76="","",MAX($A$2:A75)+1)</f>
        <v/>
      </c>
      <c r="B76" s="277"/>
      <c r="C76" s="277"/>
      <c r="D76" s="278"/>
      <c r="E76" s="279"/>
      <c r="F76" s="279"/>
      <c r="G76" s="280"/>
      <c r="H76" s="280"/>
      <c r="I76" s="279"/>
      <c r="J76" s="290"/>
      <c r="K76" s="281"/>
      <c r="L76" s="282"/>
      <c r="M76" s="284"/>
      <c r="N76" s="76"/>
      <c r="O76" s="76"/>
      <c r="P76" s="77"/>
      <c r="Q76" s="77"/>
      <c r="R76" s="77"/>
      <c r="S76" s="88"/>
      <c r="T76" s="71"/>
      <c r="U76" s="37"/>
      <c r="V76" s="36">
        <f t="shared" si="1"/>
        <v>0</v>
      </c>
    </row>
    <row r="77" spans="1:24" ht="30" customHeight="1" x14ac:dyDescent="0.25">
      <c r="A77" s="97" t="str">
        <f>IF(D77="","",MAX($A$2:A76)+1)</f>
        <v/>
      </c>
      <c r="B77" s="277"/>
      <c r="C77" s="277"/>
      <c r="D77" s="278"/>
      <c r="E77" s="279"/>
      <c r="F77" s="279"/>
      <c r="G77" s="280"/>
      <c r="H77" s="280"/>
      <c r="I77" s="279"/>
      <c r="J77" s="290"/>
      <c r="K77" s="281"/>
      <c r="L77" s="282"/>
      <c r="M77" s="284"/>
      <c r="N77" s="76"/>
      <c r="O77" s="76"/>
      <c r="P77" s="77"/>
      <c r="Q77" s="77"/>
      <c r="R77" s="77"/>
      <c r="S77" s="88"/>
      <c r="T77" s="71"/>
      <c r="U77" s="37"/>
      <c r="V77" s="36">
        <f t="shared" si="1"/>
        <v>0</v>
      </c>
    </row>
    <row r="78" spans="1:24" ht="30" customHeight="1" x14ac:dyDescent="0.25">
      <c r="A78" s="97" t="str">
        <f>IF(D78="","",MAX($A$2:A77)+1)</f>
        <v/>
      </c>
      <c r="B78" s="277"/>
      <c r="C78" s="277"/>
      <c r="D78" s="278"/>
      <c r="E78" s="279"/>
      <c r="F78" s="279"/>
      <c r="G78" s="280"/>
      <c r="H78" s="280"/>
      <c r="I78" s="279"/>
      <c r="J78" s="290"/>
      <c r="K78" s="281"/>
      <c r="L78" s="282"/>
      <c r="M78" s="284"/>
      <c r="N78" s="76"/>
      <c r="O78" s="76"/>
      <c r="P78" s="77"/>
      <c r="Q78" s="77"/>
      <c r="R78" s="77"/>
      <c r="S78" s="88"/>
      <c r="T78" s="71"/>
      <c r="U78" s="37"/>
      <c r="V78" s="36">
        <f t="shared" si="1"/>
        <v>0</v>
      </c>
      <c r="X78" s="36" t="s">
        <v>125</v>
      </c>
    </row>
    <row r="79" spans="1:24" ht="30" customHeight="1" x14ac:dyDescent="0.25">
      <c r="A79" s="97" t="str">
        <f>IF(D79="","",MAX($A$2:A78)+1)</f>
        <v/>
      </c>
      <c r="B79" s="277"/>
      <c r="C79" s="277"/>
      <c r="D79" s="278"/>
      <c r="E79" s="279"/>
      <c r="F79" s="277"/>
      <c r="G79" s="280"/>
      <c r="H79" s="280"/>
      <c r="I79" s="279"/>
      <c r="J79" s="290"/>
      <c r="K79" s="281"/>
      <c r="L79" s="282"/>
      <c r="M79" s="284"/>
      <c r="N79" s="76"/>
      <c r="O79" s="76"/>
      <c r="P79" s="77"/>
      <c r="Q79" s="77"/>
      <c r="R79" s="77"/>
      <c r="S79" s="88"/>
      <c r="T79" s="71"/>
      <c r="U79" s="37"/>
      <c r="V79" s="36">
        <f t="shared" si="1"/>
        <v>0</v>
      </c>
    </row>
    <row r="80" spans="1:24" ht="30" customHeight="1" x14ac:dyDescent="0.25">
      <c r="A80" s="97" t="str">
        <f>IF(D80="","",MAX($A$2:A79)+1)</f>
        <v/>
      </c>
      <c r="B80" s="277"/>
      <c r="C80" s="277"/>
      <c r="D80" s="278"/>
      <c r="E80" s="279"/>
      <c r="F80" s="279"/>
      <c r="G80" s="280"/>
      <c r="H80" s="280"/>
      <c r="I80" s="279"/>
      <c r="J80" s="290"/>
      <c r="K80" s="281"/>
      <c r="L80" s="282"/>
      <c r="M80" s="284"/>
      <c r="N80" s="76"/>
      <c r="O80" s="76"/>
      <c r="P80" s="77"/>
      <c r="Q80" s="77"/>
      <c r="R80" s="77"/>
      <c r="S80" s="88"/>
      <c r="T80" s="71"/>
      <c r="U80" s="37"/>
      <c r="V80" s="36">
        <f t="shared" si="1"/>
        <v>0</v>
      </c>
    </row>
    <row r="81" spans="1:22" ht="30" customHeight="1" x14ac:dyDescent="0.25">
      <c r="A81" s="97" t="str">
        <f>IF(D81="","",MAX($A$2:A80)+1)</f>
        <v/>
      </c>
      <c r="B81" s="277"/>
      <c r="C81" s="277"/>
      <c r="D81" s="278"/>
      <c r="E81" s="279"/>
      <c r="F81" s="279"/>
      <c r="G81" s="280"/>
      <c r="H81" s="280"/>
      <c r="I81" s="279"/>
      <c r="J81" s="290"/>
      <c r="K81" s="281"/>
      <c r="L81" s="282"/>
      <c r="M81" s="284"/>
      <c r="N81" s="76"/>
      <c r="O81" s="76"/>
      <c r="P81" s="77"/>
      <c r="Q81" s="77"/>
      <c r="R81" s="77"/>
      <c r="S81" s="88"/>
      <c r="T81" s="71"/>
      <c r="U81" s="37"/>
      <c r="V81" s="36">
        <f t="shared" si="1"/>
        <v>0</v>
      </c>
    </row>
    <row r="82" spans="1:22" ht="30" customHeight="1" x14ac:dyDescent="0.25">
      <c r="A82" s="97" t="str">
        <f>IF(D82="","",MAX($A$2:A81)+1)</f>
        <v/>
      </c>
      <c r="B82" s="277"/>
      <c r="C82" s="277"/>
      <c r="D82" s="278"/>
      <c r="E82" s="279"/>
      <c r="F82" s="279"/>
      <c r="G82" s="280"/>
      <c r="H82" s="280"/>
      <c r="I82" s="279"/>
      <c r="J82" s="290"/>
      <c r="K82" s="281"/>
      <c r="L82" s="282"/>
      <c r="M82" s="284"/>
      <c r="N82" s="76"/>
      <c r="O82" s="76"/>
      <c r="P82" s="77"/>
      <c r="Q82" s="77"/>
      <c r="R82" s="77"/>
      <c r="S82" s="88"/>
      <c r="T82" s="71"/>
      <c r="U82" s="37"/>
      <c r="V82" s="36">
        <f t="shared" si="1"/>
        <v>0</v>
      </c>
    </row>
    <row r="83" spans="1:22" s="39" customFormat="1" ht="30" customHeight="1" x14ac:dyDescent="0.25">
      <c r="A83" s="97" t="str">
        <f>IF(D83="","",MAX($A$2:A82)+1)</f>
        <v/>
      </c>
      <c r="B83" s="277"/>
      <c r="C83" s="277"/>
      <c r="D83" s="278"/>
      <c r="E83" s="279"/>
      <c r="F83" s="279"/>
      <c r="G83" s="280"/>
      <c r="H83" s="280"/>
      <c r="I83" s="279"/>
      <c r="J83" s="290"/>
      <c r="K83" s="281"/>
      <c r="L83" s="282"/>
      <c r="M83" s="284"/>
      <c r="N83" s="76"/>
      <c r="O83" s="76"/>
      <c r="P83" s="77"/>
      <c r="Q83" s="77"/>
      <c r="R83" s="77"/>
      <c r="S83" s="88"/>
      <c r="T83" s="71"/>
      <c r="U83" s="37"/>
      <c r="V83" s="36">
        <f t="shared" si="1"/>
        <v>0</v>
      </c>
    </row>
    <row r="84" spans="1:22" ht="30" customHeight="1" x14ac:dyDescent="0.25">
      <c r="A84" s="97" t="str">
        <f>IF(D84="","",MAX($A$2:A83)+1)</f>
        <v/>
      </c>
      <c r="B84" s="277"/>
      <c r="C84" s="277"/>
      <c r="D84" s="278"/>
      <c r="E84" s="279"/>
      <c r="F84" s="279"/>
      <c r="G84" s="280"/>
      <c r="H84" s="280"/>
      <c r="I84" s="279"/>
      <c r="J84" s="290"/>
      <c r="K84" s="281"/>
      <c r="L84" s="282"/>
      <c r="M84" s="284"/>
      <c r="N84" s="76"/>
      <c r="O84" s="76"/>
      <c r="P84" s="77"/>
      <c r="Q84" s="77"/>
      <c r="R84" s="77"/>
      <c r="S84" s="88"/>
      <c r="T84" s="71"/>
      <c r="U84" s="37"/>
      <c r="V84" s="36">
        <f t="shared" si="1"/>
        <v>0</v>
      </c>
    </row>
    <row r="85" spans="1:22" ht="30" customHeight="1" x14ac:dyDescent="0.25">
      <c r="A85" s="97" t="str">
        <f>IF(D85="","",MAX($A$2:A84)+1)</f>
        <v/>
      </c>
      <c r="B85" s="277"/>
      <c r="C85" s="277"/>
      <c r="D85" s="278"/>
      <c r="E85" s="279"/>
      <c r="F85" s="279"/>
      <c r="G85" s="280"/>
      <c r="H85" s="280"/>
      <c r="I85" s="279"/>
      <c r="J85" s="290"/>
      <c r="K85" s="281"/>
      <c r="L85" s="282"/>
      <c r="M85" s="284"/>
      <c r="N85" s="76"/>
      <c r="O85" s="76"/>
      <c r="P85" s="77"/>
      <c r="Q85" s="77"/>
      <c r="R85" s="77"/>
      <c r="S85" s="88"/>
      <c r="T85" s="71"/>
      <c r="U85" s="37"/>
      <c r="V85" s="36">
        <f t="shared" si="1"/>
        <v>0</v>
      </c>
    </row>
    <row r="86" spans="1:22" ht="30" customHeight="1" x14ac:dyDescent="0.25">
      <c r="A86" s="97" t="str">
        <f>IF(D86="","",MAX($A$2:A85)+1)</f>
        <v/>
      </c>
      <c r="B86" s="277"/>
      <c r="C86" s="277"/>
      <c r="D86" s="278"/>
      <c r="E86" s="279"/>
      <c r="F86" s="279"/>
      <c r="G86" s="280"/>
      <c r="H86" s="280"/>
      <c r="I86" s="279"/>
      <c r="J86" s="290"/>
      <c r="K86" s="281"/>
      <c r="L86" s="282"/>
      <c r="M86" s="284"/>
      <c r="N86" s="76"/>
      <c r="O86" s="76"/>
      <c r="P86" s="77"/>
      <c r="Q86" s="77"/>
      <c r="R86" s="77"/>
      <c r="S86" s="88"/>
      <c r="T86" s="71"/>
      <c r="U86" s="37"/>
      <c r="V86" s="36">
        <f t="shared" si="1"/>
        <v>0</v>
      </c>
    </row>
    <row r="87" spans="1:22" ht="30" customHeight="1" x14ac:dyDescent="0.25">
      <c r="A87" s="97" t="str">
        <f>IF(D87="","",MAX($A$2:A86)+1)</f>
        <v/>
      </c>
      <c r="B87" s="277"/>
      <c r="C87" s="277"/>
      <c r="D87" s="278"/>
      <c r="E87" s="279"/>
      <c r="F87" s="279"/>
      <c r="G87" s="280"/>
      <c r="H87" s="280"/>
      <c r="I87" s="279"/>
      <c r="J87" s="290"/>
      <c r="K87" s="281"/>
      <c r="L87" s="282"/>
      <c r="M87" s="284"/>
      <c r="N87" s="76"/>
      <c r="O87" s="76"/>
      <c r="P87" s="77"/>
      <c r="Q87" s="77"/>
      <c r="R87" s="77"/>
      <c r="S87" s="88"/>
      <c r="T87" s="71"/>
      <c r="U87" s="37"/>
      <c r="V87" s="36">
        <f t="shared" si="1"/>
        <v>0</v>
      </c>
    </row>
    <row r="88" spans="1:22" ht="30" customHeight="1" x14ac:dyDescent="0.25">
      <c r="A88" s="97" t="str">
        <f>IF(D88="","",MAX($A$2:A87)+1)</f>
        <v/>
      </c>
      <c r="B88" s="277"/>
      <c r="C88" s="277"/>
      <c r="D88" s="278"/>
      <c r="E88" s="279"/>
      <c r="F88" s="279"/>
      <c r="G88" s="280"/>
      <c r="H88" s="280"/>
      <c r="I88" s="279"/>
      <c r="J88" s="290"/>
      <c r="K88" s="281"/>
      <c r="L88" s="282"/>
      <c r="M88" s="283"/>
      <c r="N88" s="76"/>
      <c r="O88" s="76"/>
      <c r="P88" s="77"/>
      <c r="Q88" s="77"/>
      <c r="R88" s="77"/>
      <c r="S88" s="88"/>
      <c r="T88" s="71"/>
      <c r="U88" s="37"/>
      <c r="V88" s="36">
        <f t="shared" si="1"/>
        <v>0</v>
      </c>
    </row>
    <row r="89" spans="1:22" ht="30" customHeight="1" x14ac:dyDescent="0.25">
      <c r="A89" s="97" t="str">
        <f>IF(D89="","",MAX($A$2:A88)+1)</f>
        <v/>
      </c>
      <c r="B89" s="277"/>
      <c r="C89" s="277"/>
      <c r="D89" s="278"/>
      <c r="E89" s="279"/>
      <c r="F89" s="279"/>
      <c r="G89" s="280"/>
      <c r="H89" s="280"/>
      <c r="I89" s="279"/>
      <c r="J89" s="290"/>
      <c r="K89" s="281"/>
      <c r="L89" s="282"/>
      <c r="M89" s="284"/>
      <c r="N89" s="76"/>
      <c r="O89" s="76"/>
      <c r="P89" s="77"/>
      <c r="Q89" s="77"/>
      <c r="R89" s="77"/>
      <c r="S89" s="88"/>
      <c r="T89" s="71"/>
      <c r="U89" s="37"/>
      <c r="V89" s="36">
        <f t="shared" si="1"/>
        <v>0</v>
      </c>
    </row>
    <row r="90" spans="1:22" ht="30" customHeight="1" x14ac:dyDescent="0.25">
      <c r="A90" s="97" t="str">
        <f>IF(D90="","",MAX($A$2:A89)+1)</f>
        <v/>
      </c>
      <c r="B90" s="277"/>
      <c r="C90" s="277"/>
      <c r="D90" s="278"/>
      <c r="E90" s="279"/>
      <c r="F90" s="279"/>
      <c r="G90" s="280"/>
      <c r="H90" s="280"/>
      <c r="I90" s="279"/>
      <c r="J90" s="290"/>
      <c r="K90" s="281"/>
      <c r="L90" s="282"/>
      <c r="M90" s="284"/>
      <c r="N90" s="76"/>
      <c r="O90" s="76"/>
      <c r="P90" s="77"/>
      <c r="Q90" s="77"/>
      <c r="R90" s="77"/>
      <c r="S90" s="88"/>
      <c r="T90" s="71"/>
      <c r="U90" s="37"/>
      <c r="V90" s="36">
        <f t="shared" si="1"/>
        <v>0</v>
      </c>
    </row>
    <row r="91" spans="1:22" ht="30" customHeight="1" x14ac:dyDescent="0.25">
      <c r="A91" s="97" t="str">
        <f>IF(D91="","",MAX($A$2:A90)+1)</f>
        <v/>
      </c>
      <c r="B91" s="277"/>
      <c r="C91" s="277"/>
      <c r="D91" s="278"/>
      <c r="E91" s="279"/>
      <c r="F91" s="279"/>
      <c r="G91" s="280"/>
      <c r="H91" s="280"/>
      <c r="I91" s="279"/>
      <c r="J91" s="290"/>
      <c r="K91" s="281"/>
      <c r="L91" s="282"/>
      <c r="M91" s="284"/>
      <c r="N91" s="76"/>
      <c r="O91" s="76"/>
      <c r="P91" s="77"/>
      <c r="Q91" s="77"/>
      <c r="R91" s="77"/>
      <c r="S91" s="88"/>
      <c r="T91" s="71"/>
      <c r="U91" s="37"/>
      <c r="V91" s="36">
        <f t="shared" si="1"/>
        <v>0</v>
      </c>
    </row>
    <row r="92" spans="1:22" ht="30" customHeight="1" x14ac:dyDescent="0.25">
      <c r="A92" s="97" t="str">
        <f>IF(D92="","",MAX($A$2:A91)+1)</f>
        <v/>
      </c>
      <c r="B92" s="277"/>
      <c r="C92" s="277"/>
      <c r="D92" s="278"/>
      <c r="E92" s="279"/>
      <c r="F92" s="279"/>
      <c r="G92" s="280"/>
      <c r="H92" s="280"/>
      <c r="I92" s="279"/>
      <c r="J92" s="290"/>
      <c r="K92" s="281"/>
      <c r="L92" s="282"/>
      <c r="M92" s="284"/>
      <c r="N92" s="76"/>
      <c r="O92" s="76"/>
      <c r="P92" s="77"/>
      <c r="Q92" s="77"/>
      <c r="R92" s="77"/>
      <c r="S92" s="88"/>
      <c r="T92" s="71"/>
      <c r="U92" s="37"/>
      <c r="V92" s="36">
        <f t="shared" si="1"/>
        <v>0</v>
      </c>
    </row>
    <row r="93" spans="1:22" ht="30" customHeight="1" x14ac:dyDescent="0.25">
      <c r="A93" s="97" t="str">
        <f>IF(D93="","",MAX($A$2:A92)+1)</f>
        <v/>
      </c>
      <c r="B93" s="277"/>
      <c r="C93" s="277"/>
      <c r="D93" s="278"/>
      <c r="E93" s="279"/>
      <c r="F93" s="279"/>
      <c r="G93" s="280"/>
      <c r="H93" s="280"/>
      <c r="I93" s="279"/>
      <c r="J93" s="290"/>
      <c r="K93" s="281"/>
      <c r="L93" s="282"/>
      <c r="M93" s="284"/>
      <c r="N93" s="76"/>
      <c r="O93" s="76"/>
      <c r="P93" s="77"/>
      <c r="Q93" s="77"/>
      <c r="R93" s="77"/>
      <c r="S93" s="88"/>
      <c r="T93" s="71"/>
      <c r="U93" s="37"/>
      <c r="V93" s="36">
        <f t="shared" si="1"/>
        <v>0</v>
      </c>
    </row>
    <row r="94" spans="1:22" ht="30" customHeight="1" x14ac:dyDescent="0.25">
      <c r="A94" s="97" t="str">
        <f>IF(D94="","",MAX($A$2:A93)+1)</f>
        <v/>
      </c>
      <c r="B94" s="277"/>
      <c r="C94" s="277"/>
      <c r="D94" s="278"/>
      <c r="E94" s="279"/>
      <c r="F94" s="279"/>
      <c r="G94" s="280"/>
      <c r="H94" s="280"/>
      <c r="I94" s="279"/>
      <c r="J94" s="290"/>
      <c r="K94" s="281"/>
      <c r="L94" s="282"/>
      <c r="M94" s="284"/>
      <c r="N94" s="76"/>
      <c r="O94" s="76"/>
      <c r="P94" s="77"/>
      <c r="Q94" s="77"/>
      <c r="R94" s="77"/>
      <c r="S94" s="88"/>
      <c r="T94" s="71"/>
      <c r="U94" s="37"/>
      <c r="V94" s="36">
        <f t="shared" si="1"/>
        <v>0</v>
      </c>
    </row>
    <row r="95" spans="1:22" ht="30" customHeight="1" x14ac:dyDescent="0.25">
      <c r="A95" s="97" t="str">
        <f>IF(D95="","",MAX($A$2:A94)+1)</f>
        <v/>
      </c>
      <c r="B95" s="277"/>
      <c r="C95" s="277"/>
      <c r="D95" s="278"/>
      <c r="E95" s="279"/>
      <c r="F95" s="279"/>
      <c r="G95" s="280"/>
      <c r="H95" s="280"/>
      <c r="I95" s="279"/>
      <c r="J95" s="290"/>
      <c r="K95" s="281"/>
      <c r="L95" s="282"/>
      <c r="M95" s="284"/>
      <c r="N95" s="76"/>
      <c r="O95" s="76"/>
      <c r="P95" s="77"/>
      <c r="Q95" s="77"/>
      <c r="R95" s="77"/>
      <c r="S95" s="88"/>
      <c r="T95" s="71"/>
      <c r="U95" s="37"/>
      <c r="V95" s="36">
        <f t="shared" si="1"/>
        <v>0</v>
      </c>
    </row>
    <row r="96" spans="1:22" ht="30" customHeight="1" x14ac:dyDescent="0.25">
      <c r="A96" s="97" t="str">
        <f>IF(D96="","",MAX($A$2:A95)+1)</f>
        <v/>
      </c>
      <c r="B96" s="277"/>
      <c r="C96" s="277"/>
      <c r="D96" s="278"/>
      <c r="E96" s="279"/>
      <c r="F96" s="279"/>
      <c r="G96" s="280"/>
      <c r="H96" s="280"/>
      <c r="I96" s="279"/>
      <c r="J96" s="290"/>
      <c r="K96" s="281"/>
      <c r="L96" s="282"/>
      <c r="M96" s="284"/>
      <c r="N96" s="76"/>
      <c r="O96" s="76"/>
      <c r="P96" s="77"/>
      <c r="Q96" s="77"/>
      <c r="R96" s="77"/>
      <c r="S96" s="88"/>
      <c r="T96" s="71"/>
      <c r="U96" s="37"/>
      <c r="V96" s="36">
        <f t="shared" si="1"/>
        <v>0</v>
      </c>
    </row>
    <row r="97" spans="1:22" s="39" customFormat="1" ht="30" customHeight="1" x14ac:dyDescent="0.25">
      <c r="A97" s="97" t="str">
        <f>IF(D97="","",MAX($A$2:A96)+1)</f>
        <v/>
      </c>
      <c r="B97" s="277"/>
      <c r="C97" s="277"/>
      <c r="D97" s="278"/>
      <c r="E97" s="279"/>
      <c r="F97" s="279"/>
      <c r="G97" s="280"/>
      <c r="H97" s="280"/>
      <c r="I97" s="279"/>
      <c r="J97" s="290"/>
      <c r="K97" s="281"/>
      <c r="L97" s="282"/>
      <c r="M97" s="284"/>
      <c r="N97" s="76"/>
      <c r="O97" s="76"/>
      <c r="P97" s="77"/>
      <c r="Q97" s="77"/>
      <c r="R97" s="77"/>
      <c r="S97" s="88"/>
      <c r="T97" s="71"/>
      <c r="U97" s="37"/>
      <c r="V97" s="36">
        <f t="shared" si="1"/>
        <v>0</v>
      </c>
    </row>
    <row r="98" spans="1:22" ht="30" customHeight="1" x14ac:dyDescent="0.25">
      <c r="A98" s="97" t="str">
        <f>IF(D98="","",MAX($A$2:A97)+1)</f>
        <v/>
      </c>
      <c r="B98" s="277"/>
      <c r="C98" s="277"/>
      <c r="D98" s="278"/>
      <c r="E98" s="279"/>
      <c r="F98" s="279"/>
      <c r="G98" s="280"/>
      <c r="H98" s="280"/>
      <c r="I98" s="279"/>
      <c r="J98" s="290"/>
      <c r="K98" s="281"/>
      <c r="L98" s="282"/>
      <c r="M98" s="284"/>
      <c r="N98" s="76"/>
      <c r="O98" s="76"/>
      <c r="P98" s="77"/>
      <c r="Q98" s="77"/>
      <c r="R98" s="77"/>
      <c r="S98" s="88"/>
      <c r="T98" s="71"/>
      <c r="U98" s="37"/>
      <c r="V98" s="36">
        <f t="shared" si="1"/>
        <v>0</v>
      </c>
    </row>
    <row r="99" spans="1:22" ht="30" customHeight="1" x14ac:dyDescent="0.25">
      <c r="A99" s="97" t="str">
        <f>IF(D99="","",MAX($A$2:A98)+1)</f>
        <v/>
      </c>
      <c r="B99" s="277"/>
      <c r="C99" s="277"/>
      <c r="D99" s="278"/>
      <c r="E99" s="279"/>
      <c r="F99" s="279"/>
      <c r="G99" s="280"/>
      <c r="H99" s="280"/>
      <c r="I99" s="279"/>
      <c r="J99" s="290"/>
      <c r="K99" s="281"/>
      <c r="L99" s="282"/>
      <c r="M99" s="284"/>
      <c r="N99" s="76"/>
      <c r="O99" s="76"/>
      <c r="P99" s="77"/>
      <c r="Q99" s="77"/>
      <c r="R99" s="77"/>
      <c r="S99" s="88"/>
      <c r="T99" s="71"/>
      <c r="U99" s="37"/>
      <c r="V99" s="36">
        <f t="shared" si="1"/>
        <v>0</v>
      </c>
    </row>
    <row r="100" spans="1:22" ht="30" customHeight="1" x14ac:dyDescent="0.25">
      <c r="A100" s="97" t="str">
        <f>IF(D100="","",MAX($A$2:A99)+1)</f>
        <v/>
      </c>
      <c r="B100" s="277"/>
      <c r="C100" s="277"/>
      <c r="D100" s="278"/>
      <c r="E100" s="279"/>
      <c r="F100" s="279"/>
      <c r="G100" s="280"/>
      <c r="H100" s="280"/>
      <c r="I100" s="279"/>
      <c r="J100" s="290"/>
      <c r="K100" s="281"/>
      <c r="L100" s="282"/>
      <c r="M100" s="284"/>
      <c r="N100" s="76"/>
      <c r="O100" s="76"/>
      <c r="P100" s="77"/>
      <c r="Q100" s="77"/>
      <c r="R100" s="77"/>
      <c r="S100" s="88"/>
      <c r="T100" s="71"/>
      <c r="U100" s="37"/>
      <c r="V100" s="36">
        <f t="shared" si="1"/>
        <v>0</v>
      </c>
    </row>
    <row r="101" spans="1:22" ht="30" customHeight="1" x14ac:dyDescent="0.25">
      <c r="A101" s="97" t="str">
        <f>IF(D101="","",MAX($A$2:A100)+1)</f>
        <v/>
      </c>
      <c r="B101" s="277"/>
      <c r="C101" s="277"/>
      <c r="D101" s="278"/>
      <c r="E101" s="279"/>
      <c r="F101" s="279"/>
      <c r="G101" s="280"/>
      <c r="H101" s="280"/>
      <c r="I101" s="279"/>
      <c r="J101" s="290"/>
      <c r="K101" s="281"/>
      <c r="L101" s="282"/>
      <c r="M101" s="284"/>
      <c r="N101" s="76"/>
      <c r="O101" s="76"/>
      <c r="P101" s="77"/>
      <c r="Q101" s="77"/>
      <c r="R101" s="77"/>
      <c r="S101" s="88"/>
      <c r="T101" s="71"/>
      <c r="U101" s="37"/>
      <c r="V101" s="36">
        <f t="shared" si="1"/>
        <v>0</v>
      </c>
    </row>
    <row r="102" spans="1:22" ht="30" customHeight="1" x14ac:dyDescent="0.25">
      <c r="A102" s="97" t="str">
        <f>IF(D102="","",MAX($A$2:A101)+1)</f>
        <v/>
      </c>
      <c r="B102" s="277"/>
      <c r="C102" s="277"/>
      <c r="D102" s="278"/>
      <c r="E102" s="279"/>
      <c r="F102" s="279"/>
      <c r="G102" s="280"/>
      <c r="H102" s="280"/>
      <c r="I102" s="279"/>
      <c r="J102" s="290"/>
      <c r="K102" s="281"/>
      <c r="L102" s="282"/>
      <c r="M102" s="284"/>
      <c r="N102" s="76"/>
      <c r="O102" s="76"/>
      <c r="P102" s="77"/>
      <c r="Q102" s="77"/>
      <c r="R102" s="77"/>
      <c r="S102" s="88"/>
      <c r="T102" s="71"/>
      <c r="U102" s="37"/>
      <c r="V102" s="36">
        <f t="shared" si="1"/>
        <v>0</v>
      </c>
    </row>
    <row r="103" spans="1:22" ht="30" customHeight="1" x14ac:dyDescent="0.25">
      <c r="A103" s="97" t="str">
        <f>IF(D103="","",MAX($A$2:A102)+1)</f>
        <v/>
      </c>
      <c r="B103" s="277"/>
      <c r="C103" s="285"/>
      <c r="D103" s="278"/>
      <c r="E103" s="279"/>
      <c r="F103" s="279"/>
      <c r="G103" s="280"/>
      <c r="H103" s="280"/>
      <c r="I103" s="279"/>
      <c r="J103" s="290"/>
      <c r="K103" s="281"/>
      <c r="L103" s="282"/>
      <c r="M103" s="284"/>
      <c r="N103" s="76"/>
      <c r="O103" s="76"/>
      <c r="P103" s="77"/>
      <c r="Q103" s="77"/>
      <c r="R103" s="77"/>
      <c r="S103" s="88"/>
      <c r="T103" s="71"/>
      <c r="U103" s="37"/>
      <c r="V103" s="36">
        <f t="shared" si="1"/>
        <v>0</v>
      </c>
    </row>
    <row r="104" spans="1:22" ht="30" customHeight="1" x14ac:dyDescent="0.25">
      <c r="A104" s="97" t="str">
        <f>IF(D104="","",MAX($A$2:A103)+1)</f>
        <v/>
      </c>
      <c r="B104" s="277"/>
      <c r="C104" s="277"/>
      <c r="D104" s="278"/>
      <c r="E104" s="279"/>
      <c r="F104" s="279"/>
      <c r="G104" s="280"/>
      <c r="H104" s="280"/>
      <c r="I104" s="279"/>
      <c r="J104" s="290"/>
      <c r="K104" s="281"/>
      <c r="L104" s="282"/>
      <c r="M104" s="284"/>
      <c r="N104" s="76"/>
      <c r="O104" s="76"/>
      <c r="P104" s="77"/>
      <c r="Q104" s="77"/>
      <c r="R104" s="77"/>
      <c r="S104" s="88"/>
      <c r="T104" s="71"/>
      <c r="U104" s="37"/>
      <c r="V104" s="36">
        <f t="shared" si="1"/>
        <v>0</v>
      </c>
    </row>
    <row r="105" spans="1:22" ht="30" customHeight="1" x14ac:dyDescent="0.25">
      <c r="A105" s="97" t="str">
        <f>IF(D105="","",MAX($A$2:A104)+1)</f>
        <v/>
      </c>
      <c r="B105" s="277"/>
      <c r="C105" s="277"/>
      <c r="D105" s="278"/>
      <c r="E105" s="279"/>
      <c r="F105" s="279"/>
      <c r="G105" s="280"/>
      <c r="H105" s="280"/>
      <c r="I105" s="279"/>
      <c r="J105" s="290"/>
      <c r="K105" s="281"/>
      <c r="L105" s="282"/>
      <c r="M105" s="284"/>
      <c r="N105" s="76"/>
      <c r="O105" s="76"/>
      <c r="P105" s="77"/>
      <c r="Q105" s="77"/>
      <c r="R105" s="77"/>
      <c r="S105" s="88"/>
      <c r="T105" s="71"/>
      <c r="U105" s="37"/>
      <c r="V105" s="36">
        <f t="shared" si="1"/>
        <v>0</v>
      </c>
    </row>
    <row r="106" spans="1:22" ht="30" customHeight="1" x14ac:dyDescent="0.25">
      <c r="A106" s="97" t="str">
        <f>IF(D106="","",MAX($A$2:A105)+1)</f>
        <v/>
      </c>
      <c r="B106" s="277"/>
      <c r="C106" s="277"/>
      <c r="D106" s="278"/>
      <c r="E106" s="279"/>
      <c r="F106" s="279"/>
      <c r="G106" s="280"/>
      <c r="H106" s="280"/>
      <c r="I106" s="279"/>
      <c r="J106" s="290"/>
      <c r="K106" s="281"/>
      <c r="L106" s="282"/>
      <c r="M106" s="284"/>
      <c r="N106" s="76"/>
      <c r="O106" s="76"/>
      <c r="P106" s="77"/>
      <c r="Q106" s="77"/>
      <c r="R106" s="77"/>
      <c r="S106" s="88"/>
      <c r="T106" s="71"/>
      <c r="U106" s="37"/>
      <c r="V106" s="36">
        <f t="shared" si="1"/>
        <v>0</v>
      </c>
    </row>
    <row r="107" spans="1:22" ht="30" customHeight="1" x14ac:dyDescent="0.25">
      <c r="A107" s="97" t="str">
        <f>IF(D107="","",MAX($A$2:A106)+1)</f>
        <v/>
      </c>
      <c r="B107" s="277"/>
      <c r="C107" s="277"/>
      <c r="D107" s="278"/>
      <c r="E107" s="279"/>
      <c r="F107" s="279"/>
      <c r="G107" s="280"/>
      <c r="H107" s="280"/>
      <c r="I107" s="279"/>
      <c r="J107" s="290"/>
      <c r="K107" s="281"/>
      <c r="L107" s="282"/>
      <c r="M107" s="284"/>
      <c r="N107" s="76"/>
      <c r="O107" s="76"/>
      <c r="P107" s="77"/>
      <c r="Q107" s="77"/>
      <c r="R107" s="77"/>
      <c r="S107" s="88"/>
      <c r="T107" s="71"/>
      <c r="U107" s="37"/>
      <c r="V107" s="36">
        <f t="shared" si="1"/>
        <v>0</v>
      </c>
    </row>
    <row r="108" spans="1:22" ht="30" customHeight="1" x14ac:dyDescent="0.25">
      <c r="A108" s="97" t="str">
        <f>IF(D108="","",MAX($A$2:A107)+1)</f>
        <v/>
      </c>
      <c r="B108" s="277"/>
      <c r="C108" s="277"/>
      <c r="D108" s="278"/>
      <c r="E108" s="279"/>
      <c r="F108" s="279"/>
      <c r="G108" s="280"/>
      <c r="H108" s="280"/>
      <c r="I108" s="279"/>
      <c r="J108" s="290"/>
      <c r="K108" s="281"/>
      <c r="L108" s="282"/>
      <c r="M108" s="284"/>
      <c r="N108" s="76"/>
      <c r="O108" s="76"/>
      <c r="P108" s="77"/>
      <c r="Q108" s="77"/>
      <c r="R108" s="77"/>
      <c r="S108" s="88"/>
      <c r="T108" s="71"/>
      <c r="U108" s="37"/>
      <c r="V108" s="36">
        <f t="shared" si="1"/>
        <v>0</v>
      </c>
    </row>
    <row r="109" spans="1:22" ht="30" customHeight="1" x14ac:dyDescent="0.25">
      <c r="A109" s="97" t="str">
        <f>IF(D109="","",MAX($A$2:A108)+1)</f>
        <v/>
      </c>
      <c r="B109" s="277"/>
      <c r="C109" s="277"/>
      <c r="D109" s="278"/>
      <c r="E109" s="279"/>
      <c r="F109" s="279"/>
      <c r="G109" s="280"/>
      <c r="H109" s="280"/>
      <c r="I109" s="279"/>
      <c r="J109" s="290"/>
      <c r="K109" s="281"/>
      <c r="L109" s="282"/>
      <c r="M109" s="284"/>
      <c r="N109" s="76"/>
      <c r="O109" s="76"/>
      <c r="P109" s="77"/>
      <c r="Q109" s="77"/>
      <c r="R109" s="77"/>
      <c r="S109" s="88"/>
      <c r="T109" s="71"/>
      <c r="U109" s="37"/>
      <c r="V109" s="36">
        <f t="shared" si="1"/>
        <v>0</v>
      </c>
    </row>
    <row r="110" spans="1:22" ht="30" customHeight="1" x14ac:dyDescent="0.25">
      <c r="A110" s="97" t="str">
        <f>IF(D110="","",MAX($A$2:A109)+1)</f>
        <v/>
      </c>
      <c r="B110" s="277"/>
      <c r="C110" s="277"/>
      <c r="D110" s="278"/>
      <c r="E110" s="279"/>
      <c r="F110" s="279"/>
      <c r="G110" s="280"/>
      <c r="H110" s="280"/>
      <c r="I110" s="279"/>
      <c r="J110" s="290"/>
      <c r="K110" s="281"/>
      <c r="L110" s="282"/>
      <c r="M110" s="284"/>
      <c r="N110" s="76"/>
      <c r="O110" s="76"/>
      <c r="P110" s="77"/>
      <c r="Q110" s="77"/>
      <c r="R110" s="77"/>
      <c r="S110" s="88"/>
      <c r="T110" s="71"/>
      <c r="U110" s="37"/>
      <c r="V110" s="36">
        <f t="shared" ref="V110:V173" si="2">COUNTIF($B$2:$B$501,D110)</f>
        <v>0</v>
      </c>
    </row>
    <row r="111" spans="1:22" ht="30" customHeight="1" x14ac:dyDescent="0.25">
      <c r="A111" s="97" t="str">
        <f>IF(D111="","",MAX($A$2:A110)+1)</f>
        <v/>
      </c>
      <c r="B111" s="277"/>
      <c r="C111" s="277"/>
      <c r="D111" s="278"/>
      <c r="E111" s="279"/>
      <c r="F111" s="279"/>
      <c r="G111" s="280"/>
      <c r="H111" s="280"/>
      <c r="I111" s="279"/>
      <c r="J111" s="290"/>
      <c r="K111" s="281"/>
      <c r="L111" s="282"/>
      <c r="M111" s="284"/>
      <c r="N111" s="76"/>
      <c r="O111" s="76"/>
      <c r="P111" s="77"/>
      <c r="Q111" s="77"/>
      <c r="R111" s="77"/>
      <c r="S111" s="88"/>
      <c r="T111" s="71"/>
      <c r="U111" s="37"/>
      <c r="V111" s="36">
        <f t="shared" si="2"/>
        <v>0</v>
      </c>
    </row>
    <row r="112" spans="1:22" ht="30" customHeight="1" x14ac:dyDescent="0.25">
      <c r="A112" s="97" t="str">
        <f>IF(D112="","",MAX($A$2:A111)+1)</f>
        <v/>
      </c>
      <c r="B112" s="277"/>
      <c r="C112" s="277"/>
      <c r="D112" s="278"/>
      <c r="E112" s="279"/>
      <c r="F112" s="279"/>
      <c r="G112" s="280"/>
      <c r="H112" s="280"/>
      <c r="I112" s="279"/>
      <c r="J112" s="290"/>
      <c r="K112" s="281"/>
      <c r="L112" s="282"/>
      <c r="M112" s="283"/>
      <c r="N112" s="76"/>
      <c r="O112" s="76"/>
      <c r="P112" s="77"/>
      <c r="Q112" s="77"/>
      <c r="R112" s="77"/>
      <c r="S112" s="88"/>
      <c r="T112" s="71"/>
      <c r="U112" s="37"/>
      <c r="V112" s="36">
        <f t="shared" si="2"/>
        <v>0</v>
      </c>
    </row>
    <row r="113" spans="1:22" ht="30" customHeight="1" x14ac:dyDescent="0.25">
      <c r="A113" s="97" t="str">
        <f>IF(D113="","",MAX($A$2:A112)+1)</f>
        <v/>
      </c>
      <c r="B113" s="277"/>
      <c r="C113" s="277"/>
      <c r="D113" s="278"/>
      <c r="E113" s="279"/>
      <c r="F113" s="279"/>
      <c r="G113" s="280"/>
      <c r="H113" s="280"/>
      <c r="I113" s="279"/>
      <c r="J113" s="290"/>
      <c r="K113" s="281"/>
      <c r="L113" s="282"/>
      <c r="M113" s="284"/>
      <c r="N113" s="76"/>
      <c r="O113" s="76"/>
      <c r="P113" s="77"/>
      <c r="Q113" s="77"/>
      <c r="R113" s="77"/>
      <c r="S113" s="88"/>
      <c r="T113" s="71"/>
      <c r="U113" s="37"/>
      <c r="V113" s="36">
        <f t="shared" si="2"/>
        <v>0</v>
      </c>
    </row>
    <row r="114" spans="1:22" ht="30" customHeight="1" x14ac:dyDescent="0.25">
      <c r="A114" s="97" t="str">
        <f>IF(D114="","",MAX($A$2:A113)+1)</f>
        <v/>
      </c>
      <c r="B114" s="277"/>
      <c r="C114" s="277"/>
      <c r="D114" s="278"/>
      <c r="E114" s="279"/>
      <c r="F114" s="279"/>
      <c r="G114" s="280"/>
      <c r="H114" s="280"/>
      <c r="I114" s="279"/>
      <c r="J114" s="290"/>
      <c r="K114" s="281"/>
      <c r="L114" s="282"/>
      <c r="M114" s="284"/>
      <c r="N114" s="76"/>
      <c r="O114" s="76"/>
      <c r="P114" s="77"/>
      <c r="Q114" s="77"/>
      <c r="R114" s="77"/>
      <c r="S114" s="88"/>
      <c r="T114" s="71"/>
      <c r="U114" s="37"/>
      <c r="V114" s="36">
        <f t="shared" si="2"/>
        <v>0</v>
      </c>
    </row>
    <row r="115" spans="1:22" ht="30" customHeight="1" x14ac:dyDescent="0.25">
      <c r="A115" s="97" t="str">
        <f>IF(D115="","",MAX($A$2:A114)+1)</f>
        <v/>
      </c>
      <c r="B115" s="277"/>
      <c r="C115" s="277"/>
      <c r="D115" s="278"/>
      <c r="E115" s="279"/>
      <c r="F115" s="279"/>
      <c r="G115" s="280"/>
      <c r="H115" s="280"/>
      <c r="I115" s="279"/>
      <c r="J115" s="290"/>
      <c r="K115" s="281"/>
      <c r="L115" s="282"/>
      <c r="M115" s="284"/>
      <c r="N115" s="76"/>
      <c r="O115" s="76"/>
      <c r="P115" s="77"/>
      <c r="Q115" s="77"/>
      <c r="R115" s="77"/>
      <c r="S115" s="88"/>
      <c r="T115" s="71"/>
      <c r="U115" s="37"/>
      <c r="V115" s="36">
        <f t="shared" si="2"/>
        <v>0</v>
      </c>
    </row>
    <row r="116" spans="1:22" ht="30" customHeight="1" x14ac:dyDescent="0.25">
      <c r="A116" s="97" t="str">
        <f>IF(D116="","",MAX($A$2:A115)+1)</f>
        <v/>
      </c>
      <c r="B116" s="277"/>
      <c r="C116" s="277"/>
      <c r="D116" s="278"/>
      <c r="E116" s="279"/>
      <c r="F116" s="279"/>
      <c r="G116" s="280"/>
      <c r="H116" s="280"/>
      <c r="I116" s="279"/>
      <c r="J116" s="290"/>
      <c r="K116" s="281"/>
      <c r="L116" s="282"/>
      <c r="M116" s="284"/>
      <c r="N116" s="76"/>
      <c r="O116" s="76"/>
      <c r="P116" s="77"/>
      <c r="Q116" s="77"/>
      <c r="R116" s="77"/>
      <c r="S116" s="88"/>
      <c r="T116" s="71"/>
      <c r="U116" s="37"/>
      <c r="V116" s="36">
        <f t="shared" si="2"/>
        <v>0</v>
      </c>
    </row>
    <row r="117" spans="1:22" ht="30" customHeight="1" x14ac:dyDescent="0.25">
      <c r="A117" s="97" t="str">
        <f>IF(D117="","",MAX($A$2:A116)+1)</f>
        <v/>
      </c>
      <c r="B117" s="277"/>
      <c r="C117" s="277"/>
      <c r="D117" s="278"/>
      <c r="E117" s="279"/>
      <c r="F117" s="279"/>
      <c r="G117" s="280"/>
      <c r="H117" s="280"/>
      <c r="I117" s="279"/>
      <c r="J117" s="290"/>
      <c r="K117" s="281"/>
      <c r="L117" s="282"/>
      <c r="M117" s="283"/>
      <c r="N117" s="76"/>
      <c r="O117" s="76"/>
      <c r="P117" s="77"/>
      <c r="Q117" s="77"/>
      <c r="R117" s="77"/>
      <c r="S117" s="88"/>
      <c r="T117" s="71"/>
      <c r="U117" s="37"/>
      <c r="V117" s="36">
        <f t="shared" si="2"/>
        <v>0</v>
      </c>
    </row>
    <row r="118" spans="1:22" ht="30" customHeight="1" x14ac:dyDescent="0.25">
      <c r="A118" s="97" t="str">
        <f>IF(D118="","",MAX($A$2:A117)+1)</f>
        <v/>
      </c>
      <c r="B118" s="277"/>
      <c r="C118" s="277"/>
      <c r="D118" s="278"/>
      <c r="E118" s="279"/>
      <c r="F118" s="279"/>
      <c r="G118" s="280"/>
      <c r="H118" s="280"/>
      <c r="I118" s="279"/>
      <c r="J118" s="290"/>
      <c r="K118" s="281"/>
      <c r="L118" s="282"/>
      <c r="M118" s="284"/>
      <c r="N118" s="76"/>
      <c r="O118" s="76"/>
      <c r="P118" s="77"/>
      <c r="Q118" s="77"/>
      <c r="R118" s="77"/>
      <c r="S118" s="88"/>
      <c r="T118" s="71"/>
      <c r="U118" s="37"/>
      <c r="V118" s="36">
        <f t="shared" si="2"/>
        <v>0</v>
      </c>
    </row>
    <row r="119" spans="1:22" ht="30" customHeight="1" x14ac:dyDescent="0.25">
      <c r="A119" s="97" t="str">
        <f>IF(D119="","",MAX($A$2:A118)+1)</f>
        <v/>
      </c>
      <c r="B119" s="277"/>
      <c r="C119" s="277"/>
      <c r="D119" s="278"/>
      <c r="E119" s="279"/>
      <c r="F119" s="279"/>
      <c r="G119" s="280"/>
      <c r="H119" s="280"/>
      <c r="I119" s="279"/>
      <c r="J119" s="290"/>
      <c r="K119" s="281"/>
      <c r="L119" s="282"/>
      <c r="M119" s="284"/>
      <c r="N119" s="76"/>
      <c r="O119" s="76"/>
      <c r="P119" s="77"/>
      <c r="Q119" s="77"/>
      <c r="R119" s="77"/>
      <c r="S119" s="88"/>
      <c r="T119" s="71"/>
      <c r="U119" s="37"/>
      <c r="V119" s="36">
        <f t="shared" si="2"/>
        <v>0</v>
      </c>
    </row>
    <row r="120" spans="1:22" ht="30" customHeight="1" x14ac:dyDescent="0.25">
      <c r="A120" s="97" t="str">
        <f>IF(D120="","",MAX($A$2:A119)+1)</f>
        <v/>
      </c>
      <c r="B120" s="277"/>
      <c r="C120" s="277"/>
      <c r="D120" s="278"/>
      <c r="E120" s="279"/>
      <c r="F120" s="279"/>
      <c r="G120" s="280"/>
      <c r="H120" s="280"/>
      <c r="I120" s="279"/>
      <c r="J120" s="290"/>
      <c r="K120" s="281"/>
      <c r="L120" s="282"/>
      <c r="M120" s="284"/>
      <c r="N120" s="76"/>
      <c r="O120" s="76"/>
      <c r="P120" s="77"/>
      <c r="Q120" s="77"/>
      <c r="R120" s="77"/>
      <c r="S120" s="88"/>
      <c r="T120" s="71"/>
      <c r="U120" s="37"/>
      <c r="V120" s="36">
        <f t="shared" si="2"/>
        <v>0</v>
      </c>
    </row>
    <row r="121" spans="1:22" ht="30" customHeight="1" x14ac:dyDescent="0.25">
      <c r="A121" s="97" t="str">
        <f>IF(D121="","",MAX($A$2:A120)+1)</f>
        <v/>
      </c>
      <c r="B121" s="277"/>
      <c r="C121" s="277"/>
      <c r="D121" s="278"/>
      <c r="E121" s="279"/>
      <c r="F121" s="279"/>
      <c r="G121" s="280"/>
      <c r="H121" s="280"/>
      <c r="I121" s="279"/>
      <c r="J121" s="290"/>
      <c r="K121" s="281"/>
      <c r="L121" s="282"/>
      <c r="M121" s="284"/>
      <c r="N121" s="76"/>
      <c r="O121" s="76"/>
      <c r="P121" s="77"/>
      <c r="Q121" s="77"/>
      <c r="R121" s="77"/>
      <c r="S121" s="88"/>
      <c r="T121" s="71"/>
      <c r="U121" s="37"/>
      <c r="V121" s="36">
        <f t="shared" si="2"/>
        <v>0</v>
      </c>
    </row>
    <row r="122" spans="1:22" ht="30" customHeight="1" x14ac:dyDescent="0.25">
      <c r="A122" s="97" t="str">
        <f>IF(D122="","",MAX($A$2:A121)+1)</f>
        <v/>
      </c>
      <c r="B122" s="277"/>
      <c r="C122" s="277"/>
      <c r="D122" s="278"/>
      <c r="E122" s="279"/>
      <c r="F122" s="279"/>
      <c r="G122" s="280"/>
      <c r="H122" s="280"/>
      <c r="I122" s="279"/>
      <c r="J122" s="290"/>
      <c r="K122" s="281"/>
      <c r="L122" s="282"/>
      <c r="M122" s="284"/>
      <c r="N122" s="76"/>
      <c r="O122" s="76"/>
      <c r="P122" s="77"/>
      <c r="Q122" s="77"/>
      <c r="R122" s="77"/>
      <c r="S122" s="88"/>
      <c r="T122" s="71"/>
      <c r="U122" s="37"/>
      <c r="V122" s="36">
        <f t="shared" si="2"/>
        <v>0</v>
      </c>
    </row>
    <row r="123" spans="1:22" ht="30" customHeight="1" x14ac:dyDescent="0.25">
      <c r="A123" s="97" t="str">
        <f>IF(D123="","",MAX($A$2:A122)+1)</f>
        <v/>
      </c>
      <c r="B123" s="277"/>
      <c r="C123" s="277"/>
      <c r="D123" s="278"/>
      <c r="E123" s="279"/>
      <c r="F123" s="279"/>
      <c r="G123" s="280"/>
      <c r="H123" s="280"/>
      <c r="I123" s="279"/>
      <c r="J123" s="290"/>
      <c r="K123" s="281"/>
      <c r="L123" s="282"/>
      <c r="M123" s="284"/>
      <c r="N123" s="76"/>
      <c r="O123" s="76"/>
      <c r="P123" s="77"/>
      <c r="Q123" s="77"/>
      <c r="R123" s="77"/>
      <c r="S123" s="88"/>
      <c r="T123" s="71"/>
      <c r="U123" s="37"/>
      <c r="V123" s="36">
        <f t="shared" si="2"/>
        <v>0</v>
      </c>
    </row>
    <row r="124" spans="1:22" ht="30" customHeight="1" x14ac:dyDescent="0.25">
      <c r="A124" s="97" t="str">
        <f>IF(D124="","",MAX($A$2:A123)+1)</f>
        <v/>
      </c>
      <c r="B124" s="277"/>
      <c r="C124" s="277"/>
      <c r="D124" s="278"/>
      <c r="E124" s="279"/>
      <c r="F124" s="279"/>
      <c r="G124" s="280"/>
      <c r="H124" s="280"/>
      <c r="I124" s="279"/>
      <c r="J124" s="290"/>
      <c r="K124" s="281"/>
      <c r="L124" s="282"/>
      <c r="M124" s="284"/>
      <c r="N124" s="76"/>
      <c r="O124" s="76"/>
      <c r="P124" s="77"/>
      <c r="Q124" s="77"/>
      <c r="R124" s="77"/>
      <c r="S124" s="88"/>
      <c r="T124" s="71"/>
      <c r="U124" s="37"/>
      <c r="V124" s="36">
        <f t="shared" si="2"/>
        <v>0</v>
      </c>
    </row>
    <row r="125" spans="1:22" ht="30" customHeight="1" x14ac:dyDescent="0.25">
      <c r="A125" s="97" t="str">
        <f>IF(D125="","",MAX($A$2:A124)+1)</f>
        <v/>
      </c>
      <c r="B125" s="277"/>
      <c r="C125" s="277"/>
      <c r="D125" s="278"/>
      <c r="E125" s="279"/>
      <c r="F125" s="279"/>
      <c r="G125" s="280"/>
      <c r="H125" s="280"/>
      <c r="I125" s="279"/>
      <c r="J125" s="290"/>
      <c r="K125" s="281"/>
      <c r="L125" s="282"/>
      <c r="M125" s="284"/>
      <c r="N125" s="76"/>
      <c r="O125" s="76"/>
      <c r="P125" s="77"/>
      <c r="Q125" s="77"/>
      <c r="R125" s="77"/>
      <c r="S125" s="88"/>
      <c r="T125" s="71"/>
      <c r="U125" s="37"/>
      <c r="V125" s="36">
        <f t="shared" si="2"/>
        <v>0</v>
      </c>
    </row>
    <row r="126" spans="1:22" ht="30" customHeight="1" x14ac:dyDescent="0.25">
      <c r="A126" s="97" t="str">
        <f>IF(D126="","",MAX($A$2:A125)+1)</f>
        <v/>
      </c>
      <c r="B126" s="277"/>
      <c r="C126" s="277"/>
      <c r="D126" s="278"/>
      <c r="E126" s="279"/>
      <c r="F126" s="279"/>
      <c r="G126" s="280"/>
      <c r="H126" s="280"/>
      <c r="I126" s="279"/>
      <c r="J126" s="290"/>
      <c r="K126" s="281"/>
      <c r="L126" s="282"/>
      <c r="M126" s="284"/>
      <c r="N126" s="76"/>
      <c r="O126" s="76"/>
      <c r="P126" s="77"/>
      <c r="Q126" s="77"/>
      <c r="R126" s="77"/>
      <c r="S126" s="88"/>
      <c r="T126" s="71"/>
      <c r="U126" s="37"/>
      <c r="V126" s="36">
        <f t="shared" si="2"/>
        <v>0</v>
      </c>
    </row>
    <row r="127" spans="1:22" ht="30" customHeight="1" x14ac:dyDescent="0.25">
      <c r="A127" s="97" t="str">
        <f>IF(D127="","",MAX($A$2:A126)+1)</f>
        <v/>
      </c>
      <c r="B127" s="277"/>
      <c r="C127" s="277"/>
      <c r="D127" s="278"/>
      <c r="E127" s="279"/>
      <c r="F127" s="279"/>
      <c r="G127" s="280"/>
      <c r="H127" s="280"/>
      <c r="I127" s="279"/>
      <c r="J127" s="290"/>
      <c r="K127" s="281"/>
      <c r="L127" s="282"/>
      <c r="M127" s="284"/>
      <c r="N127" s="76"/>
      <c r="O127" s="76"/>
      <c r="P127" s="77"/>
      <c r="Q127" s="77"/>
      <c r="R127" s="77"/>
      <c r="S127" s="88"/>
      <c r="T127" s="71"/>
      <c r="U127" s="37"/>
      <c r="V127" s="36">
        <f t="shared" si="2"/>
        <v>0</v>
      </c>
    </row>
    <row r="128" spans="1:22" ht="30" customHeight="1" x14ac:dyDescent="0.25">
      <c r="A128" s="97" t="str">
        <f>IF(D128="","",MAX($A$2:A127)+1)</f>
        <v/>
      </c>
      <c r="B128" s="277"/>
      <c r="C128" s="277"/>
      <c r="D128" s="278"/>
      <c r="E128" s="279"/>
      <c r="F128" s="279"/>
      <c r="G128" s="280"/>
      <c r="H128" s="280"/>
      <c r="I128" s="279"/>
      <c r="J128" s="290"/>
      <c r="K128" s="281"/>
      <c r="L128" s="282"/>
      <c r="M128" s="284"/>
      <c r="N128" s="76"/>
      <c r="O128" s="76"/>
      <c r="P128" s="77"/>
      <c r="Q128" s="77"/>
      <c r="R128" s="77"/>
      <c r="S128" s="88"/>
      <c r="T128" s="71"/>
      <c r="U128" s="37"/>
      <c r="V128" s="36">
        <f t="shared" si="2"/>
        <v>0</v>
      </c>
    </row>
    <row r="129" spans="1:22" ht="30" customHeight="1" x14ac:dyDescent="0.25">
      <c r="A129" s="97" t="str">
        <f>IF(D129="","",MAX($A$2:A128)+1)</f>
        <v/>
      </c>
      <c r="B129" s="277"/>
      <c r="C129" s="277"/>
      <c r="D129" s="278"/>
      <c r="E129" s="279"/>
      <c r="F129" s="279"/>
      <c r="G129" s="280"/>
      <c r="H129" s="280"/>
      <c r="I129" s="279"/>
      <c r="J129" s="290"/>
      <c r="K129" s="281"/>
      <c r="L129" s="282"/>
      <c r="M129" s="284"/>
      <c r="N129" s="76"/>
      <c r="O129" s="76"/>
      <c r="P129" s="77"/>
      <c r="Q129" s="77"/>
      <c r="R129" s="77"/>
      <c r="S129" s="88"/>
      <c r="T129" s="71"/>
      <c r="U129" s="37"/>
      <c r="V129" s="36">
        <f t="shared" si="2"/>
        <v>0</v>
      </c>
    </row>
    <row r="130" spans="1:22" ht="30" customHeight="1" x14ac:dyDescent="0.25">
      <c r="A130" s="97" t="str">
        <f>IF(D130="","",MAX($A$2:A129)+1)</f>
        <v/>
      </c>
      <c r="B130" s="277"/>
      <c r="C130" s="277"/>
      <c r="D130" s="278"/>
      <c r="E130" s="279"/>
      <c r="F130" s="279"/>
      <c r="G130" s="280"/>
      <c r="H130" s="280"/>
      <c r="I130" s="279"/>
      <c r="J130" s="290"/>
      <c r="K130" s="281"/>
      <c r="L130" s="282"/>
      <c r="M130" s="284"/>
      <c r="N130" s="76"/>
      <c r="O130" s="76"/>
      <c r="P130" s="77"/>
      <c r="Q130" s="77"/>
      <c r="R130" s="77"/>
      <c r="S130" s="88"/>
      <c r="T130" s="71"/>
      <c r="U130" s="37"/>
      <c r="V130" s="36">
        <f t="shared" si="2"/>
        <v>0</v>
      </c>
    </row>
    <row r="131" spans="1:22" ht="30" customHeight="1" x14ac:dyDescent="0.25">
      <c r="A131" s="97" t="str">
        <f>IF(D131="","",MAX($A$2:A130)+1)</f>
        <v/>
      </c>
      <c r="B131" s="277"/>
      <c r="C131" s="277"/>
      <c r="D131" s="278"/>
      <c r="E131" s="279"/>
      <c r="F131" s="279"/>
      <c r="G131" s="280"/>
      <c r="H131" s="280"/>
      <c r="I131" s="279"/>
      <c r="J131" s="290"/>
      <c r="K131" s="281"/>
      <c r="L131" s="282"/>
      <c r="M131" s="284"/>
      <c r="N131" s="76"/>
      <c r="O131" s="76"/>
      <c r="P131" s="77"/>
      <c r="Q131" s="77"/>
      <c r="R131" s="77"/>
      <c r="S131" s="88"/>
      <c r="T131" s="71"/>
      <c r="U131" s="37"/>
      <c r="V131" s="36">
        <f t="shared" si="2"/>
        <v>0</v>
      </c>
    </row>
    <row r="132" spans="1:22" ht="30" customHeight="1" x14ac:dyDescent="0.25">
      <c r="A132" s="97" t="str">
        <f>IF(D132="","",MAX($A$2:A131)+1)</f>
        <v/>
      </c>
      <c r="B132" s="277"/>
      <c r="C132" s="277"/>
      <c r="D132" s="278"/>
      <c r="E132" s="279"/>
      <c r="F132" s="279"/>
      <c r="G132" s="280"/>
      <c r="H132" s="280"/>
      <c r="I132" s="279"/>
      <c r="J132" s="290"/>
      <c r="K132" s="281"/>
      <c r="L132" s="282"/>
      <c r="M132" s="284"/>
      <c r="N132" s="76"/>
      <c r="O132" s="76"/>
      <c r="P132" s="77"/>
      <c r="Q132" s="77"/>
      <c r="R132" s="77"/>
      <c r="S132" s="88"/>
      <c r="T132" s="71"/>
      <c r="U132" s="37"/>
      <c r="V132" s="36">
        <f t="shared" si="2"/>
        <v>0</v>
      </c>
    </row>
    <row r="133" spans="1:22" ht="30" customHeight="1" x14ac:dyDescent="0.25">
      <c r="A133" s="97" t="str">
        <f>IF(D133="","",MAX($A$2:A132)+1)</f>
        <v/>
      </c>
      <c r="B133" s="277"/>
      <c r="C133" s="277"/>
      <c r="D133" s="278"/>
      <c r="E133" s="279"/>
      <c r="F133" s="279"/>
      <c r="G133" s="280"/>
      <c r="H133" s="280"/>
      <c r="I133" s="279"/>
      <c r="J133" s="290"/>
      <c r="K133" s="281"/>
      <c r="L133" s="282"/>
      <c r="M133" s="284"/>
      <c r="N133" s="76"/>
      <c r="O133" s="76"/>
      <c r="P133" s="77"/>
      <c r="Q133" s="77"/>
      <c r="R133" s="77"/>
      <c r="S133" s="88"/>
      <c r="T133" s="71"/>
      <c r="U133" s="37"/>
      <c r="V133" s="36">
        <f t="shared" si="2"/>
        <v>0</v>
      </c>
    </row>
    <row r="134" spans="1:22" ht="30" customHeight="1" x14ac:dyDescent="0.25">
      <c r="A134" s="97" t="str">
        <f>IF(D134="","",MAX($A$2:A133)+1)</f>
        <v/>
      </c>
      <c r="B134" s="277"/>
      <c r="C134" s="277"/>
      <c r="D134" s="278"/>
      <c r="E134" s="279"/>
      <c r="F134" s="279"/>
      <c r="G134" s="280"/>
      <c r="H134" s="280"/>
      <c r="I134" s="279"/>
      <c r="J134" s="290"/>
      <c r="K134" s="281"/>
      <c r="L134" s="282"/>
      <c r="M134" s="284"/>
      <c r="N134" s="76"/>
      <c r="O134" s="76"/>
      <c r="P134" s="77"/>
      <c r="Q134" s="77"/>
      <c r="R134" s="77"/>
      <c r="S134" s="88"/>
      <c r="T134" s="71"/>
      <c r="U134" s="37"/>
      <c r="V134" s="36">
        <f t="shared" si="2"/>
        <v>0</v>
      </c>
    </row>
    <row r="135" spans="1:22" ht="30" customHeight="1" x14ac:dyDescent="0.25">
      <c r="A135" s="97" t="str">
        <f>IF(D135="","",MAX($A$2:A134)+1)</f>
        <v/>
      </c>
      <c r="B135" s="277"/>
      <c r="C135" s="277"/>
      <c r="D135" s="278"/>
      <c r="E135" s="279"/>
      <c r="F135" s="279"/>
      <c r="G135" s="280"/>
      <c r="H135" s="280"/>
      <c r="I135" s="279"/>
      <c r="J135" s="290"/>
      <c r="K135" s="281"/>
      <c r="L135" s="282"/>
      <c r="M135" s="284"/>
      <c r="N135" s="76"/>
      <c r="O135" s="76"/>
      <c r="P135" s="77"/>
      <c r="Q135" s="77"/>
      <c r="R135" s="77"/>
      <c r="S135" s="88"/>
      <c r="T135" s="71"/>
      <c r="U135" s="37"/>
      <c r="V135" s="36">
        <f t="shared" si="2"/>
        <v>0</v>
      </c>
    </row>
    <row r="136" spans="1:22" ht="30" customHeight="1" x14ac:dyDescent="0.25">
      <c r="A136" s="97" t="str">
        <f>IF(D136="","",MAX($A$2:A135)+1)</f>
        <v/>
      </c>
      <c r="B136" s="277"/>
      <c r="C136" s="277"/>
      <c r="D136" s="278"/>
      <c r="E136" s="279"/>
      <c r="F136" s="286"/>
      <c r="G136" s="280"/>
      <c r="H136" s="280"/>
      <c r="I136" s="279"/>
      <c r="J136" s="290"/>
      <c r="K136" s="281"/>
      <c r="L136" s="282"/>
      <c r="M136" s="284"/>
      <c r="N136" s="76"/>
      <c r="O136" s="76"/>
      <c r="P136" s="77"/>
      <c r="Q136" s="77"/>
      <c r="R136" s="77"/>
      <c r="S136" s="88"/>
      <c r="T136" s="71"/>
      <c r="U136" s="37"/>
      <c r="V136" s="36">
        <f t="shared" si="2"/>
        <v>0</v>
      </c>
    </row>
    <row r="137" spans="1:22" ht="30" customHeight="1" x14ac:dyDescent="0.25">
      <c r="A137" s="97" t="str">
        <f>IF(D137="","",MAX($A$2:A136)+1)</f>
        <v/>
      </c>
      <c r="B137" s="277"/>
      <c r="C137" s="277"/>
      <c r="D137" s="278"/>
      <c r="E137" s="279"/>
      <c r="F137" s="279"/>
      <c r="G137" s="280"/>
      <c r="H137" s="280"/>
      <c r="I137" s="279"/>
      <c r="J137" s="290"/>
      <c r="K137" s="281"/>
      <c r="L137" s="282"/>
      <c r="M137" s="284"/>
      <c r="N137" s="76"/>
      <c r="O137" s="76"/>
      <c r="P137" s="77"/>
      <c r="Q137" s="77"/>
      <c r="R137" s="77"/>
      <c r="S137" s="88"/>
      <c r="T137" s="71"/>
      <c r="U137" s="37"/>
      <c r="V137" s="36">
        <f t="shared" si="2"/>
        <v>0</v>
      </c>
    </row>
    <row r="138" spans="1:22" ht="30" customHeight="1" x14ac:dyDescent="0.25">
      <c r="A138" s="97" t="str">
        <f>IF(D138="","",MAX($A$2:A137)+1)</f>
        <v/>
      </c>
      <c r="B138" s="277"/>
      <c r="C138" s="277"/>
      <c r="D138" s="278"/>
      <c r="E138" s="279"/>
      <c r="F138" s="279"/>
      <c r="G138" s="280"/>
      <c r="H138" s="280"/>
      <c r="I138" s="279"/>
      <c r="J138" s="290"/>
      <c r="K138" s="281"/>
      <c r="L138" s="282"/>
      <c r="M138" s="284"/>
      <c r="N138" s="76"/>
      <c r="O138" s="76"/>
      <c r="P138" s="77"/>
      <c r="Q138" s="77"/>
      <c r="R138" s="77"/>
      <c r="S138" s="88"/>
      <c r="T138" s="71"/>
      <c r="U138" s="37"/>
      <c r="V138" s="36">
        <f t="shared" si="2"/>
        <v>0</v>
      </c>
    </row>
    <row r="139" spans="1:22" ht="30" customHeight="1" x14ac:dyDescent="0.25">
      <c r="A139" s="97" t="str">
        <f>IF(D139="","",MAX($A$2:A138)+1)</f>
        <v/>
      </c>
      <c r="B139" s="277"/>
      <c r="C139" s="277"/>
      <c r="D139" s="278"/>
      <c r="E139" s="279"/>
      <c r="F139" s="279"/>
      <c r="G139" s="280"/>
      <c r="H139" s="280"/>
      <c r="I139" s="279"/>
      <c r="J139" s="290"/>
      <c r="K139" s="281"/>
      <c r="L139" s="282"/>
      <c r="M139" s="284"/>
      <c r="N139" s="76"/>
      <c r="O139" s="76"/>
      <c r="P139" s="77"/>
      <c r="Q139" s="77"/>
      <c r="R139" s="77"/>
      <c r="S139" s="88"/>
      <c r="T139" s="71"/>
      <c r="U139" s="37"/>
      <c r="V139" s="36">
        <f t="shared" si="2"/>
        <v>0</v>
      </c>
    </row>
    <row r="140" spans="1:22" ht="30" customHeight="1" x14ac:dyDescent="0.25">
      <c r="A140" s="97" t="str">
        <f>IF(D140="","",MAX($A$2:A139)+1)</f>
        <v/>
      </c>
      <c r="B140" s="277"/>
      <c r="C140" s="277"/>
      <c r="D140" s="278"/>
      <c r="E140" s="279"/>
      <c r="F140" s="279"/>
      <c r="G140" s="280"/>
      <c r="H140" s="280"/>
      <c r="I140" s="279"/>
      <c r="J140" s="290"/>
      <c r="K140" s="281"/>
      <c r="L140" s="282"/>
      <c r="M140" s="284"/>
      <c r="N140" s="76"/>
      <c r="O140" s="76"/>
      <c r="P140" s="77"/>
      <c r="Q140" s="77"/>
      <c r="R140" s="77"/>
      <c r="S140" s="88"/>
      <c r="T140" s="71"/>
      <c r="U140" s="37"/>
      <c r="V140" s="36">
        <f t="shared" si="2"/>
        <v>0</v>
      </c>
    </row>
    <row r="141" spans="1:22" ht="30" customHeight="1" x14ac:dyDescent="0.25">
      <c r="A141" s="97" t="str">
        <f>IF(D141="","",MAX($A$2:A140)+1)</f>
        <v/>
      </c>
      <c r="B141" s="277"/>
      <c r="C141" s="277"/>
      <c r="D141" s="278"/>
      <c r="E141" s="279"/>
      <c r="F141" s="279"/>
      <c r="G141" s="280"/>
      <c r="H141" s="280"/>
      <c r="I141" s="279"/>
      <c r="J141" s="290"/>
      <c r="K141" s="281"/>
      <c r="L141" s="282"/>
      <c r="M141" s="284"/>
      <c r="N141" s="76"/>
      <c r="O141" s="76"/>
      <c r="P141" s="77"/>
      <c r="Q141" s="77"/>
      <c r="R141" s="77"/>
      <c r="S141" s="88"/>
      <c r="T141" s="71"/>
      <c r="U141" s="37"/>
      <c r="V141" s="36">
        <f t="shared" si="2"/>
        <v>0</v>
      </c>
    </row>
    <row r="142" spans="1:22" ht="30" customHeight="1" x14ac:dyDescent="0.25">
      <c r="A142" s="97" t="str">
        <f>IF(D142="","",MAX($A$2:A141)+1)</f>
        <v/>
      </c>
      <c r="B142" s="277"/>
      <c r="C142" s="277"/>
      <c r="D142" s="278"/>
      <c r="E142" s="279"/>
      <c r="F142" s="279"/>
      <c r="G142" s="280"/>
      <c r="H142" s="280"/>
      <c r="I142" s="279"/>
      <c r="J142" s="290"/>
      <c r="K142" s="281"/>
      <c r="L142" s="282"/>
      <c r="M142" s="284"/>
      <c r="N142" s="76"/>
      <c r="O142" s="76"/>
      <c r="P142" s="77"/>
      <c r="Q142" s="77"/>
      <c r="R142" s="77"/>
      <c r="S142" s="88"/>
      <c r="T142" s="71"/>
      <c r="U142" s="37"/>
      <c r="V142" s="36">
        <f t="shared" si="2"/>
        <v>0</v>
      </c>
    </row>
    <row r="143" spans="1:22" ht="30" customHeight="1" x14ac:dyDescent="0.25">
      <c r="A143" s="97" t="str">
        <f>IF(D143="","",MAX($A$2:A142)+1)</f>
        <v/>
      </c>
      <c r="B143" s="277"/>
      <c r="C143" s="277"/>
      <c r="D143" s="278"/>
      <c r="E143" s="279"/>
      <c r="F143" s="287"/>
      <c r="G143" s="280"/>
      <c r="H143" s="280"/>
      <c r="I143" s="279"/>
      <c r="J143" s="290"/>
      <c r="K143" s="281"/>
      <c r="L143" s="282"/>
      <c r="M143" s="284"/>
      <c r="N143" s="76"/>
      <c r="O143" s="76"/>
      <c r="P143" s="77"/>
      <c r="Q143" s="77"/>
      <c r="R143" s="77"/>
      <c r="S143" s="88"/>
      <c r="T143" s="71"/>
      <c r="U143" s="37"/>
      <c r="V143" s="36">
        <f t="shared" si="2"/>
        <v>0</v>
      </c>
    </row>
    <row r="144" spans="1:22" ht="30" customHeight="1" x14ac:dyDescent="0.25">
      <c r="A144" s="97" t="str">
        <f>IF(D144="","",MAX($A$2:A143)+1)</f>
        <v/>
      </c>
      <c r="B144" s="277"/>
      <c r="C144" s="277"/>
      <c r="D144" s="278"/>
      <c r="E144" s="279"/>
      <c r="F144" s="279"/>
      <c r="G144" s="280"/>
      <c r="H144" s="280"/>
      <c r="I144" s="279"/>
      <c r="J144" s="290"/>
      <c r="K144" s="281"/>
      <c r="L144" s="282"/>
      <c r="M144" s="284"/>
      <c r="N144" s="76"/>
      <c r="O144" s="76"/>
      <c r="P144" s="77"/>
      <c r="Q144" s="77"/>
      <c r="R144" s="77"/>
      <c r="S144" s="88"/>
      <c r="T144" s="71"/>
      <c r="U144" s="37"/>
      <c r="V144" s="36">
        <f t="shared" si="2"/>
        <v>0</v>
      </c>
    </row>
    <row r="145" spans="1:22" ht="30" customHeight="1" x14ac:dyDescent="0.25">
      <c r="A145" s="97" t="str">
        <f>IF(D145="","",MAX($A$2:A144)+1)</f>
        <v/>
      </c>
      <c r="B145" s="277"/>
      <c r="C145" s="277"/>
      <c r="D145" s="278"/>
      <c r="E145" s="279"/>
      <c r="F145" s="279"/>
      <c r="G145" s="280"/>
      <c r="H145" s="280"/>
      <c r="I145" s="279"/>
      <c r="J145" s="290"/>
      <c r="K145" s="281"/>
      <c r="L145" s="282"/>
      <c r="M145" s="284"/>
      <c r="N145" s="76"/>
      <c r="O145" s="76"/>
      <c r="P145" s="77"/>
      <c r="Q145" s="77"/>
      <c r="R145" s="77"/>
      <c r="S145" s="88"/>
      <c r="T145" s="71"/>
      <c r="U145" s="37"/>
      <c r="V145" s="36">
        <f t="shared" si="2"/>
        <v>0</v>
      </c>
    </row>
    <row r="146" spans="1:22" ht="30" customHeight="1" x14ac:dyDescent="0.25">
      <c r="A146" s="97" t="str">
        <f>IF(D146="","",MAX($A$2:A145)+1)</f>
        <v/>
      </c>
      <c r="B146" s="277"/>
      <c r="C146" s="277"/>
      <c r="D146" s="278"/>
      <c r="E146" s="279"/>
      <c r="F146" s="279"/>
      <c r="G146" s="280"/>
      <c r="H146" s="280"/>
      <c r="I146" s="279"/>
      <c r="J146" s="290"/>
      <c r="K146" s="281"/>
      <c r="L146" s="282"/>
      <c r="M146" s="284"/>
      <c r="N146" s="76"/>
      <c r="O146" s="76"/>
      <c r="P146" s="77"/>
      <c r="Q146" s="77"/>
      <c r="R146" s="77"/>
      <c r="S146" s="88"/>
      <c r="T146" s="71"/>
      <c r="U146" s="37"/>
      <c r="V146" s="36">
        <f t="shared" si="2"/>
        <v>0</v>
      </c>
    </row>
    <row r="147" spans="1:22" ht="30" customHeight="1" x14ac:dyDescent="0.25">
      <c r="A147" s="97" t="str">
        <f>IF(D147="","",MAX($A$2:A146)+1)</f>
        <v/>
      </c>
      <c r="B147" s="277"/>
      <c r="C147" s="277"/>
      <c r="D147" s="278"/>
      <c r="E147" s="279"/>
      <c r="F147" s="279"/>
      <c r="G147" s="280"/>
      <c r="H147" s="280"/>
      <c r="I147" s="279"/>
      <c r="J147" s="290"/>
      <c r="K147" s="281"/>
      <c r="L147" s="282"/>
      <c r="M147" s="284"/>
      <c r="N147" s="76"/>
      <c r="O147" s="76"/>
      <c r="P147" s="77"/>
      <c r="Q147" s="77"/>
      <c r="R147" s="77"/>
      <c r="S147" s="88"/>
      <c r="T147" s="71"/>
      <c r="U147" s="37"/>
      <c r="V147" s="36">
        <f t="shared" si="2"/>
        <v>0</v>
      </c>
    </row>
    <row r="148" spans="1:22" ht="30" customHeight="1" x14ac:dyDescent="0.25">
      <c r="A148" s="97" t="str">
        <f>IF(D148="","",MAX($A$2:A147)+1)</f>
        <v/>
      </c>
      <c r="B148" s="277"/>
      <c r="C148" s="277"/>
      <c r="D148" s="278"/>
      <c r="E148" s="279"/>
      <c r="F148" s="279"/>
      <c r="G148" s="280"/>
      <c r="H148" s="280"/>
      <c r="I148" s="279"/>
      <c r="J148" s="290"/>
      <c r="K148" s="281"/>
      <c r="L148" s="282"/>
      <c r="M148" s="283"/>
      <c r="N148" s="76"/>
      <c r="O148" s="76"/>
      <c r="P148" s="77"/>
      <c r="Q148" s="77"/>
      <c r="R148" s="77"/>
      <c r="S148" s="88"/>
      <c r="T148" s="71"/>
      <c r="U148" s="37"/>
      <c r="V148" s="36">
        <f t="shared" si="2"/>
        <v>0</v>
      </c>
    </row>
    <row r="149" spans="1:22" ht="30" customHeight="1" x14ac:dyDescent="0.25">
      <c r="A149" s="97" t="str">
        <f>IF(D149="","",MAX($A$2:A148)+1)</f>
        <v/>
      </c>
      <c r="B149" s="277"/>
      <c r="C149" s="277"/>
      <c r="D149" s="278"/>
      <c r="E149" s="279"/>
      <c r="F149" s="279"/>
      <c r="G149" s="280"/>
      <c r="H149" s="280"/>
      <c r="I149" s="279"/>
      <c r="J149" s="290"/>
      <c r="K149" s="281"/>
      <c r="L149" s="282"/>
      <c r="M149" s="284"/>
      <c r="N149" s="76"/>
      <c r="O149" s="76"/>
      <c r="P149" s="77"/>
      <c r="Q149" s="77"/>
      <c r="R149" s="77"/>
      <c r="S149" s="88"/>
      <c r="T149" s="71"/>
      <c r="U149" s="37"/>
      <c r="V149" s="36">
        <f t="shared" si="2"/>
        <v>0</v>
      </c>
    </row>
    <row r="150" spans="1:22" ht="30" customHeight="1" x14ac:dyDescent="0.25">
      <c r="A150" s="97" t="str">
        <f>IF(D150="","",MAX($A$2:A149)+1)</f>
        <v/>
      </c>
      <c r="B150" s="277"/>
      <c r="C150" s="277"/>
      <c r="D150" s="278"/>
      <c r="E150" s="279"/>
      <c r="F150" s="279"/>
      <c r="G150" s="280"/>
      <c r="H150" s="280"/>
      <c r="I150" s="279"/>
      <c r="J150" s="290"/>
      <c r="K150" s="281"/>
      <c r="L150" s="282"/>
      <c r="M150" s="284"/>
      <c r="N150" s="76"/>
      <c r="O150" s="76"/>
      <c r="P150" s="77"/>
      <c r="Q150" s="77"/>
      <c r="R150" s="77"/>
      <c r="S150" s="88"/>
      <c r="T150" s="71"/>
      <c r="U150" s="37"/>
      <c r="V150" s="36">
        <f t="shared" si="2"/>
        <v>0</v>
      </c>
    </row>
    <row r="151" spans="1:22" ht="30" customHeight="1" x14ac:dyDescent="0.25">
      <c r="A151" s="97" t="str">
        <f>IF(D151="","",MAX($A$2:A150)+1)</f>
        <v/>
      </c>
      <c r="B151" s="277"/>
      <c r="C151" s="277"/>
      <c r="D151" s="278"/>
      <c r="E151" s="279"/>
      <c r="F151" s="279"/>
      <c r="G151" s="280"/>
      <c r="H151" s="280"/>
      <c r="I151" s="279"/>
      <c r="J151" s="290"/>
      <c r="K151" s="281"/>
      <c r="L151" s="282"/>
      <c r="M151" s="284"/>
      <c r="N151" s="76"/>
      <c r="O151" s="76"/>
      <c r="P151" s="77"/>
      <c r="Q151" s="77"/>
      <c r="R151" s="77"/>
      <c r="S151" s="88"/>
      <c r="T151" s="71"/>
      <c r="U151" s="37"/>
      <c r="V151" s="36">
        <f t="shared" si="2"/>
        <v>0</v>
      </c>
    </row>
    <row r="152" spans="1:22" ht="30" customHeight="1" x14ac:dyDescent="0.25">
      <c r="A152" s="97" t="str">
        <f>IF(D152="","",MAX($A$2:A151)+1)</f>
        <v/>
      </c>
      <c r="B152" s="277"/>
      <c r="C152" s="277"/>
      <c r="D152" s="278"/>
      <c r="E152" s="279"/>
      <c r="F152" s="279"/>
      <c r="G152" s="280"/>
      <c r="H152" s="280"/>
      <c r="I152" s="279"/>
      <c r="J152" s="290"/>
      <c r="K152" s="281"/>
      <c r="L152" s="282"/>
      <c r="M152" s="284"/>
      <c r="N152" s="76"/>
      <c r="O152" s="76"/>
      <c r="P152" s="77"/>
      <c r="Q152" s="77"/>
      <c r="R152" s="77"/>
      <c r="S152" s="88"/>
      <c r="T152" s="71"/>
      <c r="U152" s="37"/>
      <c r="V152" s="36">
        <f t="shared" si="2"/>
        <v>0</v>
      </c>
    </row>
    <row r="153" spans="1:22" ht="30" customHeight="1" x14ac:dyDescent="0.25">
      <c r="A153" s="97" t="str">
        <f>IF(D153="","",MAX($A$2:A152)+1)</f>
        <v/>
      </c>
      <c r="B153" s="277"/>
      <c r="C153" s="277"/>
      <c r="D153" s="278"/>
      <c r="E153" s="279"/>
      <c r="F153" s="279"/>
      <c r="G153" s="280"/>
      <c r="H153" s="280"/>
      <c r="I153" s="279"/>
      <c r="J153" s="290"/>
      <c r="K153" s="281"/>
      <c r="L153" s="282"/>
      <c r="M153" s="284"/>
      <c r="N153" s="76"/>
      <c r="O153" s="76"/>
      <c r="P153" s="77"/>
      <c r="Q153" s="77"/>
      <c r="R153" s="77"/>
      <c r="S153" s="88"/>
      <c r="T153" s="71"/>
      <c r="U153" s="37"/>
      <c r="V153" s="36">
        <f t="shared" si="2"/>
        <v>0</v>
      </c>
    </row>
    <row r="154" spans="1:22" ht="30" customHeight="1" x14ac:dyDescent="0.25">
      <c r="A154" s="97" t="str">
        <f>IF(D154="","",MAX($A$2:A153)+1)</f>
        <v/>
      </c>
      <c r="B154" s="277"/>
      <c r="C154" s="277"/>
      <c r="D154" s="278"/>
      <c r="E154" s="279"/>
      <c r="F154" s="279"/>
      <c r="G154" s="280"/>
      <c r="H154" s="280"/>
      <c r="I154" s="279"/>
      <c r="J154" s="290"/>
      <c r="K154" s="281"/>
      <c r="L154" s="282"/>
      <c r="M154" s="284"/>
      <c r="N154" s="76"/>
      <c r="O154" s="76"/>
      <c r="P154" s="77"/>
      <c r="Q154" s="77"/>
      <c r="R154" s="77"/>
      <c r="S154" s="88"/>
      <c r="T154" s="71"/>
      <c r="U154" s="37"/>
      <c r="V154" s="36">
        <f t="shared" si="2"/>
        <v>0</v>
      </c>
    </row>
    <row r="155" spans="1:22" ht="30" customHeight="1" x14ac:dyDescent="0.25">
      <c r="A155" s="97" t="str">
        <f>IF(D155="","",MAX($A$2:A154)+1)</f>
        <v/>
      </c>
      <c r="B155" s="277"/>
      <c r="C155" s="277"/>
      <c r="D155" s="278"/>
      <c r="E155" s="279"/>
      <c r="F155" s="279"/>
      <c r="G155" s="280"/>
      <c r="H155" s="280"/>
      <c r="I155" s="279"/>
      <c r="J155" s="290"/>
      <c r="K155" s="281"/>
      <c r="L155" s="282"/>
      <c r="M155" s="284"/>
      <c r="N155" s="76"/>
      <c r="O155" s="76"/>
      <c r="P155" s="77"/>
      <c r="Q155" s="77"/>
      <c r="R155" s="77"/>
      <c r="S155" s="88"/>
      <c r="T155" s="71"/>
      <c r="U155" s="37"/>
      <c r="V155" s="36">
        <f t="shared" si="2"/>
        <v>0</v>
      </c>
    </row>
    <row r="156" spans="1:22" ht="30" customHeight="1" x14ac:dyDescent="0.25">
      <c r="A156" s="97" t="str">
        <f>IF(D156="","",MAX($A$2:A155)+1)</f>
        <v/>
      </c>
      <c r="B156" s="277"/>
      <c r="C156" s="277"/>
      <c r="D156" s="278"/>
      <c r="E156" s="279"/>
      <c r="F156" s="279"/>
      <c r="G156" s="280"/>
      <c r="H156" s="280"/>
      <c r="I156" s="279"/>
      <c r="J156" s="290"/>
      <c r="K156" s="281"/>
      <c r="L156" s="282"/>
      <c r="M156" s="284"/>
      <c r="N156" s="76"/>
      <c r="O156" s="76"/>
      <c r="P156" s="77"/>
      <c r="Q156" s="77"/>
      <c r="R156" s="77"/>
      <c r="S156" s="88"/>
      <c r="T156" s="71"/>
      <c r="U156" s="37"/>
      <c r="V156" s="36">
        <f t="shared" si="2"/>
        <v>0</v>
      </c>
    </row>
    <row r="157" spans="1:22" ht="30" customHeight="1" x14ac:dyDescent="0.25">
      <c r="A157" s="97" t="str">
        <f>IF(D157="","",MAX($A$2:A156)+1)</f>
        <v/>
      </c>
      <c r="B157" s="277"/>
      <c r="C157" s="277"/>
      <c r="D157" s="278"/>
      <c r="E157" s="279"/>
      <c r="F157" s="279"/>
      <c r="G157" s="280"/>
      <c r="H157" s="280"/>
      <c r="I157" s="279"/>
      <c r="J157" s="290"/>
      <c r="K157" s="281"/>
      <c r="L157" s="282"/>
      <c r="M157" s="284"/>
      <c r="N157" s="76"/>
      <c r="O157" s="76"/>
      <c r="P157" s="77"/>
      <c r="Q157" s="77"/>
      <c r="R157" s="77"/>
      <c r="S157" s="88"/>
      <c r="T157" s="71"/>
      <c r="U157" s="37"/>
      <c r="V157" s="36">
        <f t="shared" si="2"/>
        <v>0</v>
      </c>
    </row>
    <row r="158" spans="1:22" ht="30" customHeight="1" x14ac:dyDescent="0.25">
      <c r="A158" s="97" t="str">
        <f>IF(D158="","",MAX($A$2:A157)+1)</f>
        <v/>
      </c>
      <c r="B158" s="277"/>
      <c r="C158" s="277"/>
      <c r="D158" s="278"/>
      <c r="E158" s="279"/>
      <c r="F158" s="279"/>
      <c r="G158" s="280"/>
      <c r="H158" s="280"/>
      <c r="I158" s="279"/>
      <c r="J158" s="290"/>
      <c r="K158" s="281"/>
      <c r="L158" s="282"/>
      <c r="M158" s="284"/>
      <c r="N158" s="76"/>
      <c r="O158" s="76"/>
      <c r="P158" s="77"/>
      <c r="Q158" s="77"/>
      <c r="R158" s="77"/>
      <c r="S158" s="88"/>
      <c r="T158" s="71"/>
      <c r="U158" s="37"/>
      <c r="V158" s="36">
        <f t="shared" si="2"/>
        <v>0</v>
      </c>
    </row>
    <row r="159" spans="1:22" ht="30" customHeight="1" x14ac:dyDescent="0.25">
      <c r="A159" s="97" t="str">
        <f>IF(D159="","",MAX($A$2:A158)+1)</f>
        <v/>
      </c>
      <c r="B159" s="277"/>
      <c r="C159" s="277"/>
      <c r="D159" s="278"/>
      <c r="E159" s="279"/>
      <c r="F159" s="279"/>
      <c r="G159" s="280"/>
      <c r="H159" s="280"/>
      <c r="I159" s="279"/>
      <c r="J159" s="290"/>
      <c r="K159" s="281"/>
      <c r="L159" s="282"/>
      <c r="M159" s="284"/>
      <c r="N159" s="76"/>
      <c r="O159" s="76"/>
      <c r="P159" s="77"/>
      <c r="Q159" s="77"/>
      <c r="R159" s="77"/>
      <c r="S159" s="88"/>
      <c r="T159" s="71"/>
      <c r="U159" s="37"/>
      <c r="V159" s="36">
        <f t="shared" si="2"/>
        <v>0</v>
      </c>
    </row>
    <row r="160" spans="1:22" ht="30" customHeight="1" x14ac:dyDescent="0.25">
      <c r="A160" s="97" t="str">
        <f>IF(D160="","",MAX($A$2:A159)+1)</f>
        <v/>
      </c>
      <c r="B160" s="277"/>
      <c r="C160" s="277"/>
      <c r="D160" s="278"/>
      <c r="E160" s="279"/>
      <c r="F160" s="279"/>
      <c r="G160" s="280"/>
      <c r="H160" s="280"/>
      <c r="I160" s="279"/>
      <c r="J160" s="290"/>
      <c r="K160" s="281"/>
      <c r="L160" s="282"/>
      <c r="M160" s="284"/>
      <c r="N160" s="76"/>
      <c r="O160" s="76"/>
      <c r="P160" s="77"/>
      <c r="Q160" s="77"/>
      <c r="R160" s="77"/>
      <c r="S160" s="88"/>
      <c r="T160" s="71"/>
      <c r="U160" s="37"/>
      <c r="V160" s="36">
        <f t="shared" si="2"/>
        <v>0</v>
      </c>
    </row>
    <row r="161" spans="1:22" ht="30" customHeight="1" x14ac:dyDescent="0.25">
      <c r="A161" s="97" t="str">
        <f>IF(D161="","",MAX($A$2:A160)+1)</f>
        <v/>
      </c>
      <c r="B161" s="277"/>
      <c r="C161" s="277"/>
      <c r="D161" s="278"/>
      <c r="E161" s="279"/>
      <c r="F161" s="279"/>
      <c r="G161" s="280"/>
      <c r="H161" s="280"/>
      <c r="I161" s="279"/>
      <c r="J161" s="290"/>
      <c r="K161" s="281"/>
      <c r="L161" s="282"/>
      <c r="M161" s="284"/>
      <c r="N161" s="76"/>
      <c r="O161" s="76"/>
      <c r="P161" s="77"/>
      <c r="Q161" s="77"/>
      <c r="R161" s="77"/>
      <c r="S161" s="88"/>
      <c r="T161" s="71"/>
      <c r="U161" s="37"/>
      <c r="V161" s="36">
        <f t="shared" si="2"/>
        <v>0</v>
      </c>
    </row>
    <row r="162" spans="1:22" ht="30" customHeight="1" x14ac:dyDescent="0.25">
      <c r="A162" s="97" t="str">
        <f>IF(D162="","",MAX($A$2:A161)+1)</f>
        <v/>
      </c>
      <c r="B162" s="277"/>
      <c r="C162" s="277"/>
      <c r="D162" s="278"/>
      <c r="E162" s="279"/>
      <c r="F162" s="279"/>
      <c r="G162" s="280"/>
      <c r="H162" s="280"/>
      <c r="I162" s="279"/>
      <c r="J162" s="290"/>
      <c r="K162" s="281"/>
      <c r="L162" s="282"/>
      <c r="M162" s="284"/>
      <c r="N162" s="76"/>
      <c r="O162" s="76"/>
      <c r="P162" s="77"/>
      <c r="Q162" s="77"/>
      <c r="R162" s="77"/>
      <c r="S162" s="88"/>
      <c r="T162" s="71"/>
      <c r="U162" s="37"/>
      <c r="V162" s="36">
        <f t="shared" si="2"/>
        <v>0</v>
      </c>
    </row>
    <row r="163" spans="1:22" ht="30" customHeight="1" x14ac:dyDescent="0.25">
      <c r="A163" s="97" t="str">
        <f>IF(D163="","",MAX($A$2:A162)+1)</f>
        <v/>
      </c>
      <c r="B163" s="277"/>
      <c r="C163" s="277"/>
      <c r="D163" s="278"/>
      <c r="E163" s="279"/>
      <c r="F163" s="279"/>
      <c r="G163" s="280"/>
      <c r="H163" s="280"/>
      <c r="I163" s="279"/>
      <c r="J163" s="290"/>
      <c r="K163" s="281"/>
      <c r="L163" s="282"/>
      <c r="M163" s="284"/>
      <c r="N163" s="76"/>
      <c r="O163" s="76"/>
      <c r="P163" s="77"/>
      <c r="Q163" s="77"/>
      <c r="R163" s="77"/>
      <c r="S163" s="88"/>
      <c r="T163" s="71"/>
      <c r="U163" s="37"/>
      <c r="V163" s="36">
        <f t="shared" si="2"/>
        <v>0</v>
      </c>
    </row>
    <row r="164" spans="1:22" ht="30" customHeight="1" x14ac:dyDescent="0.25">
      <c r="A164" s="97" t="str">
        <f>IF(D164="","",MAX($A$2:A163)+1)</f>
        <v/>
      </c>
      <c r="B164" s="277"/>
      <c r="C164" s="277"/>
      <c r="D164" s="278"/>
      <c r="E164" s="279"/>
      <c r="F164" s="279"/>
      <c r="G164" s="280"/>
      <c r="H164" s="280"/>
      <c r="I164" s="279"/>
      <c r="J164" s="290"/>
      <c r="K164" s="281"/>
      <c r="L164" s="282"/>
      <c r="M164" s="284"/>
      <c r="N164" s="76"/>
      <c r="O164" s="76"/>
      <c r="P164" s="77"/>
      <c r="Q164" s="77"/>
      <c r="R164" s="77"/>
      <c r="S164" s="88"/>
      <c r="T164" s="71"/>
      <c r="U164" s="37"/>
      <c r="V164" s="36">
        <f t="shared" si="2"/>
        <v>0</v>
      </c>
    </row>
    <row r="165" spans="1:22" ht="30" customHeight="1" x14ac:dyDescent="0.25">
      <c r="A165" s="97" t="str">
        <f>IF(D165="","",MAX($A$2:A164)+1)</f>
        <v/>
      </c>
      <c r="B165" s="277"/>
      <c r="C165" s="277"/>
      <c r="D165" s="278"/>
      <c r="E165" s="279"/>
      <c r="F165" s="279"/>
      <c r="G165" s="280"/>
      <c r="H165" s="280"/>
      <c r="I165" s="279"/>
      <c r="J165" s="290"/>
      <c r="K165" s="281"/>
      <c r="L165" s="282"/>
      <c r="M165" s="284"/>
      <c r="N165" s="76"/>
      <c r="O165" s="76"/>
      <c r="P165" s="77"/>
      <c r="Q165" s="77"/>
      <c r="R165" s="77"/>
      <c r="S165" s="88"/>
      <c r="T165" s="71"/>
      <c r="U165" s="37"/>
      <c r="V165" s="36">
        <f t="shared" si="2"/>
        <v>0</v>
      </c>
    </row>
    <row r="166" spans="1:22" ht="30" customHeight="1" x14ac:dyDescent="0.25">
      <c r="A166" s="97" t="str">
        <f>IF(D166="","",MAX($A$2:A165)+1)</f>
        <v/>
      </c>
      <c r="B166" s="277"/>
      <c r="C166" s="277"/>
      <c r="D166" s="278"/>
      <c r="E166" s="279"/>
      <c r="F166" s="279"/>
      <c r="G166" s="280"/>
      <c r="H166" s="280"/>
      <c r="I166" s="279"/>
      <c r="J166" s="290"/>
      <c r="K166" s="281"/>
      <c r="L166" s="282"/>
      <c r="M166" s="284"/>
      <c r="N166" s="76"/>
      <c r="O166" s="76"/>
      <c r="P166" s="77"/>
      <c r="Q166" s="77"/>
      <c r="R166" s="77"/>
      <c r="S166" s="88"/>
      <c r="T166" s="71"/>
      <c r="U166" s="37"/>
      <c r="V166" s="36">
        <f t="shared" si="2"/>
        <v>0</v>
      </c>
    </row>
    <row r="167" spans="1:22" ht="30" customHeight="1" x14ac:dyDescent="0.25">
      <c r="A167" s="97" t="str">
        <f>IF(D167="","",MAX($A$2:A166)+1)</f>
        <v/>
      </c>
      <c r="B167" s="277"/>
      <c r="C167" s="277"/>
      <c r="D167" s="278"/>
      <c r="E167" s="279"/>
      <c r="F167" s="279"/>
      <c r="G167" s="280"/>
      <c r="H167" s="280"/>
      <c r="I167" s="279"/>
      <c r="J167" s="297"/>
      <c r="K167" s="281"/>
      <c r="L167" s="282"/>
      <c r="M167" s="284"/>
      <c r="N167" s="76"/>
      <c r="O167" s="76"/>
      <c r="P167" s="77"/>
      <c r="Q167" s="77"/>
      <c r="R167" s="77"/>
      <c r="S167" s="88"/>
      <c r="T167" s="71"/>
      <c r="U167" s="37"/>
      <c r="V167" s="36">
        <f t="shared" si="2"/>
        <v>0</v>
      </c>
    </row>
    <row r="168" spans="1:22" ht="30" customHeight="1" x14ac:dyDescent="0.25">
      <c r="A168" s="97" t="str">
        <f>IF(D168="","",MAX($A$2:A167)+1)</f>
        <v/>
      </c>
      <c r="B168" s="277"/>
      <c r="C168" s="277"/>
      <c r="D168" s="278"/>
      <c r="E168" s="279"/>
      <c r="F168" s="279"/>
      <c r="G168" s="280"/>
      <c r="H168" s="280"/>
      <c r="I168" s="279"/>
      <c r="J168" s="290"/>
      <c r="K168" s="281"/>
      <c r="L168" s="282"/>
      <c r="M168" s="284"/>
      <c r="N168" s="76"/>
      <c r="O168" s="76"/>
      <c r="P168" s="77"/>
      <c r="Q168" s="77"/>
      <c r="R168" s="77"/>
      <c r="S168" s="88"/>
      <c r="T168" s="71"/>
      <c r="U168" s="37"/>
      <c r="V168" s="36">
        <f t="shared" si="2"/>
        <v>0</v>
      </c>
    </row>
    <row r="169" spans="1:22" ht="30" customHeight="1" x14ac:dyDescent="0.25">
      <c r="A169" s="97" t="str">
        <f>IF(D169="","",MAX($A$2:A168)+1)</f>
        <v/>
      </c>
      <c r="B169" s="277"/>
      <c r="C169" s="277"/>
      <c r="D169" s="278"/>
      <c r="E169" s="279"/>
      <c r="F169" s="279"/>
      <c r="G169" s="280"/>
      <c r="H169" s="280"/>
      <c r="I169" s="279"/>
      <c r="J169" s="290"/>
      <c r="K169" s="281"/>
      <c r="L169" s="282"/>
      <c r="M169" s="284"/>
      <c r="N169" s="76"/>
      <c r="O169" s="76"/>
      <c r="P169" s="77"/>
      <c r="Q169" s="77"/>
      <c r="R169" s="77"/>
      <c r="S169" s="88"/>
      <c r="T169" s="71"/>
      <c r="U169" s="37"/>
      <c r="V169" s="36">
        <f t="shared" si="2"/>
        <v>0</v>
      </c>
    </row>
    <row r="170" spans="1:22" ht="30" customHeight="1" x14ac:dyDescent="0.25">
      <c r="A170" s="97" t="str">
        <f>IF(D170="","",MAX($A$2:A169)+1)</f>
        <v/>
      </c>
      <c r="B170" s="277"/>
      <c r="C170" s="277"/>
      <c r="D170" s="278"/>
      <c r="E170" s="279"/>
      <c r="F170" s="279"/>
      <c r="G170" s="280"/>
      <c r="H170" s="280"/>
      <c r="I170" s="279"/>
      <c r="J170" s="290"/>
      <c r="K170" s="281"/>
      <c r="L170" s="282"/>
      <c r="M170" s="284"/>
      <c r="N170" s="76"/>
      <c r="O170" s="76"/>
      <c r="P170" s="77"/>
      <c r="Q170" s="77"/>
      <c r="R170" s="77"/>
      <c r="S170" s="88"/>
      <c r="T170" s="71"/>
      <c r="U170" s="37"/>
      <c r="V170" s="36">
        <f t="shared" si="2"/>
        <v>0</v>
      </c>
    </row>
    <row r="171" spans="1:22" ht="30" customHeight="1" x14ac:dyDescent="0.25">
      <c r="A171" s="97" t="str">
        <f>IF(D171="","",MAX($A$2:A170)+1)</f>
        <v/>
      </c>
      <c r="B171" s="277"/>
      <c r="C171" s="277"/>
      <c r="D171" s="278"/>
      <c r="E171" s="279"/>
      <c r="F171" s="279"/>
      <c r="G171" s="280"/>
      <c r="H171" s="280"/>
      <c r="I171" s="279"/>
      <c r="J171" s="290"/>
      <c r="K171" s="281"/>
      <c r="L171" s="282"/>
      <c r="M171" s="284"/>
      <c r="N171" s="76"/>
      <c r="O171" s="76"/>
      <c r="P171" s="77"/>
      <c r="Q171" s="77"/>
      <c r="R171" s="77"/>
      <c r="S171" s="88"/>
      <c r="T171" s="71"/>
      <c r="U171" s="37"/>
      <c r="V171" s="36">
        <f t="shared" si="2"/>
        <v>0</v>
      </c>
    </row>
    <row r="172" spans="1:22" ht="30" customHeight="1" x14ac:dyDescent="0.25">
      <c r="A172" s="97" t="str">
        <f>IF(D172="","",MAX($A$2:A171)+1)</f>
        <v/>
      </c>
      <c r="B172" s="277"/>
      <c r="C172" s="277"/>
      <c r="D172" s="278"/>
      <c r="E172" s="279"/>
      <c r="F172" s="279"/>
      <c r="G172" s="280"/>
      <c r="H172" s="280"/>
      <c r="I172" s="279"/>
      <c r="J172" s="290"/>
      <c r="K172" s="281"/>
      <c r="L172" s="282"/>
      <c r="M172" s="284"/>
      <c r="N172" s="76"/>
      <c r="O172" s="76"/>
      <c r="P172" s="77"/>
      <c r="Q172" s="77"/>
      <c r="R172" s="77"/>
      <c r="S172" s="88"/>
      <c r="T172" s="71"/>
      <c r="U172" s="37"/>
      <c r="V172" s="36">
        <f t="shared" si="2"/>
        <v>0</v>
      </c>
    </row>
    <row r="173" spans="1:22" ht="30" customHeight="1" x14ac:dyDescent="0.25">
      <c r="A173" s="97" t="str">
        <f>IF(D173="","",MAX($A$2:A172)+1)</f>
        <v/>
      </c>
      <c r="B173" s="277"/>
      <c r="C173" s="277"/>
      <c r="D173" s="278"/>
      <c r="E173" s="279"/>
      <c r="F173" s="279"/>
      <c r="G173" s="280"/>
      <c r="H173" s="280"/>
      <c r="I173" s="279"/>
      <c r="J173" s="290"/>
      <c r="K173" s="281"/>
      <c r="L173" s="282"/>
      <c r="M173" s="284"/>
      <c r="N173" s="76"/>
      <c r="O173" s="76"/>
      <c r="P173" s="77"/>
      <c r="Q173" s="77"/>
      <c r="R173" s="77"/>
      <c r="S173" s="88"/>
      <c r="T173" s="71"/>
      <c r="U173" s="37"/>
      <c r="V173" s="36">
        <f t="shared" si="2"/>
        <v>0</v>
      </c>
    </row>
    <row r="174" spans="1:22" ht="30" customHeight="1" x14ac:dyDescent="0.25">
      <c r="A174" s="97" t="str">
        <f>IF(D174="","",MAX($A$2:A173)+1)</f>
        <v/>
      </c>
      <c r="B174" s="277"/>
      <c r="C174" s="277"/>
      <c r="D174" s="278"/>
      <c r="E174" s="279"/>
      <c r="F174" s="279"/>
      <c r="G174" s="280"/>
      <c r="H174" s="280"/>
      <c r="I174" s="279"/>
      <c r="J174" s="290"/>
      <c r="K174" s="281"/>
      <c r="L174" s="282"/>
      <c r="M174" s="284"/>
      <c r="N174" s="76"/>
      <c r="O174" s="76"/>
      <c r="P174" s="77"/>
      <c r="Q174" s="77"/>
      <c r="R174" s="77"/>
      <c r="S174" s="88"/>
      <c r="T174" s="71"/>
      <c r="U174" s="37"/>
      <c r="V174" s="36">
        <f t="shared" ref="V174:V235" si="3">COUNTIF($B$2:$B$501,D174)</f>
        <v>0</v>
      </c>
    </row>
    <row r="175" spans="1:22" ht="30" customHeight="1" x14ac:dyDescent="0.25">
      <c r="A175" s="97" t="str">
        <f>IF(D175="","",MAX($A$2:A174)+1)</f>
        <v/>
      </c>
      <c r="B175" s="277"/>
      <c r="C175" s="277"/>
      <c r="D175" s="278"/>
      <c r="E175" s="279"/>
      <c r="F175" s="279"/>
      <c r="G175" s="280"/>
      <c r="H175" s="280"/>
      <c r="I175" s="279"/>
      <c r="J175" s="290"/>
      <c r="K175" s="281"/>
      <c r="L175" s="282"/>
      <c r="M175" s="284"/>
      <c r="N175" s="76"/>
      <c r="O175" s="76"/>
      <c r="P175" s="77"/>
      <c r="Q175" s="77"/>
      <c r="R175" s="77"/>
      <c r="S175" s="88"/>
      <c r="T175" s="71"/>
      <c r="U175" s="37"/>
      <c r="V175" s="36">
        <f t="shared" si="3"/>
        <v>0</v>
      </c>
    </row>
    <row r="176" spans="1:22" ht="30" customHeight="1" x14ac:dyDescent="0.25">
      <c r="A176" s="97" t="str">
        <f>IF(D176="","",MAX($A$2:A175)+1)</f>
        <v/>
      </c>
      <c r="B176" s="277"/>
      <c r="C176" s="277"/>
      <c r="D176" s="278"/>
      <c r="E176" s="279"/>
      <c r="F176" s="279"/>
      <c r="G176" s="280"/>
      <c r="H176" s="280"/>
      <c r="I176" s="279"/>
      <c r="J176" s="290"/>
      <c r="K176" s="281"/>
      <c r="L176" s="282"/>
      <c r="M176" s="284"/>
      <c r="N176" s="76"/>
      <c r="O176" s="76"/>
      <c r="P176" s="77"/>
      <c r="Q176" s="77"/>
      <c r="R176" s="77"/>
      <c r="S176" s="88"/>
      <c r="T176" s="71"/>
      <c r="U176" s="37"/>
      <c r="V176" s="36">
        <f t="shared" si="3"/>
        <v>0</v>
      </c>
    </row>
    <row r="177" spans="1:22" ht="30" customHeight="1" x14ac:dyDescent="0.25">
      <c r="A177" s="97" t="str">
        <f>IF(D177="","",MAX($A$2:A176)+1)</f>
        <v/>
      </c>
      <c r="B177" s="277"/>
      <c r="C177" s="277"/>
      <c r="D177" s="278"/>
      <c r="E177" s="279"/>
      <c r="F177" s="279"/>
      <c r="G177" s="280"/>
      <c r="H177" s="280"/>
      <c r="I177" s="279"/>
      <c r="J177" s="290"/>
      <c r="K177" s="281"/>
      <c r="L177" s="282"/>
      <c r="M177" s="284"/>
      <c r="N177" s="76"/>
      <c r="O177" s="76"/>
      <c r="P177" s="77"/>
      <c r="Q177" s="77"/>
      <c r="R177" s="77"/>
      <c r="S177" s="88"/>
      <c r="T177" s="71"/>
      <c r="U177" s="37"/>
      <c r="V177" s="36">
        <f t="shared" si="3"/>
        <v>0</v>
      </c>
    </row>
    <row r="178" spans="1:22" ht="30" customHeight="1" x14ac:dyDescent="0.25">
      <c r="A178" s="97" t="str">
        <f>IF(D178="","",MAX($A$2:A177)+1)</f>
        <v/>
      </c>
      <c r="B178" s="277"/>
      <c r="C178" s="277"/>
      <c r="D178" s="278"/>
      <c r="E178" s="279"/>
      <c r="F178" s="279"/>
      <c r="G178" s="280"/>
      <c r="H178" s="280"/>
      <c r="I178" s="279"/>
      <c r="J178" s="290"/>
      <c r="K178" s="281"/>
      <c r="L178" s="282"/>
      <c r="M178" s="284"/>
      <c r="N178" s="76"/>
      <c r="O178" s="76"/>
      <c r="P178" s="77"/>
      <c r="Q178" s="77"/>
      <c r="R178" s="77"/>
      <c r="S178" s="88"/>
      <c r="T178" s="71"/>
      <c r="U178" s="37"/>
      <c r="V178" s="36">
        <f t="shared" si="3"/>
        <v>0</v>
      </c>
    </row>
    <row r="179" spans="1:22" ht="30" customHeight="1" x14ac:dyDescent="0.25">
      <c r="A179" s="97" t="str">
        <f>IF(D179="","",MAX($A$2:A178)+1)</f>
        <v/>
      </c>
      <c r="B179" s="277"/>
      <c r="C179" s="277"/>
      <c r="D179" s="278"/>
      <c r="E179" s="279"/>
      <c r="F179" s="279"/>
      <c r="G179" s="280"/>
      <c r="H179" s="280"/>
      <c r="I179" s="279"/>
      <c r="J179" s="290"/>
      <c r="K179" s="281"/>
      <c r="L179" s="282"/>
      <c r="M179" s="284"/>
      <c r="N179" s="76"/>
      <c r="O179" s="76"/>
      <c r="P179" s="77"/>
      <c r="Q179" s="77"/>
      <c r="R179" s="77"/>
      <c r="S179" s="88"/>
      <c r="T179" s="71"/>
      <c r="U179" s="37"/>
      <c r="V179" s="36">
        <f t="shared" si="3"/>
        <v>0</v>
      </c>
    </row>
    <row r="180" spans="1:22" ht="30" customHeight="1" x14ac:dyDescent="0.25">
      <c r="A180" s="97" t="str">
        <f>IF(D180="","",MAX($A$2:A179)+1)</f>
        <v/>
      </c>
      <c r="B180" s="277"/>
      <c r="C180" s="277"/>
      <c r="D180" s="278"/>
      <c r="E180" s="279"/>
      <c r="F180" s="279"/>
      <c r="G180" s="280"/>
      <c r="H180" s="280"/>
      <c r="I180" s="279"/>
      <c r="J180" s="290"/>
      <c r="K180" s="281"/>
      <c r="L180" s="282"/>
      <c r="M180" s="284"/>
      <c r="N180" s="76"/>
      <c r="O180" s="76"/>
      <c r="P180" s="77"/>
      <c r="Q180" s="77"/>
      <c r="R180" s="77"/>
      <c r="S180" s="88"/>
      <c r="T180" s="71"/>
      <c r="U180" s="37"/>
      <c r="V180" s="36">
        <f t="shared" si="3"/>
        <v>0</v>
      </c>
    </row>
    <row r="181" spans="1:22" ht="30" customHeight="1" x14ac:dyDescent="0.25">
      <c r="A181" s="97" t="str">
        <f>IF(D181="","",MAX($A$2:A180)+1)</f>
        <v/>
      </c>
      <c r="B181" s="277"/>
      <c r="C181" s="277"/>
      <c r="D181" s="278"/>
      <c r="E181" s="279"/>
      <c r="F181" s="279"/>
      <c r="G181" s="280"/>
      <c r="H181" s="280"/>
      <c r="I181" s="279"/>
      <c r="J181" s="290"/>
      <c r="K181" s="281"/>
      <c r="L181" s="282"/>
      <c r="M181" s="284"/>
      <c r="N181" s="76"/>
      <c r="O181" s="76"/>
      <c r="P181" s="77"/>
      <c r="Q181" s="77"/>
      <c r="R181" s="77"/>
      <c r="S181" s="88"/>
      <c r="T181" s="71"/>
      <c r="U181" s="37"/>
      <c r="V181" s="36">
        <f t="shared" si="3"/>
        <v>0</v>
      </c>
    </row>
    <row r="182" spans="1:22" ht="30" customHeight="1" x14ac:dyDescent="0.25">
      <c r="A182" s="97" t="str">
        <f>IF(D182="","",MAX($A$2:A181)+1)</f>
        <v/>
      </c>
      <c r="B182" s="277"/>
      <c r="C182" s="277"/>
      <c r="D182" s="278"/>
      <c r="E182" s="279"/>
      <c r="F182" s="279"/>
      <c r="G182" s="280"/>
      <c r="H182" s="280"/>
      <c r="I182" s="279"/>
      <c r="J182" s="290"/>
      <c r="K182" s="281"/>
      <c r="L182" s="282"/>
      <c r="M182" s="284"/>
      <c r="N182" s="76"/>
      <c r="O182" s="76"/>
      <c r="P182" s="77"/>
      <c r="Q182" s="77"/>
      <c r="R182" s="77"/>
      <c r="S182" s="88"/>
      <c r="T182" s="71"/>
      <c r="U182" s="37"/>
      <c r="V182" s="36">
        <f t="shared" si="3"/>
        <v>0</v>
      </c>
    </row>
    <row r="183" spans="1:22" ht="30" customHeight="1" x14ac:dyDescent="0.25">
      <c r="A183" s="97" t="str">
        <f>IF(D183="","",MAX($A$2:A182)+1)</f>
        <v/>
      </c>
      <c r="B183" s="277"/>
      <c r="C183" s="277"/>
      <c r="D183" s="278"/>
      <c r="E183" s="279"/>
      <c r="F183" s="279"/>
      <c r="G183" s="280"/>
      <c r="H183" s="280"/>
      <c r="I183" s="279"/>
      <c r="J183" s="290"/>
      <c r="K183" s="281"/>
      <c r="L183" s="282"/>
      <c r="M183" s="284"/>
      <c r="N183" s="76"/>
      <c r="O183" s="76"/>
      <c r="P183" s="77"/>
      <c r="Q183" s="77"/>
      <c r="R183" s="77"/>
      <c r="S183" s="88"/>
      <c r="T183" s="71"/>
      <c r="U183" s="37"/>
      <c r="V183" s="36">
        <f t="shared" si="3"/>
        <v>0</v>
      </c>
    </row>
    <row r="184" spans="1:22" ht="30" customHeight="1" x14ac:dyDescent="0.25">
      <c r="A184" s="97" t="str">
        <f>IF(D184="","",MAX($A$2:A183)+1)</f>
        <v/>
      </c>
      <c r="B184" s="277"/>
      <c r="C184" s="277"/>
      <c r="D184" s="278"/>
      <c r="E184" s="279"/>
      <c r="F184" s="279"/>
      <c r="G184" s="280"/>
      <c r="H184" s="280"/>
      <c r="I184" s="279"/>
      <c r="J184" s="290"/>
      <c r="K184" s="281"/>
      <c r="L184" s="282"/>
      <c r="M184" s="284"/>
      <c r="N184" s="76"/>
      <c r="O184" s="76"/>
      <c r="P184" s="77"/>
      <c r="Q184" s="77"/>
      <c r="R184" s="77"/>
      <c r="S184" s="88"/>
      <c r="T184" s="71"/>
      <c r="U184" s="37"/>
      <c r="V184" s="36">
        <f t="shared" si="3"/>
        <v>0</v>
      </c>
    </row>
    <row r="185" spans="1:22" ht="30" customHeight="1" x14ac:dyDescent="0.25">
      <c r="A185" s="97" t="str">
        <f>IF(D185="","",MAX($A$2:A184)+1)</f>
        <v/>
      </c>
      <c r="B185" s="277"/>
      <c r="C185" s="277"/>
      <c r="D185" s="278"/>
      <c r="E185" s="279"/>
      <c r="F185" s="279"/>
      <c r="G185" s="280"/>
      <c r="H185" s="280"/>
      <c r="I185" s="279"/>
      <c r="J185" s="290"/>
      <c r="K185" s="281"/>
      <c r="L185" s="282"/>
      <c r="M185" s="284"/>
      <c r="N185" s="76"/>
      <c r="O185" s="76"/>
      <c r="P185" s="77"/>
      <c r="Q185" s="77"/>
      <c r="R185" s="77"/>
      <c r="S185" s="88"/>
      <c r="T185" s="71"/>
      <c r="U185" s="37"/>
      <c r="V185" s="36">
        <f t="shared" si="3"/>
        <v>0</v>
      </c>
    </row>
    <row r="186" spans="1:22" ht="30" customHeight="1" x14ac:dyDescent="0.25">
      <c r="A186" s="97" t="str">
        <f>IF(D186="","",MAX($A$2:A185)+1)</f>
        <v/>
      </c>
      <c r="B186" s="277"/>
      <c r="C186" s="277"/>
      <c r="D186" s="278"/>
      <c r="E186" s="279"/>
      <c r="F186" s="279"/>
      <c r="G186" s="280"/>
      <c r="H186" s="280"/>
      <c r="I186" s="279"/>
      <c r="J186" s="290"/>
      <c r="K186" s="281"/>
      <c r="L186" s="282"/>
      <c r="M186" s="284"/>
      <c r="N186" s="76"/>
      <c r="O186" s="76"/>
      <c r="P186" s="77"/>
      <c r="Q186" s="77"/>
      <c r="R186" s="77"/>
      <c r="S186" s="88"/>
      <c r="T186" s="71"/>
      <c r="U186" s="37"/>
      <c r="V186" s="36">
        <f t="shared" si="3"/>
        <v>0</v>
      </c>
    </row>
    <row r="187" spans="1:22" ht="30" customHeight="1" x14ac:dyDescent="0.25">
      <c r="A187" s="97" t="str">
        <f>IF(D187="","",MAX($A$2:A186)+1)</f>
        <v/>
      </c>
      <c r="B187" s="277"/>
      <c r="C187" s="277"/>
      <c r="D187" s="278"/>
      <c r="E187" s="279"/>
      <c r="F187" s="279"/>
      <c r="G187" s="280"/>
      <c r="H187" s="280"/>
      <c r="I187" s="279"/>
      <c r="J187" s="290"/>
      <c r="K187" s="281"/>
      <c r="L187" s="282"/>
      <c r="M187" s="284"/>
      <c r="N187" s="76"/>
      <c r="O187" s="76"/>
      <c r="P187" s="77"/>
      <c r="Q187" s="77"/>
      <c r="R187" s="77"/>
      <c r="S187" s="88"/>
      <c r="T187" s="71"/>
      <c r="U187" s="37"/>
      <c r="V187" s="36">
        <f t="shared" si="3"/>
        <v>0</v>
      </c>
    </row>
    <row r="188" spans="1:22" ht="30" customHeight="1" x14ac:dyDescent="0.25">
      <c r="A188" s="97" t="str">
        <f>IF(D188="","",MAX($A$2:A187)+1)</f>
        <v/>
      </c>
      <c r="B188" s="277"/>
      <c r="C188" s="277"/>
      <c r="D188" s="278"/>
      <c r="E188" s="279"/>
      <c r="F188" s="279"/>
      <c r="G188" s="280"/>
      <c r="H188" s="280"/>
      <c r="I188" s="279"/>
      <c r="J188" s="290"/>
      <c r="K188" s="281"/>
      <c r="L188" s="282"/>
      <c r="M188" s="284"/>
      <c r="N188" s="76"/>
      <c r="O188" s="76"/>
      <c r="P188" s="77"/>
      <c r="Q188" s="77"/>
      <c r="R188" s="77"/>
      <c r="S188" s="88"/>
      <c r="T188" s="71"/>
      <c r="U188" s="37"/>
      <c r="V188" s="36">
        <f t="shared" si="3"/>
        <v>0</v>
      </c>
    </row>
    <row r="189" spans="1:22" ht="30" customHeight="1" x14ac:dyDescent="0.25">
      <c r="A189" s="97" t="str">
        <f>IF(D189="","",MAX($A$2:A188)+1)</f>
        <v/>
      </c>
      <c r="B189" s="277"/>
      <c r="C189" s="277"/>
      <c r="D189" s="278"/>
      <c r="E189" s="279"/>
      <c r="F189" s="279"/>
      <c r="G189" s="280"/>
      <c r="H189" s="280"/>
      <c r="I189" s="279"/>
      <c r="J189" s="290"/>
      <c r="K189" s="281"/>
      <c r="L189" s="282"/>
      <c r="M189" s="284"/>
      <c r="N189" s="76"/>
      <c r="O189" s="76"/>
      <c r="P189" s="77"/>
      <c r="Q189" s="77"/>
      <c r="R189" s="77"/>
      <c r="S189" s="88"/>
      <c r="T189" s="71"/>
      <c r="U189" s="37"/>
      <c r="V189" s="36">
        <f t="shared" si="3"/>
        <v>0</v>
      </c>
    </row>
    <row r="190" spans="1:22" ht="30" customHeight="1" x14ac:dyDescent="0.25">
      <c r="A190" s="97" t="str">
        <f>IF(D190="","",MAX($A$2:A189)+1)</f>
        <v/>
      </c>
      <c r="B190" s="277"/>
      <c r="C190" s="277"/>
      <c r="D190" s="278"/>
      <c r="E190" s="279"/>
      <c r="F190" s="279"/>
      <c r="G190" s="280"/>
      <c r="H190" s="280"/>
      <c r="I190" s="279"/>
      <c r="J190" s="290"/>
      <c r="K190" s="281"/>
      <c r="L190" s="282"/>
      <c r="M190" s="284"/>
      <c r="N190" s="76"/>
      <c r="O190" s="76"/>
      <c r="P190" s="77"/>
      <c r="Q190" s="77"/>
      <c r="R190" s="77"/>
      <c r="S190" s="88"/>
      <c r="T190" s="71"/>
      <c r="U190" s="37"/>
      <c r="V190" s="36">
        <f t="shared" si="3"/>
        <v>0</v>
      </c>
    </row>
    <row r="191" spans="1:22" ht="30" customHeight="1" x14ac:dyDescent="0.25">
      <c r="A191" s="97" t="str">
        <f>IF(D191="","",MAX($A$2:A190)+1)</f>
        <v/>
      </c>
      <c r="B191" s="277"/>
      <c r="C191" s="277"/>
      <c r="D191" s="278"/>
      <c r="E191" s="279"/>
      <c r="F191" s="279"/>
      <c r="G191" s="280"/>
      <c r="H191" s="280"/>
      <c r="I191" s="279"/>
      <c r="J191" s="290"/>
      <c r="K191" s="281"/>
      <c r="L191" s="282"/>
      <c r="M191" s="284"/>
      <c r="N191" s="76"/>
      <c r="O191" s="76"/>
      <c r="P191" s="77"/>
      <c r="Q191" s="77"/>
      <c r="R191" s="77"/>
      <c r="S191" s="88"/>
      <c r="T191" s="71"/>
      <c r="U191" s="37"/>
      <c r="V191" s="36">
        <f t="shared" si="3"/>
        <v>0</v>
      </c>
    </row>
    <row r="192" spans="1:22" ht="30" customHeight="1" x14ac:dyDescent="0.25">
      <c r="A192" s="97" t="str">
        <f>IF(D192="","",MAX($A$2:A191)+1)</f>
        <v/>
      </c>
      <c r="B192" s="277"/>
      <c r="C192" s="277"/>
      <c r="D192" s="278"/>
      <c r="E192" s="279"/>
      <c r="F192" s="279"/>
      <c r="G192" s="280"/>
      <c r="H192" s="280"/>
      <c r="I192" s="279"/>
      <c r="J192" s="290"/>
      <c r="K192" s="281"/>
      <c r="L192" s="282"/>
      <c r="M192" s="284"/>
      <c r="N192" s="76"/>
      <c r="O192" s="76"/>
      <c r="P192" s="77"/>
      <c r="Q192" s="77"/>
      <c r="R192" s="77"/>
      <c r="S192" s="88"/>
      <c r="T192" s="71"/>
      <c r="U192" s="37"/>
      <c r="V192" s="36">
        <f t="shared" si="3"/>
        <v>0</v>
      </c>
    </row>
    <row r="193" spans="1:22" ht="30" customHeight="1" x14ac:dyDescent="0.25">
      <c r="A193" s="97" t="str">
        <f>IF(D193="","",MAX($A$2:A192)+1)</f>
        <v/>
      </c>
      <c r="B193" s="277"/>
      <c r="C193" s="277"/>
      <c r="D193" s="278"/>
      <c r="E193" s="279"/>
      <c r="F193" s="279"/>
      <c r="G193" s="280"/>
      <c r="H193" s="280"/>
      <c r="I193" s="279"/>
      <c r="J193" s="290"/>
      <c r="K193" s="281"/>
      <c r="L193" s="282"/>
      <c r="M193" s="284"/>
      <c r="N193" s="76"/>
      <c r="O193" s="76"/>
      <c r="P193" s="77"/>
      <c r="Q193" s="77"/>
      <c r="R193" s="77"/>
      <c r="S193" s="88"/>
      <c r="T193" s="71"/>
      <c r="U193" s="37"/>
      <c r="V193" s="36">
        <f t="shared" si="3"/>
        <v>0</v>
      </c>
    </row>
    <row r="194" spans="1:22" ht="30" customHeight="1" x14ac:dyDescent="0.25">
      <c r="A194" s="97" t="str">
        <f>IF(D194="","",MAX($A$2:A193)+1)</f>
        <v/>
      </c>
      <c r="B194" s="277"/>
      <c r="C194" s="277"/>
      <c r="D194" s="278"/>
      <c r="E194" s="279"/>
      <c r="F194" s="279"/>
      <c r="G194" s="280"/>
      <c r="H194" s="280"/>
      <c r="I194" s="279"/>
      <c r="J194" s="290"/>
      <c r="K194" s="281"/>
      <c r="L194" s="282"/>
      <c r="M194" s="284"/>
      <c r="N194" s="76"/>
      <c r="O194" s="76"/>
      <c r="P194" s="77"/>
      <c r="Q194" s="77"/>
      <c r="R194" s="77"/>
      <c r="S194" s="88"/>
      <c r="T194" s="71"/>
      <c r="U194" s="37"/>
      <c r="V194" s="36">
        <f t="shared" si="3"/>
        <v>0</v>
      </c>
    </row>
    <row r="195" spans="1:22" ht="30" customHeight="1" x14ac:dyDescent="0.25">
      <c r="A195" s="97" t="str">
        <f>IF(D195="","",MAX($A$2:A194)+1)</f>
        <v/>
      </c>
      <c r="B195" s="277"/>
      <c r="C195" s="277"/>
      <c r="D195" s="278"/>
      <c r="E195" s="279"/>
      <c r="F195" s="279"/>
      <c r="G195" s="280"/>
      <c r="H195" s="280"/>
      <c r="I195" s="279"/>
      <c r="J195" s="290"/>
      <c r="K195" s="281"/>
      <c r="L195" s="282"/>
      <c r="M195" s="283"/>
      <c r="N195" s="76"/>
      <c r="O195" s="76"/>
      <c r="P195" s="77"/>
      <c r="Q195" s="77"/>
      <c r="R195" s="77"/>
      <c r="S195" s="88"/>
      <c r="T195" s="71"/>
      <c r="U195" s="37"/>
      <c r="V195" s="36">
        <f t="shared" si="3"/>
        <v>0</v>
      </c>
    </row>
    <row r="196" spans="1:22" ht="30" customHeight="1" x14ac:dyDescent="0.25">
      <c r="A196" s="97" t="str">
        <f>IF(D196="","",MAX($A$2:A195)+1)</f>
        <v/>
      </c>
      <c r="B196" s="277"/>
      <c r="C196" s="277"/>
      <c r="D196" s="278"/>
      <c r="E196" s="279"/>
      <c r="F196" s="279"/>
      <c r="G196" s="280"/>
      <c r="H196" s="280"/>
      <c r="I196" s="279"/>
      <c r="J196" s="290"/>
      <c r="K196" s="281"/>
      <c r="L196" s="282"/>
      <c r="M196" s="284"/>
      <c r="N196" s="76"/>
      <c r="O196" s="76"/>
      <c r="P196" s="77"/>
      <c r="Q196" s="77"/>
      <c r="R196" s="77"/>
      <c r="S196" s="88"/>
      <c r="T196" s="71"/>
      <c r="U196" s="37"/>
      <c r="V196" s="36">
        <f t="shared" si="3"/>
        <v>0</v>
      </c>
    </row>
    <row r="197" spans="1:22" ht="30" customHeight="1" x14ac:dyDescent="0.25">
      <c r="A197" s="97" t="str">
        <f>IF(D197="","",MAX($A$2:A196)+1)</f>
        <v/>
      </c>
      <c r="B197" s="277"/>
      <c r="C197" s="277"/>
      <c r="D197" s="278"/>
      <c r="E197" s="279"/>
      <c r="F197" s="279"/>
      <c r="G197" s="280"/>
      <c r="H197" s="280"/>
      <c r="I197" s="279"/>
      <c r="J197" s="290"/>
      <c r="K197" s="281"/>
      <c r="L197" s="282"/>
      <c r="M197" s="284"/>
      <c r="N197" s="76"/>
      <c r="O197" s="76"/>
      <c r="P197" s="77"/>
      <c r="Q197" s="77"/>
      <c r="R197" s="77"/>
      <c r="S197" s="88"/>
      <c r="T197" s="71"/>
      <c r="U197" s="37"/>
      <c r="V197" s="36">
        <f t="shared" si="3"/>
        <v>0</v>
      </c>
    </row>
    <row r="198" spans="1:22" ht="30" customHeight="1" x14ac:dyDescent="0.25">
      <c r="A198" s="97" t="str">
        <f>IF(D198="","",MAX($A$2:A197)+1)</f>
        <v/>
      </c>
      <c r="B198" s="277"/>
      <c r="C198" s="277"/>
      <c r="D198" s="278"/>
      <c r="E198" s="279"/>
      <c r="F198" s="279"/>
      <c r="G198" s="280"/>
      <c r="H198" s="280"/>
      <c r="I198" s="279"/>
      <c r="J198" s="290"/>
      <c r="K198" s="281"/>
      <c r="L198" s="282"/>
      <c r="M198" s="283"/>
      <c r="N198" s="76"/>
      <c r="O198" s="76"/>
      <c r="P198" s="77"/>
      <c r="Q198" s="77"/>
      <c r="R198" s="77"/>
      <c r="S198" s="88"/>
      <c r="T198" s="71"/>
      <c r="U198" s="37"/>
      <c r="V198" s="36">
        <f t="shared" si="3"/>
        <v>0</v>
      </c>
    </row>
    <row r="199" spans="1:22" ht="30" customHeight="1" x14ac:dyDescent="0.25">
      <c r="A199" s="97" t="str">
        <f>IF(D199="","",MAX($A$2:A198)+1)</f>
        <v/>
      </c>
      <c r="B199" s="277"/>
      <c r="C199" s="277"/>
      <c r="D199" s="278"/>
      <c r="E199" s="279"/>
      <c r="F199" s="279"/>
      <c r="G199" s="280"/>
      <c r="H199" s="280"/>
      <c r="I199" s="279"/>
      <c r="J199" s="290"/>
      <c r="K199" s="281"/>
      <c r="L199" s="282"/>
      <c r="M199" s="283"/>
      <c r="N199" s="76"/>
      <c r="O199" s="76"/>
      <c r="P199" s="77"/>
      <c r="Q199" s="77"/>
      <c r="R199" s="77"/>
      <c r="S199" s="88"/>
      <c r="T199" s="71"/>
      <c r="U199" s="37"/>
      <c r="V199" s="36">
        <f t="shared" si="3"/>
        <v>0</v>
      </c>
    </row>
    <row r="200" spans="1:22" ht="30" customHeight="1" x14ac:dyDescent="0.25">
      <c r="A200" s="97" t="str">
        <f>IF(D200="","",MAX($A$2:A199)+1)</f>
        <v/>
      </c>
      <c r="B200" s="277"/>
      <c r="C200" s="277"/>
      <c r="D200" s="278"/>
      <c r="E200" s="279"/>
      <c r="F200" s="279"/>
      <c r="G200" s="280"/>
      <c r="H200" s="280"/>
      <c r="I200" s="279"/>
      <c r="J200" s="290"/>
      <c r="K200" s="281"/>
      <c r="L200" s="282"/>
      <c r="M200" s="284"/>
      <c r="N200" s="76"/>
      <c r="O200" s="76"/>
      <c r="P200" s="77"/>
      <c r="Q200" s="77"/>
      <c r="R200" s="77"/>
      <c r="S200" s="88"/>
      <c r="T200" s="71"/>
      <c r="U200" s="37"/>
      <c r="V200" s="36">
        <f t="shared" si="3"/>
        <v>0</v>
      </c>
    </row>
    <row r="201" spans="1:22" ht="30" customHeight="1" x14ac:dyDescent="0.25">
      <c r="A201" s="97" t="str">
        <f>IF(D201="","",MAX($A$2:A200)+1)</f>
        <v/>
      </c>
      <c r="B201" s="277"/>
      <c r="C201" s="277"/>
      <c r="D201" s="278"/>
      <c r="E201" s="279"/>
      <c r="F201" s="279"/>
      <c r="G201" s="280"/>
      <c r="H201" s="280"/>
      <c r="I201" s="279"/>
      <c r="J201" s="290"/>
      <c r="K201" s="281"/>
      <c r="L201" s="282"/>
      <c r="M201" s="284"/>
      <c r="N201" s="76"/>
      <c r="O201" s="76"/>
      <c r="P201" s="77"/>
      <c r="Q201" s="77"/>
      <c r="R201" s="77"/>
      <c r="S201" s="88"/>
      <c r="T201" s="71"/>
      <c r="U201" s="37"/>
      <c r="V201" s="36">
        <f t="shared" si="3"/>
        <v>0</v>
      </c>
    </row>
    <row r="202" spans="1:22" ht="30" customHeight="1" x14ac:dyDescent="0.25">
      <c r="A202" s="97" t="str">
        <f>IF(D202="","",MAX($A$2:A201)+1)</f>
        <v/>
      </c>
      <c r="B202" s="277"/>
      <c r="C202" s="277"/>
      <c r="D202" s="278"/>
      <c r="E202" s="279"/>
      <c r="F202" s="279"/>
      <c r="G202" s="280"/>
      <c r="H202" s="280"/>
      <c r="I202" s="279"/>
      <c r="J202" s="290"/>
      <c r="K202" s="281"/>
      <c r="L202" s="282"/>
      <c r="M202" s="284"/>
      <c r="N202" s="76"/>
      <c r="O202" s="76"/>
      <c r="P202" s="77"/>
      <c r="Q202" s="77"/>
      <c r="R202" s="77"/>
      <c r="S202" s="88"/>
      <c r="T202" s="71"/>
      <c r="U202" s="37"/>
      <c r="V202" s="36">
        <f t="shared" si="3"/>
        <v>0</v>
      </c>
    </row>
    <row r="203" spans="1:22" ht="30" customHeight="1" x14ac:dyDescent="0.25">
      <c r="A203" s="97" t="str">
        <f>IF(D203="","",MAX($A$2:A202)+1)</f>
        <v/>
      </c>
      <c r="B203" s="277"/>
      <c r="C203" s="277"/>
      <c r="D203" s="278"/>
      <c r="E203" s="279"/>
      <c r="F203" s="279"/>
      <c r="G203" s="280"/>
      <c r="H203" s="280"/>
      <c r="I203" s="279"/>
      <c r="J203" s="290"/>
      <c r="K203" s="281"/>
      <c r="L203" s="282"/>
      <c r="M203" s="284"/>
      <c r="N203" s="76"/>
      <c r="O203" s="76"/>
      <c r="P203" s="77"/>
      <c r="Q203" s="77"/>
      <c r="R203" s="77"/>
      <c r="S203" s="88"/>
      <c r="T203" s="71"/>
      <c r="U203" s="37"/>
      <c r="V203" s="36">
        <f t="shared" si="3"/>
        <v>0</v>
      </c>
    </row>
    <row r="204" spans="1:22" ht="30" customHeight="1" x14ac:dyDescent="0.25">
      <c r="A204" s="97" t="str">
        <f>IF(D204="","",MAX($A$2:A203)+1)</f>
        <v/>
      </c>
      <c r="B204" s="277"/>
      <c r="C204" s="277"/>
      <c r="D204" s="278"/>
      <c r="E204" s="279"/>
      <c r="F204" s="279"/>
      <c r="G204" s="280"/>
      <c r="H204" s="280"/>
      <c r="I204" s="279"/>
      <c r="J204" s="290"/>
      <c r="K204" s="281"/>
      <c r="L204" s="282"/>
      <c r="M204" s="283"/>
      <c r="N204" s="76"/>
      <c r="O204" s="76"/>
      <c r="P204" s="77"/>
      <c r="Q204" s="77"/>
      <c r="R204" s="77"/>
      <c r="S204" s="88"/>
      <c r="T204" s="71"/>
      <c r="U204" s="37"/>
      <c r="V204" s="36">
        <f t="shared" si="3"/>
        <v>0</v>
      </c>
    </row>
    <row r="205" spans="1:22" ht="30" customHeight="1" x14ac:dyDescent="0.25">
      <c r="A205" s="97" t="str">
        <f>IF(D205="","",MAX($A$2:A204)+1)</f>
        <v/>
      </c>
      <c r="B205" s="277"/>
      <c r="C205" s="277"/>
      <c r="D205" s="278"/>
      <c r="E205" s="279"/>
      <c r="F205" s="279"/>
      <c r="G205" s="280"/>
      <c r="H205" s="280"/>
      <c r="I205" s="279"/>
      <c r="J205" s="290"/>
      <c r="K205" s="281"/>
      <c r="L205" s="282"/>
      <c r="M205" s="284"/>
      <c r="N205" s="76"/>
      <c r="O205" s="76"/>
      <c r="P205" s="77"/>
      <c r="Q205" s="77"/>
      <c r="R205" s="77"/>
      <c r="S205" s="88"/>
      <c r="T205" s="71"/>
      <c r="U205" s="37"/>
      <c r="V205" s="36">
        <f t="shared" si="3"/>
        <v>0</v>
      </c>
    </row>
    <row r="206" spans="1:22" ht="30" customHeight="1" x14ac:dyDescent="0.25">
      <c r="A206" s="97" t="str">
        <f>IF(D206="","",MAX($A$2:A205)+1)</f>
        <v/>
      </c>
      <c r="B206" s="277"/>
      <c r="C206" s="277"/>
      <c r="D206" s="278"/>
      <c r="E206" s="279"/>
      <c r="F206" s="288"/>
      <c r="G206" s="280"/>
      <c r="H206" s="280"/>
      <c r="I206" s="279"/>
      <c r="J206" s="290"/>
      <c r="K206" s="281"/>
      <c r="L206" s="282"/>
      <c r="M206" s="284"/>
      <c r="N206" s="76"/>
      <c r="O206" s="76"/>
      <c r="P206" s="77"/>
      <c r="Q206" s="77"/>
      <c r="R206" s="77"/>
      <c r="S206" s="88"/>
      <c r="T206" s="71"/>
      <c r="U206" s="37"/>
      <c r="V206" s="36">
        <f t="shared" si="3"/>
        <v>0</v>
      </c>
    </row>
    <row r="207" spans="1:22" ht="30" customHeight="1" x14ac:dyDescent="0.25">
      <c r="A207" s="97" t="str">
        <f>IF(D207="","",MAX($A$2:A206)+1)</f>
        <v/>
      </c>
      <c r="B207" s="277"/>
      <c r="C207" s="277"/>
      <c r="D207" s="278"/>
      <c r="E207" s="279"/>
      <c r="F207" s="279"/>
      <c r="G207" s="280"/>
      <c r="H207" s="280"/>
      <c r="I207" s="279"/>
      <c r="J207" s="290"/>
      <c r="K207" s="281"/>
      <c r="L207" s="282"/>
      <c r="M207" s="283"/>
      <c r="N207" s="76"/>
      <c r="O207" s="76"/>
      <c r="P207" s="77"/>
      <c r="Q207" s="77"/>
      <c r="R207" s="77"/>
      <c r="S207" s="88"/>
      <c r="T207" s="71"/>
      <c r="U207" s="37"/>
      <c r="V207" s="36">
        <f t="shared" si="3"/>
        <v>0</v>
      </c>
    </row>
    <row r="208" spans="1:22" ht="30" customHeight="1" x14ac:dyDescent="0.25">
      <c r="A208" s="97" t="str">
        <f>IF(D208="","",MAX($A$2:A207)+1)</f>
        <v/>
      </c>
      <c r="B208" s="277"/>
      <c r="C208" s="277"/>
      <c r="D208" s="278"/>
      <c r="E208" s="279"/>
      <c r="F208" s="279"/>
      <c r="G208" s="280"/>
      <c r="H208" s="280"/>
      <c r="I208" s="279"/>
      <c r="J208" s="290"/>
      <c r="K208" s="281"/>
      <c r="L208" s="282"/>
      <c r="M208" s="284"/>
      <c r="N208" s="76"/>
      <c r="O208" s="76"/>
      <c r="P208" s="77"/>
      <c r="Q208" s="77"/>
      <c r="R208" s="77"/>
      <c r="S208" s="88"/>
      <c r="T208" s="71"/>
      <c r="U208" s="37"/>
      <c r="V208" s="36">
        <f t="shared" si="3"/>
        <v>0</v>
      </c>
    </row>
    <row r="209" spans="1:22" ht="30" customHeight="1" x14ac:dyDescent="0.25">
      <c r="A209" s="97" t="str">
        <f>IF(D209="","",MAX($A$2:A208)+1)</f>
        <v/>
      </c>
      <c r="B209" s="277"/>
      <c r="C209" s="277"/>
      <c r="D209" s="278"/>
      <c r="E209" s="279"/>
      <c r="F209" s="279"/>
      <c r="G209" s="280"/>
      <c r="H209" s="280"/>
      <c r="I209" s="279"/>
      <c r="J209" s="290"/>
      <c r="K209" s="281"/>
      <c r="L209" s="282"/>
      <c r="M209" s="284"/>
      <c r="N209" s="76"/>
      <c r="O209" s="76"/>
      <c r="P209" s="77"/>
      <c r="Q209" s="77"/>
      <c r="R209" s="77"/>
      <c r="S209" s="88"/>
      <c r="T209" s="71"/>
      <c r="U209" s="37"/>
      <c r="V209" s="36">
        <f t="shared" si="3"/>
        <v>0</v>
      </c>
    </row>
    <row r="210" spans="1:22" ht="30" customHeight="1" x14ac:dyDescent="0.25">
      <c r="A210" s="97" t="str">
        <f>IF(D210="","",MAX($A$2:A209)+1)</f>
        <v/>
      </c>
      <c r="B210" s="277"/>
      <c r="C210" s="277"/>
      <c r="D210" s="278"/>
      <c r="E210" s="279"/>
      <c r="F210" s="279"/>
      <c r="G210" s="280"/>
      <c r="H210" s="280"/>
      <c r="I210" s="279"/>
      <c r="J210" s="290"/>
      <c r="K210" s="281"/>
      <c r="L210" s="282"/>
      <c r="M210" s="284"/>
      <c r="N210" s="76"/>
      <c r="O210" s="76"/>
      <c r="P210" s="77"/>
      <c r="Q210" s="77"/>
      <c r="R210" s="77"/>
      <c r="S210" s="88"/>
      <c r="T210" s="71"/>
      <c r="U210" s="37"/>
      <c r="V210" s="36">
        <f t="shared" si="3"/>
        <v>0</v>
      </c>
    </row>
    <row r="211" spans="1:22" ht="30" customHeight="1" x14ac:dyDescent="0.25">
      <c r="A211" s="97" t="str">
        <f>IF(D211="","",MAX($A$2:A210)+1)</f>
        <v/>
      </c>
      <c r="B211" s="277"/>
      <c r="C211" s="277"/>
      <c r="D211" s="278"/>
      <c r="E211" s="279"/>
      <c r="F211" s="279"/>
      <c r="G211" s="280"/>
      <c r="H211" s="280"/>
      <c r="I211" s="279"/>
      <c r="J211" s="290"/>
      <c r="K211" s="281"/>
      <c r="L211" s="282"/>
      <c r="M211" s="284"/>
      <c r="N211" s="76"/>
      <c r="O211" s="76"/>
      <c r="P211" s="77"/>
      <c r="Q211" s="77"/>
      <c r="R211" s="77"/>
      <c r="S211" s="88"/>
      <c r="T211" s="71"/>
      <c r="U211" s="37"/>
      <c r="V211" s="36">
        <f t="shared" si="3"/>
        <v>0</v>
      </c>
    </row>
    <row r="212" spans="1:22" ht="30" customHeight="1" x14ac:dyDescent="0.25">
      <c r="A212" s="97" t="str">
        <f>IF(D212="","",MAX($A$2:A211)+1)</f>
        <v/>
      </c>
      <c r="B212" s="277"/>
      <c r="C212" s="277"/>
      <c r="D212" s="278"/>
      <c r="E212" s="279"/>
      <c r="F212" s="279"/>
      <c r="G212" s="280"/>
      <c r="H212" s="280"/>
      <c r="I212" s="279"/>
      <c r="J212" s="290"/>
      <c r="K212" s="281"/>
      <c r="L212" s="282"/>
      <c r="M212" s="284"/>
      <c r="N212" s="76"/>
      <c r="O212" s="76"/>
      <c r="P212" s="77"/>
      <c r="Q212" s="77"/>
      <c r="R212" s="77"/>
      <c r="S212" s="88"/>
      <c r="T212" s="71"/>
      <c r="U212" s="37"/>
      <c r="V212" s="36">
        <f t="shared" si="3"/>
        <v>0</v>
      </c>
    </row>
    <row r="213" spans="1:22" ht="30" customHeight="1" x14ac:dyDescent="0.25">
      <c r="A213" s="97" t="str">
        <f>IF(D213="","",MAX($A$2:A212)+1)</f>
        <v/>
      </c>
      <c r="B213" s="277"/>
      <c r="C213" s="277"/>
      <c r="D213" s="278"/>
      <c r="E213" s="279"/>
      <c r="F213" s="279"/>
      <c r="G213" s="280"/>
      <c r="H213" s="280"/>
      <c r="I213" s="279"/>
      <c r="J213" s="290"/>
      <c r="K213" s="281"/>
      <c r="L213" s="282"/>
      <c r="M213" s="284"/>
      <c r="N213" s="76"/>
      <c r="O213" s="76"/>
      <c r="P213" s="77"/>
      <c r="Q213" s="77"/>
      <c r="R213" s="77"/>
      <c r="S213" s="88"/>
      <c r="T213" s="71"/>
      <c r="U213" s="37"/>
      <c r="V213" s="36">
        <f t="shared" si="3"/>
        <v>0</v>
      </c>
    </row>
    <row r="214" spans="1:22" ht="30" customHeight="1" x14ac:dyDescent="0.25">
      <c r="A214" s="97" t="str">
        <f>IF(D214="","",MAX($A$2:A213)+1)</f>
        <v/>
      </c>
      <c r="B214" s="277"/>
      <c r="C214" s="277"/>
      <c r="D214" s="278"/>
      <c r="E214" s="279"/>
      <c r="F214" s="279"/>
      <c r="G214" s="280"/>
      <c r="H214" s="280"/>
      <c r="I214" s="279"/>
      <c r="J214" s="290"/>
      <c r="K214" s="281"/>
      <c r="L214" s="282"/>
      <c r="M214" s="284"/>
      <c r="N214" s="76"/>
      <c r="O214" s="76"/>
      <c r="P214" s="77"/>
      <c r="Q214" s="77"/>
      <c r="R214" s="77"/>
      <c r="S214" s="88"/>
      <c r="T214" s="71"/>
      <c r="U214" s="37"/>
      <c r="V214" s="36">
        <f t="shared" si="3"/>
        <v>0</v>
      </c>
    </row>
    <row r="215" spans="1:22" ht="30" customHeight="1" x14ac:dyDescent="0.25">
      <c r="A215" s="97" t="str">
        <f>IF(D215="","",MAX($A$2:A214)+1)</f>
        <v/>
      </c>
      <c r="B215" s="277"/>
      <c r="C215" s="277"/>
      <c r="D215" s="278"/>
      <c r="E215" s="279"/>
      <c r="F215" s="279"/>
      <c r="G215" s="280"/>
      <c r="H215" s="280"/>
      <c r="I215" s="279"/>
      <c r="J215" s="290"/>
      <c r="K215" s="281"/>
      <c r="L215" s="282"/>
      <c r="M215" s="284"/>
      <c r="N215" s="76"/>
      <c r="O215" s="76"/>
      <c r="P215" s="77"/>
      <c r="Q215" s="77"/>
      <c r="R215" s="77"/>
      <c r="S215" s="88"/>
      <c r="T215" s="71"/>
      <c r="U215" s="37"/>
      <c r="V215" s="36">
        <f t="shared" si="3"/>
        <v>0</v>
      </c>
    </row>
    <row r="216" spans="1:22" ht="30" customHeight="1" x14ac:dyDescent="0.25">
      <c r="A216" s="97" t="str">
        <f>IF(D216="","",MAX($A$2:A215)+1)</f>
        <v/>
      </c>
      <c r="B216" s="277"/>
      <c r="C216" s="277"/>
      <c r="D216" s="278"/>
      <c r="E216" s="279"/>
      <c r="F216" s="279"/>
      <c r="G216" s="280"/>
      <c r="H216" s="280"/>
      <c r="I216" s="279"/>
      <c r="J216" s="290"/>
      <c r="K216" s="281"/>
      <c r="L216" s="282"/>
      <c r="M216" s="284"/>
      <c r="N216" s="76"/>
      <c r="O216" s="76"/>
      <c r="P216" s="77"/>
      <c r="Q216" s="77"/>
      <c r="R216" s="77"/>
      <c r="S216" s="88"/>
      <c r="T216" s="71"/>
      <c r="U216" s="37"/>
      <c r="V216" s="36">
        <f t="shared" si="3"/>
        <v>0</v>
      </c>
    </row>
    <row r="217" spans="1:22" ht="30" customHeight="1" x14ac:dyDescent="0.25">
      <c r="A217" s="97" t="str">
        <f>IF(D217="","",MAX($A$2:A216)+1)</f>
        <v/>
      </c>
      <c r="B217" s="277"/>
      <c r="C217" s="277"/>
      <c r="D217" s="278"/>
      <c r="E217" s="279"/>
      <c r="F217" s="279"/>
      <c r="G217" s="280"/>
      <c r="H217" s="280"/>
      <c r="I217" s="279"/>
      <c r="J217" s="290"/>
      <c r="K217" s="281"/>
      <c r="L217" s="282"/>
      <c r="M217" s="284"/>
      <c r="N217" s="76"/>
      <c r="O217" s="76"/>
      <c r="P217" s="77"/>
      <c r="Q217" s="77"/>
      <c r="R217" s="77"/>
      <c r="S217" s="88"/>
      <c r="T217" s="71"/>
      <c r="U217" s="37"/>
      <c r="V217" s="36">
        <f t="shared" si="3"/>
        <v>0</v>
      </c>
    </row>
    <row r="218" spans="1:22" ht="30" customHeight="1" x14ac:dyDescent="0.25">
      <c r="A218" s="97" t="str">
        <f>IF(D218="","",MAX($A$2:A217)+1)</f>
        <v/>
      </c>
      <c r="B218" s="277"/>
      <c r="C218" s="277"/>
      <c r="D218" s="278"/>
      <c r="E218" s="279"/>
      <c r="F218" s="279"/>
      <c r="G218" s="280"/>
      <c r="H218" s="280"/>
      <c r="I218" s="279"/>
      <c r="J218" s="290"/>
      <c r="K218" s="281"/>
      <c r="L218" s="282"/>
      <c r="M218" s="284"/>
      <c r="N218" s="76"/>
      <c r="O218" s="76"/>
      <c r="P218" s="77"/>
      <c r="Q218" s="77"/>
      <c r="R218" s="77"/>
      <c r="S218" s="88"/>
      <c r="T218" s="71"/>
      <c r="U218" s="37"/>
      <c r="V218" s="36">
        <f t="shared" si="3"/>
        <v>0</v>
      </c>
    </row>
    <row r="219" spans="1:22" ht="30" customHeight="1" x14ac:dyDescent="0.25">
      <c r="A219" s="97" t="str">
        <f>IF(D219="","",MAX($A$2:A218)+1)</f>
        <v/>
      </c>
      <c r="B219" s="277"/>
      <c r="C219" s="277"/>
      <c r="D219" s="278"/>
      <c r="E219" s="279"/>
      <c r="F219" s="279"/>
      <c r="G219" s="280"/>
      <c r="H219" s="280"/>
      <c r="I219" s="279"/>
      <c r="J219" s="290"/>
      <c r="K219" s="281"/>
      <c r="L219" s="282"/>
      <c r="M219" s="284"/>
      <c r="N219" s="76"/>
      <c r="O219" s="76"/>
      <c r="P219" s="77"/>
      <c r="Q219" s="77"/>
      <c r="R219" s="77"/>
      <c r="S219" s="88"/>
      <c r="T219" s="71"/>
      <c r="U219" s="37"/>
      <c r="V219" s="36">
        <f t="shared" si="3"/>
        <v>0</v>
      </c>
    </row>
    <row r="220" spans="1:22" ht="30" customHeight="1" x14ac:dyDescent="0.25">
      <c r="A220" s="97" t="str">
        <f>IF(D220="","",MAX($A$2:A219)+1)</f>
        <v/>
      </c>
      <c r="B220" s="277"/>
      <c r="C220" s="277"/>
      <c r="D220" s="278"/>
      <c r="E220" s="279"/>
      <c r="F220" s="279"/>
      <c r="G220" s="280"/>
      <c r="H220" s="280"/>
      <c r="I220" s="279"/>
      <c r="J220" s="290"/>
      <c r="K220" s="281"/>
      <c r="L220" s="282"/>
      <c r="M220" s="284"/>
      <c r="N220" s="76"/>
      <c r="O220" s="76"/>
      <c r="P220" s="77"/>
      <c r="Q220" s="77"/>
      <c r="R220" s="77"/>
      <c r="S220" s="88"/>
      <c r="T220" s="71"/>
      <c r="U220" s="37"/>
      <c r="V220" s="36">
        <f t="shared" si="3"/>
        <v>0</v>
      </c>
    </row>
    <row r="221" spans="1:22" ht="30" customHeight="1" x14ac:dyDescent="0.25">
      <c r="A221" s="97" t="str">
        <f>IF(D221="","",MAX($A$2:A220)+1)</f>
        <v/>
      </c>
      <c r="B221" s="277"/>
      <c r="C221" s="277"/>
      <c r="D221" s="278"/>
      <c r="E221" s="279"/>
      <c r="F221" s="279"/>
      <c r="G221" s="280"/>
      <c r="H221" s="280"/>
      <c r="I221" s="279"/>
      <c r="J221" s="290"/>
      <c r="K221" s="281"/>
      <c r="L221" s="282"/>
      <c r="M221" s="284"/>
      <c r="N221" s="76"/>
      <c r="O221" s="76"/>
      <c r="P221" s="77"/>
      <c r="Q221" s="77"/>
      <c r="R221" s="77"/>
      <c r="S221" s="88"/>
      <c r="T221" s="71"/>
      <c r="U221" s="37"/>
      <c r="V221" s="36">
        <f t="shared" si="3"/>
        <v>0</v>
      </c>
    </row>
    <row r="222" spans="1:22" ht="30" customHeight="1" x14ac:dyDescent="0.25">
      <c r="A222" s="97" t="str">
        <f>IF(D222="","",MAX($A$2:A221)+1)</f>
        <v/>
      </c>
      <c r="B222" s="277"/>
      <c r="C222" s="277"/>
      <c r="D222" s="278"/>
      <c r="E222" s="279"/>
      <c r="F222" s="279"/>
      <c r="G222" s="280"/>
      <c r="H222" s="280"/>
      <c r="I222" s="279"/>
      <c r="J222" s="290"/>
      <c r="K222" s="281"/>
      <c r="L222" s="282"/>
      <c r="M222" s="284"/>
      <c r="N222" s="76"/>
      <c r="O222" s="76"/>
      <c r="P222" s="77"/>
      <c r="Q222" s="77"/>
      <c r="R222" s="77"/>
      <c r="S222" s="88"/>
      <c r="T222" s="71"/>
      <c r="U222" s="37"/>
      <c r="V222" s="36">
        <f t="shared" si="3"/>
        <v>0</v>
      </c>
    </row>
    <row r="223" spans="1:22" ht="30" customHeight="1" x14ac:dyDescent="0.25">
      <c r="A223" s="97" t="str">
        <f>IF(D223="","",MAX($A$2:A222)+1)</f>
        <v/>
      </c>
      <c r="B223" s="277"/>
      <c r="C223" s="277"/>
      <c r="D223" s="278"/>
      <c r="E223" s="279"/>
      <c r="F223" s="279"/>
      <c r="G223" s="280"/>
      <c r="H223" s="280"/>
      <c r="I223" s="279"/>
      <c r="J223" s="290"/>
      <c r="K223" s="281"/>
      <c r="L223" s="282"/>
      <c r="M223" s="284"/>
      <c r="N223" s="76"/>
      <c r="O223" s="76"/>
      <c r="P223" s="77"/>
      <c r="Q223" s="77"/>
      <c r="R223" s="77"/>
      <c r="S223" s="88"/>
      <c r="T223" s="71"/>
      <c r="U223" s="37"/>
      <c r="V223" s="36">
        <f t="shared" si="3"/>
        <v>0</v>
      </c>
    </row>
    <row r="224" spans="1:22" ht="30" customHeight="1" x14ac:dyDescent="0.25">
      <c r="A224" s="97" t="str">
        <f>IF(D224="","",MAX($A$2:A223)+1)</f>
        <v/>
      </c>
      <c r="B224" s="277"/>
      <c r="C224" s="277"/>
      <c r="D224" s="278"/>
      <c r="E224" s="279"/>
      <c r="F224" s="279"/>
      <c r="G224" s="280"/>
      <c r="H224" s="280"/>
      <c r="I224" s="279"/>
      <c r="J224" s="290"/>
      <c r="K224" s="281"/>
      <c r="L224" s="282"/>
      <c r="M224" s="284"/>
      <c r="N224" s="76"/>
      <c r="O224" s="76"/>
      <c r="P224" s="77"/>
      <c r="Q224" s="77"/>
      <c r="R224" s="77"/>
      <c r="S224" s="88"/>
      <c r="T224" s="71"/>
      <c r="U224" s="37"/>
      <c r="V224" s="36">
        <f t="shared" si="3"/>
        <v>0</v>
      </c>
    </row>
    <row r="225" spans="1:22" ht="30" customHeight="1" x14ac:dyDescent="0.25">
      <c r="A225" s="97" t="str">
        <f>IF(D225="","",MAX($A$2:A224)+1)</f>
        <v/>
      </c>
      <c r="B225" s="277"/>
      <c r="C225" s="277"/>
      <c r="D225" s="278"/>
      <c r="E225" s="279"/>
      <c r="F225" s="279"/>
      <c r="G225" s="280"/>
      <c r="H225" s="280"/>
      <c r="I225" s="279"/>
      <c r="J225" s="290"/>
      <c r="K225" s="281"/>
      <c r="L225" s="282"/>
      <c r="M225" s="284"/>
      <c r="N225" s="76"/>
      <c r="O225" s="76"/>
      <c r="P225" s="77"/>
      <c r="Q225" s="77"/>
      <c r="R225" s="77"/>
      <c r="S225" s="88"/>
      <c r="T225" s="71"/>
      <c r="U225" s="37"/>
      <c r="V225" s="36">
        <f t="shared" si="3"/>
        <v>0</v>
      </c>
    </row>
    <row r="226" spans="1:22" ht="30" customHeight="1" x14ac:dyDescent="0.25">
      <c r="A226" s="97" t="str">
        <f>IF(D226="","",MAX($A$2:A225)+1)</f>
        <v/>
      </c>
      <c r="B226" s="277"/>
      <c r="C226" s="277"/>
      <c r="D226" s="278"/>
      <c r="E226" s="279"/>
      <c r="F226" s="279"/>
      <c r="G226" s="280"/>
      <c r="H226" s="280"/>
      <c r="I226" s="279"/>
      <c r="J226" s="290"/>
      <c r="K226" s="281"/>
      <c r="L226" s="282"/>
      <c r="M226" s="284"/>
      <c r="N226" s="76"/>
      <c r="O226" s="76"/>
      <c r="P226" s="77"/>
      <c r="Q226" s="77"/>
      <c r="R226" s="77"/>
      <c r="S226" s="88"/>
      <c r="T226" s="71"/>
      <c r="U226" s="37"/>
      <c r="V226" s="36">
        <f t="shared" si="3"/>
        <v>0</v>
      </c>
    </row>
    <row r="227" spans="1:22" ht="30" customHeight="1" x14ac:dyDescent="0.25">
      <c r="A227" s="97" t="str">
        <f>IF(D227="","",MAX($A$2:A226)+1)</f>
        <v/>
      </c>
      <c r="B227" s="277"/>
      <c r="C227" s="277"/>
      <c r="D227" s="278"/>
      <c r="E227" s="279"/>
      <c r="F227" s="279"/>
      <c r="G227" s="280"/>
      <c r="H227" s="280"/>
      <c r="I227" s="279"/>
      <c r="J227" s="290"/>
      <c r="K227" s="281"/>
      <c r="L227" s="282"/>
      <c r="M227" s="284"/>
      <c r="N227" s="76"/>
      <c r="O227" s="76"/>
      <c r="P227" s="77"/>
      <c r="Q227" s="77"/>
      <c r="R227" s="77"/>
      <c r="S227" s="88"/>
      <c r="T227" s="71"/>
      <c r="U227" s="37"/>
      <c r="V227" s="36">
        <f t="shared" si="3"/>
        <v>0</v>
      </c>
    </row>
    <row r="228" spans="1:22" ht="30" customHeight="1" x14ac:dyDescent="0.25">
      <c r="A228" s="97" t="str">
        <f>IF(D228="","",MAX($A$2:A227)+1)</f>
        <v/>
      </c>
      <c r="B228" s="277"/>
      <c r="C228" s="277"/>
      <c r="D228" s="278"/>
      <c r="E228" s="279"/>
      <c r="F228" s="279"/>
      <c r="G228" s="280"/>
      <c r="H228" s="280"/>
      <c r="I228" s="279"/>
      <c r="J228" s="290"/>
      <c r="K228" s="281"/>
      <c r="L228" s="282"/>
      <c r="M228" s="283"/>
      <c r="N228" s="76"/>
      <c r="O228" s="76"/>
      <c r="P228" s="77"/>
      <c r="Q228" s="77"/>
      <c r="R228" s="77"/>
      <c r="S228" s="88"/>
      <c r="T228" s="71"/>
      <c r="U228" s="37"/>
      <c r="V228" s="36">
        <f t="shared" si="3"/>
        <v>0</v>
      </c>
    </row>
    <row r="229" spans="1:22" ht="30" customHeight="1" x14ac:dyDescent="0.25">
      <c r="A229" s="97" t="str">
        <f>IF(D229="","",MAX($A$2:A228)+1)</f>
        <v/>
      </c>
      <c r="B229" s="277"/>
      <c r="C229" s="277"/>
      <c r="D229" s="278"/>
      <c r="E229" s="279"/>
      <c r="F229" s="279"/>
      <c r="G229" s="280"/>
      <c r="H229" s="280"/>
      <c r="I229" s="279"/>
      <c r="J229" s="290"/>
      <c r="K229" s="281"/>
      <c r="L229" s="282"/>
      <c r="M229" s="284"/>
      <c r="N229" s="76"/>
      <c r="O229" s="76"/>
      <c r="P229" s="77"/>
      <c r="Q229" s="77"/>
      <c r="R229" s="77"/>
      <c r="S229" s="88"/>
      <c r="T229" s="71"/>
      <c r="U229" s="37"/>
      <c r="V229" s="36">
        <f t="shared" si="3"/>
        <v>0</v>
      </c>
    </row>
    <row r="230" spans="1:22" ht="30" customHeight="1" x14ac:dyDescent="0.25">
      <c r="A230" s="97" t="str">
        <f>IF(D230="","",MAX($A$2:A229)+1)</f>
        <v/>
      </c>
      <c r="B230" s="277"/>
      <c r="C230" s="277"/>
      <c r="D230" s="278"/>
      <c r="E230" s="279"/>
      <c r="F230" s="279"/>
      <c r="G230" s="280"/>
      <c r="H230" s="280"/>
      <c r="I230" s="279"/>
      <c r="J230" s="290"/>
      <c r="K230" s="281"/>
      <c r="L230" s="282"/>
      <c r="M230" s="283"/>
      <c r="N230" s="76"/>
      <c r="O230" s="76"/>
      <c r="P230" s="77"/>
      <c r="Q230" s="77"/>
      <c r="R230" s="77"/>
      <c r="S230" s="88"/>
      <c r="T230" s="71"/>
      <c r="U230" s="37"/>
      <c r="V230" s="36">
        <f t="shared" si="3"/>
        <v>0</v>
      </c>
    </row>
    <row r="231" spans="1:22" ht="30" customHeight="1" x14ac:dyDescent="0.25">
      <c r="A231" s="97" t="str">
        <f>IF(D231="","",MAX($A$2:A230)+1)</f>
        <v/>
      </c>
      <c r="B231" s="277"/>
      <c r="C231" s="277"/>
      <c r="D231" s="278"/>
      <c r="E231" s="279"/>
      <c r="F231" s="279"/>
      <c r="G231" s="280"/>
      <c r="H231" s="280"/>
      <c r="I231" s="279"/>
      <c r="J231" s="290"/>
      <c r="K231" s="281"/>
      <c r="L231" s="282"/>
      <c r="M231" s="284"/>
      <c r="N231" s="76"/>
      <c r="O231" s="76"/>
      <c r="P231" s="77"/>
      <c r="Q231" s="77"/>
      <c r="R231" s="77"/>
      <c r="S231" s="88"/>
      <c r="T231" s="71"/>
      <c r="U231" s="37"/>
      <c r="V231" s="36">
        <f t="shared" si="3"/>
        <v>0</v>
      </c>
    </row>
    <row r="232" spans="1:22" ht="30" customHeight="1" x14ac:dyDescent="0.25">
      <c r="A232" s="97" t="str">
        <f>IF(D232="","",MAX($A$2:A231)+1)</f>
        <v/>
      </c>
      <c r="B232" s="277"/>
      <c r="C232" s="277"/>
      <c r="D232" s="278"/>
      <c r="E232" s="279"/>
      <c r="F232" s="279"/>
      <c r="G232" s="280"/>
      <c r="H232" s="280"/>
      <c r="I232" s="279"/>
      <c r="J232" s="290"/>
      <c r="K232" s="281"/>
      <c r="L232" s="282"/>
      <c r="M232" s="284"/>
      <c r="N232" s="76"/>
      <c r="O232" s="76"/>
      <c r="P232" s="77"/>
      <c r="Q232" s="77"/>
      <c r="R232" s="77"/>
      <c r="S232" s="88"/>
      <c r="T232" s="71"/>
      <c r="U232" s="37"/>
      <c r="V232" s="36">
        <f t="shared" si="3"/>
        <v>0</v>
      </c>
    </row>
    <row r="233" spans="1:22" ht="30" customHeight="1" x14ac:dyDescent="0.25">
      <c r="A233" s="97" t="str">
        <f>IF(D233="","",MAX($A$2:A232)+1)</f>
        <v/>
      </c>
      <c r="B233" s="277"/>
      <c r="C233" s="277"/>
      <c r="D233" s="278"/>
      <c r="E233" s="279"/>
      <c r="F233" s="279"/>
      <c r="G233" s="280"/>
      <c r="H233" s="280"/>
      <c r="I233" s="279"/>
      <c r="J233" s="290"/>
      <c r="K233" s="281"/>
      <c r="L233" s="282"/>
      <c r="M233" s="283"/>
      <c r="N233" s="76"/>
      <c r="O233" s="76"/>
      <c r="P233" s="77"/>
      <c r="Q233" s="77"/>
      <c r="R233" s="77"/>
      <c r="S233" s="88"/>
      <c r="T233" s="71"/>
      <c r="U233" s="37"/>
      <c r="V233" s="36">
        <f t="shared" si="3"/>
        <v>0</v>
      </c>
    </row>
    <row r="234" spans="1:22" ht="30" customHeight="1" x14ac:dyDescent="0.25">
      <c r="A234" s="97" t="str">
        <f>IF(D234="","",MAX($A$2:A233)+1)</f>
        <v/>
      </c>
      <c r="B234" s="277"/>
      <c r="C234" s="277"/>
      <c r="D234" s="278"/>
      <c r="E234" s="279"/>
      <c r="F234" s="279"/>
      <c r="G234" s="280"/>
      <c r="H234" s="280"/>
      <c r="I234" s="279"/>
      <c r="J234" s="290"/>
      <c r="K234" s="281"/>
      <c r="L234" s="282"/>
      <c r="M234" s="283"/>
      <c r="N234" s="76"/>
      <c r="O234" s="76"/>
      <c r="P234" s="77"/>
      <c r="Q234" s="77"/>
      <c r="R234" s="77"/>
      <c r="S234" s="88"/>
      <c r="T234" s="71"/>
      <c r="U234" s="37"/>
      <c r="V234" s="36">
        <f t="shared" si="3"/>
        <v>0</v>
      </c>
    </row>
    <row r="235" spans="1:22" ht="30" customHeight="1" x14ac:dyDescent="0.25">
      <c r="A235" s="97" t="str">
        <f>IF(D235="","",MAX($A$2:A234)+1)</f>
        <v/>
      </c>
      <c r="B235" s="277"/>
      <c r="C235" s="277"/>
      <c r="D235" s="278"/>
      <c r="E235" s="279"/>
      <c r="F235" s="279"/>
      <c r="G235" s="280"/>
      <c r="H235" s="280"/>
      <c r="I235" s="279"/>
      <c r="J235" s="290"/>
      <c r="K235" s="281"/>
      <c r="L235" s="282"/>
      <c r="M235" s="284"/>
      <c r="N235" s="76"/>
      <c r="O235" s="76"/>
      <c r="P235" s="77"/>
      <c r="Q235" s="77"/>
      <c r="R235" s="77"/>
      <c r="S235" s="88"/>
      <c r="T235" s="71"/>
      <c r="U235" s="37"/>
      <c r="V235" s="36">
        <f t="shared" si="3"/>
        <v>0</v>
      </c>
    </row>
    <row r="236" spans="1:22" ht="30" customHeight="1" x14ac:dyDescent="0.25">
      <c r="A236" s="97" t="str">
        <f>IF(D236="","",MAX($A$2:A235)+1)</f>
        <v/>
      </c>
      <c r="B236" s="277"/>
      <c r="C236" s="277"/>
      <c r="D236" s="278"/>
      <c r="E236" s="279"/>
      <c r="F236" s="279"/>
      <c r="G236" s="280"/>
      <c r="H236" s="280"/>
      <c r="I236" s="279"/>
      <c r="J236" s="290"/>
      <c r="K236" s="281"/>
      <c r="L236" s="282"/>
      <c r="M236" s="284"/>
      <c r="N236" s="76"/>
      <c r="O236" s="76"/>
      <c r="P236" s="77"/>
      <c r="Q236" s="77"/>
      <c r="R236" s="77"/>
      <c r="S236" s="88"/>
      <c r="T236" s="71"/>
      <c r="U236" s="37"/>
      <c r="V236" s="36">
        <f t="shared" ref="V236:V270" si="4">COUNTIF($B$2:$B$501,D236)</f>
        <v>0</v>
      </c>
    </row>
    <row r="237" spans="1:22" ht="30" customHeight="1" x14ac:dyDescent="0.25">
      <c r="A237" s="97" t="str">
        <f>IF(D237="","",MAX($A$2:A236)+1)</f>
        <v/>
      </c>
      <c r="B237" s="254"/>
      <c r="C237" s="254"/>
      <c r="D237" s="255"/>
      <c r="E237" s="256"/>
      <c r="F237" s="256"/>
      <c r="G237" s="256"/>
      <c r="H237" s="256"/>
      <c r="I237" s="256"/>
      <c r="J237" s="291"/>
      <c r="K237" s="257"/>
      <c r="L237" s="258"/>
      <c r="M237" s="259"/>
      <c r="N237" s="76"/>
      <c r="O237" s="76"/>
      <c r="P237" s="77"/>
      <c r="Q237" s="77"/>
      <c r="R237" s="77"/>
      <c r="S237" s="88"/>
      <c r="T237" s="71"/>
      <c r="U237" s="37"/>
      <c r="V237" s="36">
        <f t="shared" si="4"/>
        <v>0</v>
      </c>
    </row>
    <row r="238" spans="1:22" ht="30" customHeight="1" x14ac:dyDescent="0.25">
      <c r="A238" s="97" t="str">
        <f>IF(D238="","",MAX($A$2:A237)+1)</f>
        <v/>
      </c>
      <c r="B238" s="254"/>
      <c r="C238" s="254"/>
      <c r="D238" s="255"/>
      <c r="E238" s="256"/>
      <c r="F238" s="256"/>
      <c r="G238" s="256"/>
      <c r="H238" s="256"/>
      <c r="I238" s="256"/>
      <c r="J238" s="291"/>
      <c r="K238" s="257"/>
      <c r="L238" s="258"/>
      <c r="M238" s="259"/>
      <c r="N238" s="76"/>
      <c r="O238" s="76"/>
      <c r="P238" s="77"/>
      <c r="Q238" s="77"/>
      <c r="R238" s="77"/>
      <c r="S238" s="88"/>
      <c r="T238" s="71"/>
      <c r="U238" s="37"/>
      <c r="V238" s="36">
        <f t="shared" si="4"/>
        <v>0</v>
      </c>
    </row>
    <row r="239" spans="1:22" ht="30" customHeight="1" x14ac:dyDescent="0.25">
      <c r="A239" s="97" t="str">
        <f>IF(D239="","",MAX($A$2:A238)+1)</f>
        <v/>
      </c>
      <c r="B239" s="254"/>
      <c r="C239" s="254"/>
      <c r="D239" s="255"/>
      <c r="E239" s="256"/>
      <c r="F239" s="256"/>
      <c r="G239" s="256"/>
      <c r="H239" s="256"/>
      <c r="I239" s="256"/>
      <c r="J239" s="291"/>
      <c r="K239" s="257"/>
      <c r="L239" s="258"/>
      <c r="M239" s="259"/>
      <c r="N239" s="76"/>
      <c r="O239" s="76"/>
      <c r="P239" s="77"/>
      <c r="Q239" s="77"/>
      <c r="R239" s="77"/>
      <c r="S239" s="88"/>
      <c r="T239" s="71"/>
      <c r="U239" s="37"/>
      <c r="V239" s="36">
        <f t="shared" si="4"/>
        <v>0</v>
      </c>
    </row>
    <row r="240" spans="1:22" ht="30" customHeight="1" x14ac:dyDescent="0.25">
      <c r="A240" s="97" t="str">
        <f>IF(D240="","",MAX($A$2:A239)+1)</f>
        <v/>
      </c>
      <c r="B240" s="254"/>
      <c r="C240" s="254"/>
      <c r="D240" s="255"/>
      <c r="E240" s="256"/>
      <c r="F240" s="256"/>
      <c r="G240" s="256"/>
      <c r="H240" s="256"/>
      <c r="I240" s="256"/>
      <c r="J240" s="291"/>
      <c r="K240" s="257"/>
      <c r="L240" s="258"/>
      <c r="M240" s="259"/>
      <c r="N240" s="76"/>
      <c r="O240" s="76"/>
      <c r="P240" s="77"/>
      <c r="Q240" s="77"/>
      <c r="R240" s="77"/>
      <c r="S240" s="88"/>
      <c r="T240" s="71"/>
      <c r="U240" s="37"/>
      <c r="V240" s="36">
        <f t="shared" si="4"/>
        <v>0</v>
      </c>
    </row>
    <row r="241" spans="1:22" ht="30" customHeight="1" x14ac:dyDescent="0.25">
      <c r="A241" s="97" t="str">
        <f>IF(D241="","",MAX($A$2:A240)+1)</f>
        <v/>
      </c>
      <c r="B241" s="254"/>
      <c r="C241" s="254"/>
      <c r="D241" s="255"/>
      <c r="E241" s="256"/>
      <c r="F241" s="256"/>
      <c r="G241" s="256"/>
      <c r="H241" s="256"/>
      <c r="I241" s="256"/>
      <c r="J241" s="291"/>
      <c r="K241" s="257"/>
      <c r="L241" s="258"/>
      <c r="M241" s="259"/>
      <c r="N241" s="76"/>
      <c r="O241" s="76"/>
      <c r="P241" s="77"/>
      <c r="Q241" s="77"/>
      <c r="R241" s="77"/>
      <c r="S241" s="88"/>
      <c r="T241" s="71"/>
      <c r="U241" s="37"/>
      <c r="V241" s="36">
        <f t="shared" si="4"/>
        <v>0</v>
      </c>
    </row>
    <row r="242" spans="1:22" ht="30" customHeight="1" x14ac:dyDescent="0.25">
      <c r="A242" s="97" t="str">
        <f>IF(D242="","",MAX($A$2:A241)+1)</f>
        <v/>
      </c>
      <c r="B242" s="254"/>
      <c r="C242" s="254"/>
      <c r="D242" s="255"/>
      <c r="E242" s="256"/>
      <c r="F242" s="256"/>
      <c r="G242" s="256"/>
      <c r="H242" s="256"/>
      <c r="I242" s="256"/>
      <c r="J242" s="291"/>
      <c r="K242" s="257"/>
      <c r="L242" s="258"/>
      <c r="M242" s="259"/>
      <c r="N242" s="76"/>
      <c r="O242" s="76"/>
      <c r="P242" s="77"/>
      <c r="Q242" s="77"/>
      <c r="R242" s="77"/>
      <c r="S242" s="88"/>
      <c r="T242" s="71"/>
      <c r="U242" s="37"/>
      <c r="V242" s="36">
        <f t="shared" si="4"/>
        <v>0</v>
      </c>
    </row>
    <row r="243" spans="1:22" ht="30" customHeight="1" x14ac:dyDescent="0.25">
      <c r="A243" s="97" t="str">
        <f>IF(D243="","",MAX($A$2:A242)+1)</f>
        <v/>
      </c>
      <c r="B243" s="254"/>
      <c r="C243" s="254"/>
      <c r="D243" s="255"/>
      <c r="E243" s="256"/>
      <c r="F243" s="256"/>
      <c r="G243" s="256"/>
      <c r="H243" s="256"/>
      <c r="I243" s="256"/>
      <c r="J243" s="291"/>
      <c r="K243" s="257"/>
      <c r="L243" s="258"/>
      <c r="M243" s="259"/>
      <c r="N243" s="76"/>
      <c r="O243" s="76"/>
      <c r="P243" s="77"/>
      <c r="Q243" s="77"/>
      <c r="R243" s="77"/>
      <c r="S243" s="88"/>
      <c r="T243" s="71"/>
      <c r="U243" s="37"/>
      <c r="V243" s="36">
        <f t="shared" si="4"/>
        <v>0</v>
      </c>
    </row>
    <row r="244" spans="1:22" ht="30" customHeight="1" x14ac:dyDescent="0.25">
      <c r="A244" s="97" t="str">
        <f>IF(D244="","",MAX($A$2:A243)+1)</f>
        <v/>
      </c>
      <c r="B244" s="254"/>
      <c r="C244" s="254"/>
      <c r="D244" s="255"/>
      <c r="E244" s="256"/>
      <c r="F244" s="256"/>
      <c r="G244" s="256"/>
      <c r="H244" s="256"/>
      <c r="I244" s="256"/>
      <c r="J244" s="291"/>
      <c r="K244" s="257"/>
      <c r="L244" s="258"/>
      <c r="M244" s="259"/>
      <c r="N244" s="76"/>
      <c r="O244" s="76"/>
      <c r="P244" s="77"/>
      <c r="Q244" s="77"/>
      <c r="R244" s="77"/>
      <c r="S244" s="88"/>
      <c r="T244" s="71"/>
      <c r="U244" s="37"/>
      <c r="V244" s="36">
        <f t="shared" si="4"/>
        <v>0</v>
      </c>
    </row>
    <row r="245" spans="1:22" ht="30" customHeight="1" x14ac:dyDescent="0.25">
      <c r="A245" s="97" t="str">
        <f>IF(D245="","",MAX($A$2:A244)+1)</f>
        <v/>
      </c>
      <c r="B245" s="254"/>
      <c r="C245" s="254"/>
      <c r="D245" s="255"/>
      <c r="E245" s="256"/>
      <c r="F245" s="256"/>
      <c r="G245" s="256"/>
      <c r="H245" s="256"/>
      <c r="I245" s="256"/>
      <c r="J245" s="291"/>
      <c r="K245" s="257"/>
      <c r="L245" s="258"/>
      <c r="M245" s="259"/>
      <c r="N245" s="76"/>
      <c r="O245" s="76"/>
      <c r="P245" s="77"/>
      <c r="Q245" s="77"/>
      <c r="R245" s="77"/>
      <c r="S245" s="88"/>
      <c r="T245" s="71"/>
      <c r="U245" s="37"/>
      <c r="V245" s="36">
        <f t="shared" si="4"/>
        <v>0</v>
      </c>
    </row>
    <row r="246" spans="1:22" ht="30" customHeight="1" x14ac:dyDescent="0.25">
      <c r="A246" s="97" t="str">
        <f>IF(D246="","",MAX($A$2:A245)+1)</f>
        <v/>
      </c>
      <c r="B246" s="254"/>
      <c r="C246" s="254"/>
      <c r="D246" s="255"/>
      <c r="E246" s="256"/>
      <c r="F246" s="256"/>
      <c r="G246" s="256"/>
      <c r="H246" s="256"/>
      <c r="I246" s="256"/>
      <c r="J246" s="291"/>
      <c r="K246" s="257"/>
      <c r="L246" s="258"/>
      <c r="M246" s="259"/>
      <c r="N246" s="76"/>
      <c r="O246" s="76"/>
      <c r="P246" s="77"/>
      <c r="Q246" s="77"/>
      <c r="R246" s="77"/>
      <c r="S246" s="88"/>
      <c r="T246" s="71"/>
      <c r="U246" s="37"/>
      <c r="V246" s="36">
        <f t="shared" si="4"/>
        <v>0</v>
      </c>
    </row>
    <row r="247" spans="1:22" ht="30" customHeight="1" x14ac:dyDescent="0.25">
      <c r="A247" s="97" t="str">
        <f>IF(D247="","",MAX($A$2:A246)+1)</f>
        <v/>
      </c>
      <c r="B247" s="254"/>
      <c r="C247" s="254"/>
      <c r="D247" s="255"/>
      <c r="E247" s="256"/>
      <c r="F247" s="256"/>
      <c r="G247" s="256"/>
      <c r="H247" s="256"/>
      <c r="I247" s="256"/>
      <c r="J247" s="291"/>
      <c r="K247" s="257"/>
      <c r="L247" s="258"/>
      <c r="M247" s="259"/>
      <c r="N247" s="76"/>
      <c r="O247" s="76"/>
      <c r="P247" s="77"/>
      <c r="Q247" s="77"/>
      <c r="R247" s="77"/>
      <c r="S247" s="88"/>
      <c r="T247" s="71"/>
      <c r="U247" s="37"/>
      <c r="V247" s="36">
        <f t="shared" si="4"/>
        <v>0</v>
      </c>
    </row>
    <row r="248" spans="1:22" ht="30" customHeight="1" x14ac:dyDescent="0.25">
      <c r="A248" s="97" t="str">
        <f>IF(D248="","",MAX($A$2:A247)+1)</f>
        <v/>
      </c>
      <c r="B248" s="254"/>
      <c r="C248" s="254"/>
      <c r="D248" s="255"/>
      <c r="E248" s="256"/>
      <c r="F248" s="256"/>
      <c r="G248" s="256"/>
      <c r="H248" s="256"/>
      <c r="I248" s="256"/>
      <c r="J248" s="291"/>
      <c r="K248" s="257"/>
      <c r="L248" s="258"/>
      <c r="M248" s="259"/>
      <c r="N248" s="76"/>
      <c r="O248" s="76"/>
      <c r="P248" s="77"/>
      <c r="Q248" s="77"/>
      <c r="R248" s="77"/>
      <c r="S248" s="88"/>
      <c r="T248" s="71"/>
      <c r="U248" s="37"/>
      <c r="V248" s="36">
        <f t="shared" si="4"/>
        <v>0</v>
      </c>
    </row>
    <row r="249" spans="1:22" ht="30" customHeight="1" x14ac:dyDescent="0.25">
      <c r="A249" s="97" t="str">
        <f>IF(D249="","",MAX($A$2:A248)+1)</f>
        <v/>
      </c>
      <c r="B249" s="254"/>
      <c r="C249" s="254"/>
      <c r="D249" s="255"/>
      <c r="E249" s="256"/>
      <c r="F249" s="256"/>
      <c r="G249" s="256"/>
      <c r="H249" s="256"/>
      <c r="I249" s="256"/>
      <c r="J249" s="291"/>
      <c r="K249" s="257"/>
      <c r="L249" s="258"/>
      <c r="M249" s="259"/>
      <c r="N249" s="76"/>
      <c r="O249" s="76"/>
      <c r="P249" s="77"/>
      <c r="Q249" s="77"/>
      <c r="R249" s="77"/>
      <c r="S249" s="88"/>
      <c r="T249" s="71"/>
      <c r="U249" s="37"/>
      <c r="V249" s="36">
        <f t="shared" si="4"/>
        <v>0</v>
      </c>
    </row>
    <row r="250" spans="1:22" ht="30" customHeight="1" x14ac:dyDescent="0.25">
      <c r="A250" s="97" t="str">
        <f>IF(D250="","",MAX($A$2:A249)+1)</f>
        <v/>
      </c>
      <c r="B250" s="254"/>
      <c r="C250" s="254"/>
      <c r="D250" s="255"/>
      <c r="E250" s="256"/>
      <c r="F250" s="256"/>
      <c r="G250" s="256"/>
      <c r="H250" s="256"/>
      <c r="I250" s="256"/>
      <c r="J250" s="291"/>
      <c r="K250" s="257"/>
      <c r="L250" s="258"/>
      <c r="M250" s="259"/>
      <c r="N250" s="76"/>
      <c r="O250" s="76"/>
      <c r="P250" s="77"/>
      <c r="Q250" s="77"/>
      <c r="R250" s="77"/>
      <c r="S250" s="88"/>
      <c r="T250" s="71"/>
      <c r="U250" s="37"/>
      <c r="V250" s="36">
        <f t="shared" si="4"/>
        <v>0</v>
      </c>
    </row>
    <row r="251" spans="1:22" ht="30" customHeight="1" x14ac:dyDescent="0.25">
      <c r="A251" s="97" t="str">
        <f>IF(D251="","",MAX($A$2:A250)+1)</f>
        <v/>
      </c>
      <c r="B251" s="254"/>
      <c r="C251" s="254"/>
      <c r="D251" s="255"/>
      <c r="E251" s="256"/>
      <c r="F251" s="256"/>
      <c r="G251" s="256"/>
      <c r="H251" s="256"/>
      <c r="I251" s="256"/>
      <c r="J251" s="291"/>
      <c r="K251" s="257"/>
      <c r="L251" s="258"/>
      <c r="M251" s="259"/>
      <c r="N251" s="76"/>
      <c r="O251" s="76"/>
      <c r="P251" s="77"/>
      <c r="Q251" s="77"/>
      <c r="R251" s="77"/>
      <c r="S251" s="88"/>
      <c r="T251" s="71"/>
      <c r="U251" s="37"/>
      <c r="V251" s="36">
        <f t="shared" si="4"/>
        <v>0</v>
      </c>
    </row>
    <row r="252" spans="1:22" ht="30" customHeight="1" x14ac:dyDescent="0.25">
      <c r="A252" s="97" t="str">
        <f>IF(D252="","",MAX($A$2:A251)+1)</f>
        <v/>
      </c>
      <c r="B252" s="254"/>
      <c r="C252" s="254"/>
      <c r="D252" s="255"/>
      <c r="E252" s="256"/>
      <c r="F252" s="256"/>
      <c r="G252" s="256"/>
      <c r="H252" s="256"/>
      <c r="I252" s="256"/>
      <c r="J252" s="291"/>
      <c r="K252" s="257"/>
      <c r="L252" s="258"/>
      <c r="M252" s="259"/>
      <c r="N252" s="76"/>
      <c r="O252" s="76"/>
      <c r="P252" s="77"/>
      <c r="Q252" s="77"/>
      <c r="R252" s="77"/>
      <c r="S252" s="88"/>
      <c r="T252" s="71"/>
      <c r="U252" s="37"/>
      <c r="V252" s="36">
        <f t="shared" si="4"/>
        <v>0</v>
      </c>
    </row>
    <row r="253" spans="1:22" ht="30" customHeight="1" x14ac:dyDescent="0.25">
      <c r="A253" s="97" t="str">
        <f>IF(D253="","",MAX($A$2:A252)+1)</f>
        <v/>
      </c>
      <c r="B253" s="254"/>
      <c r="C253" s="254"/>
      <c r="D253" s="255"/>
      <c r="E253" s="256"/>
      <c r="F253" s="256"/>
      <c r="G253" s="256"/>
      <c r="H253" s="256"/>
      <c r="I253" s="256"/>
      <c r="J253" s="291"/>
      <c r="K253" s="257"/>
      <c r="L253" s="258"/>
      <c r="M253" s="259"/>
      <c r="N253" s="76"/>
      <c r="O253" s="76"/>
      <c r="P253" s="77"/>
      <c r="Q253" s="77"/>
      <c r="R253" s="77"/>
      <c r="S253" s="88"/>
      <c r="T253" s="71"/>
      <c r="U253" s="37"/>
      <c r="V253" s="36">
        <f t="shared" si="4"/>
        <v>0</v>
      </c>
    </row>
    <row r="254" spans="1:22" ht="30" customHeight="1" x14ac:dyDescent="0.25">
      <c r="A254" s="97" t="str">
        <f>IF(D254="","",MAX($A$2:A253)+1)</f>
        <v/>
      </c>
      <c r="B254" s="254"/>
      <c r="C254" s="254"/>
      <c r="D254" s="255"/>
      <c r="E254" s="256"/>
      <c r="F254" s="256"/>
      <c r="G254" s="256"/>
      <c r="H254" s="256"/>
      <c r="I254" s="256"/>
      <c r="J254" s="291"/>
      <c r="K254" s="257"/>
      <c r="L254" s="258"/>
      <c r="M254" s="259"/>
      <c r="N254" s="76"/>
      <c r="O254" s="76"/>
      <c r="P254" s="77"/>
      <c r="Q254" s="77"/>
      <c r="R254" s="77"/>
      <c r="S254" s="88"/>
      <c r="T254" s="71"/>
      <c r="U254" s="37"/>
      <c r="V254" s="36">
        <f t="shared" si="4"/>
        <v>0</v>
      </c>
    </row>
    <row r="255" spans="1:22" ht="30" customHeight="1" x14ac:dyDescent="0.25">
      <c r="A255" s="97" t="str">
        <f>IF(D255="","",MAX($A$2:A254)+1)</f>
        <v/>
      </c>
      <c r="B255" s="254"/>
      <c r="C255" s="254"/>
      <c r="D255" s="255"/>
      <c r="E255" s="256"/>
      <c r="F255" s="256"/>
      <c r="G255" s="256"/>
      <c r="H255" s="256"/>
      <c r="I255" s="256"/>
      <c r="J255" s="291"/>
      <c r="K255" s="257"/>
      <c r="L255" s="258"/>
      <c r="M255" s="259"/>
      <c r="N255" s="76"/>
      <c r="O255" s="76"/>
      <c r="P255" s="77"/>
      <c r="Q255" s="77"/>
      <c r="R255" s="77"/>
      <c r="S255" s="88"/>
      <c r="T255" s="71"/>
      <c r="U255" s="37"/>
      <c r="V255" s="36">
        <f t="shared" si="4"/>
        <v>0</v>
      </c>
    </row>
    <row r="256" spans="1:22" ht="30" customHeight="1" x14ac:dyDescent="0.25">
      <c r="A256" s="97" t="str">
        <f>IF(D256="","",MAX($A$2:A255)+1)</f>
        <v/>
      </c>
      <c r="B256" s="254"/>
      <c r="C256" s="254"/>
      <c r="D256" s="255"/>
      <c r="E256" s="256"/>
      <c r="F256" s="256"/>
      <c r="G256" s="256"/>
      <c r="H256" s="256"/>
      <c r="I256" s="256"/>
      <c r="J256" s="291"/>
      <c r="K256" s="257"/>
      <c r="L256" s="258"/>
      <c r="M256" s="260"/>
      <c r="N256" s="76"/>
      <c r="O256" s="76"/>
      <c r="P256" s="77"/>
      <c r="Q256" s="77"/>
      <c r="R256" s="77"/>
      <c r="S256" s="88"/>
      <c r="T256" s="71"/>
      <c r="U256" s="37"/>
      <c r="V256" s="36">
        <f t="shared" si="4"/>
        <v>0</v>
      </c>
    </row>
    <row r="257" spans="1:38" ht="30" customHeight="1" x14ac:dyDescent="0.25">
      <c r="A257" s="97" t="str">
        <f>IF(D257="","",MAX($A$2:A256)+1)</f>
        <v/>
      </c>
      <c r="B257" s="254"/>
      <c r="C257" s="254"/>
      <c r="D257" s="255"/>
      <c r="E257" s="256"/>
      <c r="F257" s="256"/>
      <c r="G257" s="256"/>
      <c r="H257" s="256"/>
      <c r="I257" s="256"/>
      <c r="J257" s="291"/>
      <c r="K257" s="257"/>
      <c r="L257" s="258"/>
      <c r="M257" s="259"/>
      <c r="N257" s="76"/>
      <c r="O257" s="76"/>
      <c r="P257" s="77"/>
      <c r="Q257" s="77"/>
      <c r="R257" s="77"/>
      <c r="S257" s="88"/>
      <c r="T257" s="71"/>
      <c r="U257" s="37"/>
      <c r="V257" s="36">
        <f t="shared" si="4"/>
        <v>0</v>
      </c>
    </row>
    <row r="258" spans="1:38" ht="30" customHeight="1" x14ac:dyDescent="0.25">
      <c r="A258" s="97" t="str">
        <f>IF(D258="","",MAX($A$2:A257)+1)</f>
        <v/>
      </c>
      <c r="B258" s="254"/>
      <c r="C258" s="254"/>
      <c r="D258" s="255"/>
      <c r="E258" s="256"/>
      <c r="F258" s="256"/>
      <c r="G258" s="256"/>
      <c r="H258" s="256"/>
      <c r="I258" s="256"/>
      <c r="J258" s="291"/>
      <c r="K258" s="257"/>
      <c r="L258" s="258"/>
      <c r="M258" s="259"/>
      <c r="N258" s="76"/>
      <c r="O258" s="76"/>
      <c r="P258" s="77"/>
      <c r="Q258" s="77"/>
      <c r="R258" s="77"/>
      <c r="S258" s="88"/>
      <c r="T258" s="71"/>
      <c r="U258" s="37"/>
      <c r="V258" s="36">
        <f t="shared" si="4"/>
        <v>0</v>
      </c>
    </row>
    <row r="259" spans="1:38" ht="30" customHeight="1" x14ac:dyDescent="0.25">
      <c r="A259" s="97" t="str">
        <f>IF(D259="","",MAX($A$2:A258)+1)</f>
        <v/>
      </c>
      <c r="B259" s="254"/>
      <c r="C259" s="254"/>
      <c r="D259" s="255"/>
      <c r="E259" s="256"/>
      <c r="F259" s="256"/>
      <c r="G259" s="256"/>
      <c r="H259" s="256"/>
      <c r="I259" s="256"/>
      <c r="J259" s="291"/>
      <c r="K259" s="257"/>
      <c r="L259" s="258"/>
      <c r="M259" s="259"/>
      <c r="N259" s="76"/>
      <c r="O259" s="76"/>
      <c r="P259" s="77"/>
      <c r="Q259" s="77"/>
      <c r="R259" s="77"/>
      <c r="S259" s="88"/>
      <c r="T259" s="71"/>
      <c r="U259" s="37"/>
      <c r="V259" s="36">
        <f t="shared" si="4"/>
        <v>0</v>
      </c>
    </row>
    <row r="260" spans="1:38" ht="30" customHeight="1" x14ac:dyDescent="0.25">
      <c r="A260" s="97" t="str">
        <f>IF(D260="","",MAX($A$2:A259)+1)</f>
        <v/>
      </c>
      <c r="B260" s="254"/>
      <c r="C260" s="254"/>
      <c r="D260" s="255"/>
      <c r="E260" s="256"/>
      <c r="F260" s="256"/>
      <c r="G260" s="256"/>
      <c r="H260" s="256"/>
      <c r="I260" s="256"/>
      <c r="J260" s="291"/>
      <c r="K260" s="257"/>
      <c r="L260" s="258"/>
      <c r="M260" s="259"/>
      <c r="N260" s="76"/>
      <c r="O260" s="76"/>
      <c r="P260" s="77"/>
      <c r="Q260" s="77"/>
      <c r="R260" s="77"/>
      <c r="S260" s="88"/>
      <c r="T260" s="71"/>
      <c r="U260" s="37"/>
      <c r="V260" s="36">
        <f t="shared" si="4"/>
        <v>0</v>
      </c>
    </row>
    <row r="261" spans="1:38" ht="30" customHeight="1" x14ac:dyDescent="0.25">
      <c r="A261" s="97" t="str">
        <f>IF(D261="","",MAX($A$2:A260)+1)</f>
        <v/>
      </c>
      <c r="B261" s="254"/>
      <c r="C261" s="254"/>
      <c r="D261" s="255"/>
      <c r="E261" s="256"/>
      <c r="F261" s="256"/>
      <c r="G261" s="256"/>
      <c r="H261" s="256"/>
      <c r="I261" s="256"/>
      <c r="J261" s="291"/>
      <c r="K261" s="257"/>
      <c r="L261" s="258"/>
      <c r="M261" s="259"/>
      <c r="N261" s="76"/>
      <c r="O261" s="76"/>
      <c r="P261" s="77"/>
      <c r="Q261" s="77"/>
      <c r="R261" s="77"/>
      <c r="S261" s="88"/>
      <c r="T261" s="71"/>
      <c r="U261" s="37"/>
      <c r="V261" s="36">
        <f t="shared" si="4"/>
        <v>0</v>
      </c>
    </row>
    <row r="262" spans="1:38" ht="30" customHeight="1" x14ac:dyDescent="0.25">
      <c r="A262" s="97" t="str">
        <f>IF(D262="","",MAX($A$2:A261)+1)</f>
        <v/>
      </c>
      <c r="B262" s="254"/>
      <c r="C262" s="254"/>
      <c r="D262" s="255"/>
      <c r="E262" s="256"/>
      <c r="F262" s="256"/>
      <c r="G262" s="256"/>
      <c r="H262" s="256"/>
      <c r="I262" s="256"/>
      <c r="J262" s="291"/>
      <c r="K262" s="257"/>
      <c r="L262" s="258"/>
      <c r="M262" s="259"/>
      <c r="N262" s="76"/>
      <c r="O262" s="76"/>
      <c r="P262" s="77"/>
      <c r="Q262" s="77"/>
      <c r="R262" s="77"/>
      <c r="S262" s="88"/>
      <c r="T262" s="71"/>
      <c r="U262" s="37"/>
      <c r="V262" s="36">
        <f t="shared" si="4"/>
        <v>0</v>
      </c>
      <c r="Z262" s="36" t="s">
        <v>128</v>
      </c>
    </row>
    <row r="263" spans="1:38" ht="30" customHeight="1" x14ac:dyDescent="0.25">
      <c r="A263" s="97" t="str">
        <f>IF(D263="","",MAX($A$2:A262)+1)</f>
        <v/>
      </c>
      <c r="B263" s="254"/>
      <c r="C263" s="254"/>
      <c r="D263" s="255"/>
      <c r="E263" s="256"/>
      <c r="F263" s="256"/>
      <c r="G263" s="256"/>
      <c r="H263" s="256"/>
      <c r="I263" s="256"/>
      <c r="J263" s="291"/>
      <c r="K263" s="257"/>
      <c r="L263" s="258"/>
      <c r="M263" s="259"/>
      <c r="N263" s="76"/>
      <c r="O263" s="76"/>
      <c r="P263" s="77"/>
      <c r="Q263" s="77"/>
      <c r="R263" s="77"/>
      <c r="S263" s="88"/>
      <c r="T263" s="71"/>
      <c r="U263" s="37"/>
      <c r="V263" s="36">
        <f t="shared" si="4"/>
        <v>0</v>
      </c>
    </row>
    <row r="264" spans="1:38" ht="30" customHeight="1" x14ac:dyDescent="0.25">
      <c r="A264" s="97" t="str">
        <f>IF(D264="","",MAX($A$2:A263)+1)</f>
        <v/>
      </c>
      <c r="B264" s="254"/>
      <c r="C264" s="254"/>
      <c r="D264" s="255"/>
      <c r="E264" s="256"/>
      <c r="F264" s="256"/>
      <c r="G264" s="256"/>
      <c r="H264" s="256"/>
      <c r="I264" s="256"/>
      <c r="J264" s="291"/>
      <c r="K264" s="257"/>
      <c r="L264" s="258"/>
      <c r="M264" s="259"/>
      <c r="N264" s="76"/>
      <c r="O264" s="76"/>
      <c r="P264" s="77"/>
      <c r="Q264" s="77"/>
      <c r="R264" s="77"/>
      <c r="S264" s="88"/>
      <c r="T264" s="71"/>
      <c r="U264" s="37"/>
      <c r="V264" s="36">
        <f t="shared" si="4"/>
        <v>0</v>
      </c>
    </row>
    <row r="265" spans="1:38" ht="30" customHeight="1" x14ac:dyDescent="0.25">
      <c r="A265" s="97" t="str">
        <f>IF(D265="","",MAX($A$2:A264)+1)</f>
        <v/>
      </c>
      <c r="B265" s="254"/>
      <c r="C265" s="254"/>
      <c r="D265" s="255"/>
      <c r="E265" s="256"/>
      <c r="F265" s="256"/>
      <c r="G265" s="256"/>
      <c r="H265" s="256"/>
      <c r="I265" s="256"/>
      <c r="J265" s="291"/>
      <c r="K265" s="257"/>
      <c r="L265" s="258"/>
      <c r="M265" s="259"/>
      <c r="N265" s="76"/>
      <c r="O265" s="76"/>
      <c r="P265" s="77"/>
      <c r="Q265" s="77"/>
      <c r="R265" s="77"/>
      <c r="S265" s="88"/>
      <c r="T265" s="71"/>
      <c r="U265" s="37"/>
      <c r="V265" s="36">
        <f t="shared" si="4"/>
        <v>0</v>
      </c>
    </row>
    <row r="266" spans="1:38" ht="30" customHeight="1" x14ac:dyDescent="0.25">
      <c r="A266" s="97" t="str">
        <f>IF(D266="","",MAX($A$2:A265)+1)</f>
        <v/>
      </c>
      <c r="B266" s="254"/>
      <c r="C266" s="254"/>
      <c r="D266" s="255"/>
      <c r="E266" s="256"/>
      <c r="F266" s="256"/>
      <c r="G266" s="256"/>
      <c r="H266" s="256"/>
      <c r="I266" s="256"/>
      <c r="J266" s="291"/>
      <c r="K266" s="257"/>
      <c r="L266" s="258"/>
      <c r="M266" s="259"/>
      <c r="N266" s="76"/>
      <c r="O266" s="76"/>
      <c r="P266" s="77"/>
      <c r="Q266" s="77"/>
      <c r="R266" s="77"/>
      <c r="S266" s="88"/>
      <c r="T266" s="71"/>
      <c r="U266" s="37"/>
      <c r="V266" s="36">
        <f t="shared" si="4"/>
        <v>0</v>
      </c>
    </row>
    <row r="267" spans="1:38" ht="30" customHeight="1" x14ac:dyDescent="0.25">
      <c r="A267" s="97" t="str">
        <f>IF(D267="","",MAX($A$2:A266)+1)</f>
        <v/>
      </c>
      <c r="B267" s="261"/>
      <c r="C267" s="261"/>
      <c r="D267" s="261"/>
      <c r="E267" s="262"/>
      <c r="F267" s="263"/>
      <c r="G267" s="256"/>
      <c r="H267" s="256"/>
      <c r="I267" s="264"/>
      <c r="J267" s="291"/>
      <c r="K267" s="257"/>
      <c r="L267" s="258"/>
      <c r="M267" s="259"/>
      <c r="N267" s="76"/>
      <c r="O267" s="76"/>
      <c r="P267" s="77"/>
      <c r="Q267" s="77"/>
      <c r="R267" s="77"/>
      <c r="S267" s="88"/>
      <c r="T267" s="71"/>
      <c r="U267" s="37"/>
      <c r="V267" s="36">
        <f t="shared" si="4"/>
        <v>0</v>
      </c>
    </row>
    <row r="268" spans="1:38" ht="30" customHeight="1" x14ac:dyDescent="0.25">
      <c r="A268" s="97" t="str">
        <f>IF(D268="","",MAX($A$2:A267)+1)</f>
        <v/>
      </c>
      <c r="B268" s="261"/>
      <c r="C268" s="261"/>
      <c r="D268" s="261"/>
      <c r="E268" s="262"/>
      <c r="F268" s="263"/>
      <c r="G268" s="256"/>
      <c r="H268" s="256"/>
      <c r="I268" s="264"/>
      <c r="J268" s="291"/>
      <c r="K268" s="257"/>
      <c r="L268" s="258"/>
      <c r="M268" s="259"/>
      <c r="N268" s="76"/>
      <c r="O268" s="76"/>
      <c r="P268" s="77"/>
      <c r="Q268" s="77"/>
      <c r="R268" s="77"/>
      <c r="S268" s="88"/>
      <c r="T268" s="71"/>
      <c r="U268" s="37"/>
      <c r="V268" s="36">
        <f t="shared" si="4"/>
        <v>0</v>
      </c>
    </row>
    <row r="269" spans="1:38" ht="30" customHeight="1" x14ac:dyDescent="0.25">
      <c r="A269" s="97" t="str">
        <f>IF(D269="","",MAX($A$2:A268)+1)</f>
        <v/>
      </c>
      <c r="B269" s="261"/>
      <c r="C269" s="261"/>
      <c r="D269" s="261"/>
      <c r="E269" s="265"/>
      <c r="F269" s="263"/>
      <c r="G269" s="256"/>
      <c r="H269" s="256"/>
      <c r="I269" s="264"/>
      <c r="J269" s="291"/>
      <c r="K269" s="257"/>
      <c r="L269" s="258"/>
      <c r="M269" s="259"/>
      <c r="N269" s="76"/>
      <c r="O269" s="76"/>
      <c r="P269" s="77"/>
      <c r="Q269" s="77"/>
      <c r="R269" s="77"/>
      <c r="S269" s="88"/>
      <c r="T269" s="71"/>
      <c r="U269" s="37"/>
      <c r="V269" s="36">
        <f t="shared" si="4"/>
        <v>0</v>
      </c>
    </row>
    <row r="270" spans="1:38" ht="30" customHeight="1" x14ac:dyDescent="0.25">
      <c r="A270" s="97" t="str">
        <f>IF(D270="","",MAX($A$2:A269)+1)</f>
        <v/>
      </c>
      <c r="B270" s="261"/>
      <c r="C270" s="261"/>
      <c r="D270" s="261"/>
      <c r="E270" s="265"/>
      <c r="F270" s="263"/>
      <c r="G270" s="266"/>
      <c r="H270" s="266"/>
      <c r="I270" s="264"/>
      <c r="J270" s="292"/>
      <c r="K270" s="257"/>
      <c r="L270" s="258"/>
      <c r="M270" s="259"/>
      <c r="N270" s="76"/>
      <c r="O270" s="76"/>
      <c r="P270" s="77"/>
      <c r="Q270" s="77"/>
      <c r="R270" s="77"/>
      <c r="S270" s="88"/>
      <c r="T270" s="71"/>
      <c r="U270" s="37"/>
      <c r="V270" s="36">
        <f t="shared" si="4"/>
        <v>0</v>
      </c>
    </row>
    <row r="271" spans="1:38" ht="30" customHeight="1" x14ac:dyDescent="0.25">
      <c r="A271" s="97" t="str">
        <f>IF(B271="","",MAX($A$2:A270)+1)</f>
        <v/>
      </c>
      <c r="B271" s="261"/>
      <c r="C271" s="261"/>
      <c r="D271" s="261"/>
      <c r="E271" s="265"/>
      <c r="F271" s="263"/>
      <c r="G271" s="266"/>
      <c r="H271" s="266"/>
      <c r="I271" s="264"/>
      <c r="J271" s="292"/>
      <c r="K271" s="257"/>
      <c r="L271" s="258"/>
      <c r="M271" s="259"/>
      <c r="N271" s="76"/>
      <c r="O271" s="76"/>
      <c r="P271" s="77"/>
      <c r="Q271" s="77"/>
      <c r="R271" s="77"/>
      <c r="S271" s="88"/>
      <c r="T271" s="71"/>
      <c r="U271" s="37"/>
      <c r="V271" s="36">
        <f t="shared" ref="V271:V294" si="5">COUNTIF($B$2:$B$501,B271)</f>
        <v>0</v>
      </c>
      <c r="AL271" s="36" t="str">
        <f>IF($A271="","",IF(VLOOKUP($A271,'İşçi Bilgileri'!$A$2:$J$501,9,FALSE)=0,"",VLOOKUP($A271,'İşçi Bilgileri'!$A$2:$J$501,9,FALSE)))</f>
        <v/>
      </c>
    </row>
    <row r="272" spans="1:38" ht="30" customHeight="1" x14ac:dyDescent="0.25">
      <c r="A272" s="97" t="str">
        <f>IF(B272="","",MAX($A$2:A271)+1)</f>
        <v/>
      </c>
      <c r="B272" s="261"/>
      <c r="C272" s="261"/>
      <c r="D272" s="261"/>
      <c r="E272" s="262"/>
      <c r="F272" s="263"/>
      <c r="G272" s="266"/>
      <c r="H272" s="266"/>
      <c r="I272" s="264"/>
      <c r="J272" s="292"/>
      <c r="K272" s="257"/>
      <c r="L272" s="258"/>
      <c r="M272" s="259"/>
      <c r="N272" s="76"/>
      <c r="O272" s="76"/>
      <c r="P272" s="77"/>
      <c r="Q272" s="77"/>
      <c r="R272" s="77"/>
      <c r="S272" s="88"/>
      <c r="T272" s="71"/>
      <c r="U272" s="37"/>
      <c r="V272" s="36">
        <f t="shared" si="5"/>
        <v>0</v>
      </c>
    </row>
    <row r="273" spans="1:22" ht="30" customHeight="1" x14ac:dyDescent="0.25">
      <c r="A273" s="97" t="str">
        <f>IF(B273="","",MAX($A$2:A272)+1)</f>
        <v/>
      </c>
      <c r="B273" s="261"/>
      <c r="C273" s="261"/>
      <c r="D273" s="261"/>
      <c r="E273" s="265"/>
      <c r="F273" s="263"/>
      <c r="G273" s="266"/>
      <c r="H273" s="266"/>
      <c r="I273" s="264"/>
      <c r="J273" s="292"/>
      <c r="K273" s="257"/>
      <c r="L273" s="258"/>
      <c r="M273" s="259"/>
      <c r="N273" s="76"/>
      <c r="O273" s="76"/>
      <c r="P273" s="77"/>
      <c r="Q273" s="77"/>
      <c r="R273" s="77"/>
      <c r="S273" s="88"/>
      <c r="T273" s="71"/>
      <c r="U273" s="37"/>
      <c r="V273" s="36">
        <f t="shared" si="5"/>
        <v>0</v>
      </c>
    </row>
    <row r="274" spans="1:22" ht="30" customHeight="1" x14ac:dyDescent="0.25">
      <c r="A274" s="97" t="str">
        <f>IF(B274="","",MAX($A$2:A273)+1)</f>
        <v/>
      </c>
      <c r="B274" s="261"/>
      <c r="C274" s="261"/>
      <c r="D274" s="261"/>
      <c r="E274" s="265"/>
      <c r="F274" s="263"/>
      <c r="G274" s="266"/>
      <c r="H274" s="266"/>
      <c r="I274" s="264"/>
      <c r="J274" s="292"/>
      <c r="K274" s="257"/>
      <c r="L274" s="258"/>
      <c r="M274" s="259"/>
      <c r="N274" s="76"/>
      <c r="O274" s="76"/>
      <c r="P274" s="77"/>
      <c r="Q274" s="77"/>
      <c r="R274" s="77"/>
      <c r="S274" s="88"/>
      <c r="T274" s="71"/>
      <c r="U274" s="37"/>
      <c r="V274" s="36">
        <f t="shared" si="5"/>
        <v>0</v>
      </c>
    </row>
    <row r="275" spans="1:22" ht="30" customHeight="1" x14ac:dyDescent="0.25">
      <c r="A275" s="97" t="str">
        <f>IF(B275="","",MAX($A$2:A274)+1)</f>
        <v/>
      </c>
      <c r="B275" s="261"/>
      <c r="C275" s="261"/>
      <c r="D275" s="261"/>
      <c r="E275" s="262"/>
      <c r="F275" s="263"/>
      <c r="G275" s="266"/>
      <c r="H275" s="266"/>
      <c r="I275" s="264"/>
      <c r="J275" s="292"/>
      <c r="K275" s="257"/>
      <c r="L275" s="258"/>
      <c r="M275" s="259"/>
      <c r="N275" s="76"/>
      <c r="O275" s="76"/>
      <c r="P275" s="77"/>
      <c r="Q275" s="77"/>
      <c r="R275" s="77"/>
      <c r="S275" s="88"/>
      <c r="T275" s="71"/>
      <c r="U275" s="37"/>
      <c r="V275" s="36">
        <f t="shared" si="5"/>
        <v>0</v>
      </c>
    </row>
    <row r="276" spans="1:22" ht="30" customHeight="1" x14ac:dyDescent="0.25">
      <c r="A276" s="97" t="str">
        <f>IF(B276="","",MAX($A$2:A275)+1)</f>
        <v/>
      </c>
      <c r="B276" s="261"/>
      <c r="C276" s="261"/>
      <c r="D276" s="261"/>
      <c r="E276" s="265"/>
      <c r="F276" s="263"/>
      <c r="G276" s="266"/>
      <c r="H276" s="266"/>
      <c r="I276" s="264"/>
      <c r="J276" s="292"/>
      <c r="K276" s="257"/>
      <c r="L276" s="258"/>
      <c r="M276" s="259"/>
      <c r="N276" s="76"/>
      <c r="O276" s="76"/>
      <c r="P276" s="77"/>
      <c r="Q276" s="77"/>
      <c r="R276" s="77"/>
      <c r="S276" s="88"/>
      <c r="T276" s="71"/>
      <c r="U276" s="37"/>
      <c r="V276" s="36">
        <f t="shared" si="5"/>
        <v>0</v>
      </c>
    </row>
    <row r="277" spans="1:22" ht="30" customHeight="1" x14ac:dyDescent="0.25">
      <c r="A277" s="97" t="str">
        <f>IF(B277="","",MAX($A$2:A276)+1)</f>
        <v/>
      </c>
      <c r="B277" s="261"/>
      <c r="C277" s="261"/>
      <c r="D277" s="261"/>
      <c r="E277" s="262"/>
      <c r="F277" s="263"/>
      <c r="G277" s="266"/>
      <c r="H277" s="266"/>
      <c r="I277" s="264"/>
      <c r="J277" s="292"/>
      <c r="K277" s="257"/>
      <c r="L277" s="258"/>
      <c r="M277" s="259"/>
      <c r="N277" s="76"/>
      <c r="O277" s="76"/>
      <c r="P277" s="77"/>
      <c r="Q277" s="77"/>
      <c r="R277" s="77"/>
      <c r="S277" s="88"/>
      <c r="T277" s="71"/>
      <c r="U277" s="37"/>
      <c r="V277" s="36">
        <f t="shared" si="5"/>
        <v>0</v>
      </c>
    </row>
    <row r="278" spans="1:22" ht="30" customHeight="1" x14ac:dyDescent="0.25">
      <c r="A278" s="97" t="str">
        <f>IF(B278="","",MAX($A$2:A277)+1)</f>
        <v/>
      </c>
      <c r="B278" s="261"/>
      <c r="C278" s="261"/>
      <c r="D278" s="261"/>
      <c r="E278" s="265"/>
      <c r="F278" s="263"/>
      <c r="G278" s="266"/>
      <c r="H278" s="266"/>
      <c r="I278" s="264"/>
      <c r="J278" s="292"/>
      <c r="K278" s="257"/>
      <c r="L278" s="258"/>
      <c r="M278" s="259"/>
      <c r="N278" s="76"/>
      <c r="O278" s="76"/>
      <c r="P278" s="77"/>
      <c r="Q278" s="77"/>
      <c r="R278" s="77"/>
      <c r="S278" s="88"/>
      <c r="T278" s="71"/>
      <c r="U278" s="37"/>
      <c r="V278" s="36">
        <f t="shared" si="5"/>
        <v>0</v>
      </c>
    </row>
    <row r="279" spans="1:22" ht="30" customHeight="1" x14ac:dyDescent="0.25">
      <c r="A279" s="97" t="str">
        <f>IF(B279="","",MAX($A$2:A278)+1)</f>
        <v/>
      </c>
      <c r="B279" s="261"/>
      <c r="C279" s="261"/>
      <c r="D279" s="261"/>
      <c r="E279" s="262"/>
      <c r="F279" s="263"/>
      <c r="G279" s="266"/>
      <c r="H279" s="266"/>
      <c r="I279" s="264"/>
      <c r="J279" s="292"/>
      <c r="K279" s="257"/>
      <c r="L279" s="258"/>
      <c r="M279" s="259"/>
      <c r="N279" s="76"/>
      <c r="O279" s="76"/>
      <c r="P279" s="77"/>
      <c r="Q279" s="77"/>
      <c r="R279" s="77"/>
      <c r="S279" s="88"/>
      <c r="T279" s="71"/>
      <c r="U279" s="37"/>
      <c r="V279" s="36">
        <f t="shared" si="5"/>
        <v>0</v>
      </c>
    </row>
    <row r="280" spans="1:22" ht="30" customHeight="1" x14ac:dyDescent="0.25">
      <c r="A280" s="97" t="str">
        <f>IF(B280="","",MAX($A$2:A279)+1)</f>
        <v/>
      </c>
      <c r="B280" s="261"/>
      <c r="C280" s="261"/>
      <c r="D280" s="261"/>
      <c r="E280" s="265"/>
      <c r="F280" s="263"/>
      <c r="G280" s="266"/>
      <c r="H280" s="266"/>
      <c r="I280" s="264"/>
      <c r="J280" s="292"/>
      <c r="K280" s="257"/>
      <c r="L280" s="258"/>
      <c r="M280" s="260"/>
      <c r="N280" s="76"/>
      <c r="O280" s="76"/>
      <c r="P280" s="77"/>
      <c r="Q280" s="77"/>
      <c r="R280" s="77"/>
      <c r="S280" s="88"/>
      <c r="T280" s="71"/>
      <c r="U280" s="37"/>
      <c r="V280" s="36">
        <f t="shared" si="5"/>
        <v>0</v>
      </c>
    </row>
    <row r="281" spans="1:22" ht="30" customHeight="1" x14ac:dyDescent="0.25">
      <c r="A281" s="97" t="str">
        <f>IF(B281="","",MAX($A$2:A280)+1)</f>
        <v/>
      </c>
      <c r="B281" s="261"/>
      <c r="C281" s="261"/>
      <c r="D281" s="261"/>
      <c r="E281" s="262"/>
      <c r="F281" s="263"/>
      <c r="G281" s="266"/>
      <c r="H281" s="266"/>
      <c r="I281" s="264"/>
      <c r="J281" s="292"/>
      <c r="K281" s="257"/>
      <c r="L281" s="258"/>
      <c r="M281" s="259"/>
      <c r="N281" s="76"/>
      <c r="O281" s="76"/>
      <c r="P281" s="77"/>
      <c r="Q281" s="77"/>
      <c r="R281" s="77"/>
      <c r="S281" s="88"/>
      <c r="T281" s="71"/>
      <c r="U281" s="37"/>
      <c r="V281" s="36">
        <f t="shared" si="5"/>
        <v>0</v>
      </c>
    </row>
    <row r="282" spans="1:22" ht="30" customHeight="1" x14ac:dyDescent="0.25">
      <c r="A282" s="97" t="str">
        <f>IF(B282="","",MAX($A$2:A281)+1)</f>
        <v/>
      </c>
      <c r="B282" s="267"/>
      <c r="C282" s="267"/>
      <c r="D282" s="261"/>
      <c r="E282" s="268"/>
      <c r="F282" s="263"/>
      <c r="G282" s="266"/>
      <c r="H282" s="266"/>
      <c r="I282" s="264"/>
      <c r="J282" s="292"/>
      <c r="K282" s="257"/>
      <c r="L282" s="258"/>
      <c r="M282" s="259"/>
      <c r="N282" s="76"/>
      <c r="O282" s="76"/>
      <c r="P282" s="77"/>
      <c r="Q282" s="77"/>
      <c r="R282" s="77"/>
      <c r="S282" s="88"/>
      <c r="T282" s="71"/>
      <c r="U282" s="37"/>
      <c r="V282" s="36">
        <f t="shared" si="5"/>
        <v>0</v>
      </c>
    </row>
    <row r="283" spans="1:22" ht="30" customHeight="1" x14ac:dyDescent="0.25">
      <c r="A283" s="97" t="str">
        <f>IF(B283="","",MAX($A$2:A282)+1)</f>
        <v/>
      </c>
      <c r="B283" s="267"/>
      <c r="C283" s="267"/>
      <c r="D283" s="261"/>
      <c r="E283" s="268"/>
      <c r="F283" s="263"/>
      <c r="G283" s="266"/>
      <c r="H283" s="266"/>
      <c r="I283" s="264"/>
      <c r="J283" s="292"/>
      <c r="K283" s="257"/>
      <c r="L283" s="258"/>
      <c r="M283" s="259"/>
      <c r="N283" s="76"/>
      <c r="O283" s="76"/>
      <c r="P283" s="77"/>
      <c r="Q283" s="77"/>
      <c r="R283" s="77"/>
      <c r="S283" s="88"/>
      <c r="T283" s="71"/>
      <c r="U283" s="37"/>
      <c r="V283" s="36">
        <f t="shared" si="5"/>
        <v>0</v>
      </c>
    </row>
    <row r="284" spans="1:22" ht="30" customHeight="1" x14ac:dyDescent="0.25">
      <c r="A284" s="97" t="str">
        <f>IF(B284="","",MAX($A$2:A283)+1)</f>
        <v/>
      </c>
      <c r="B284" s="267"/>
      <c r="C284" s="267"/>
      <c r="D284" s="261"/>
      <c r="E284" s="268"/>
      <c r="F284" s="263"/>
      <c r="G284" s="266"/>
      <c r="H284" s="266"/>
      <c r="I284" s="264"/>
      <c r="J284" s="292"/>
      <c r="K284" s="257"/>
      <c r="L284" s="258"/>
      <c r="M284" s="259"/>
      <c r="N284" s="76"/>
      <c r="O284" s="76"/>
      <c r="P284" s="77"/>
      <c r="Q284" s="77"/>
      <c r="R284" s="77"/>
      <c r="S284" s="88"/>
      <c r="T284" s="71"/>
      <c r="U284" s="37"/>
      <c r="V284" s="36">
        <f t="shared" si="5"/>
        <v>0</v>
      </c>
    </row>
    <row r="285" spans="1:22" ht="30" customHeight="1" x14ac:dyDescent="0.25">
      <c r="A285" s="97" t="str">
        <f>IF(B285="","",MAX($A$2:A284)+1)</f>
        <v/>
      </c>
      <c r="B285" s="267"/>
      <c r="C285" s="267"/>
      <c r="D285" s="261"/>
      <c r="E285" s="268"/>
      <c r="F285" s="263"/>
      <c r="G285" s="266"/>
      <c r="H285" s="266"/>
      <c r="I285" s="264"/>
      <c r="J285" s="292"/>
      <c r="K285" s="257"/>
      <c r="L285" s="258"/>
      <c r="M285" s="259"/>
      <c r="N285" s="76"/>
      <c r="O285" s="76"/>
      <c r="P285" s="77"/>
      <c r="Q285" s="77"/>
      <c r="R285" s="77"/>
      <c r="S285" s="88"/>
      <c r="T285" s="71"/>
      <c r="U285" s="37"/>
      <c r="V285" s="36">
        <f t="shared" si="5"/>
        <v>0</v>
      </c>
    </row>
    <row r="286" spans="1:22" ht="30" customHeight="1" x14ac:dyDescent="0.25">
      <c r="A286" s="97" t="str">
        <f>IF(B286="","",MAX($A$2:A285)+1)</f>
        <v/>
      </c>
      <c r="B286" s="269"/>
      <c r="C286" s="269"/>
      <c r="D286" s="261"/>
      <c r="E286" s="270"/>
      <c r="F286" s="271"/>
      <c r="G286" s="266"/>
      <c r="H286" s="266"/>
      <c r="I286" s="264"/>
      <c r="J286" s="292"/>
      <c r="K286" s="257"/>
      <c r="L286" s="258"/>
      <c r="M286" s="259"/>
      <c r="N286" s="76"/>
      <c r="O286" s="76"/>
      <c r="P286" s="77"/>
      <c r="Q286" s="77"/>
      <c r="R286" s="77"/>
      <c r="S286" s="88"/>
      <c r="T286" s="71"/>
      <c r="U286" s="37"/>
      <c r="V286" s="36">
        <f t="shared" si="5"/>
        <v>0</v>
      </c>
    </row>
    <row r="287" spans="1:22" ht="30" customHeight="1" x14ac:dyDescent="0.25">
      <c r="A287" s="246" t="str">
        <f>IF(B287="","",MAX($A$2:A286)+1)</f>
        <v/>
      </c>
      <c r="B287" s="269"/>
      <c r="C287" s="269"/>
      <c r="D287" s="261"/>
      <c r="E287" s="270"/>
      <c r="F287" s="271"/>
      <c r="G287" s="266"/>
      <c r="H287" s="266"/>
      <c r="I287" s="264"/>
      <c r="J287" s="292"/>
      <c r="K287" s="257"/>
      <c r="L287" s="258"/>
      <c r="M287" s="259"/>
      <c r="N287" s="76"/>
      <c r="O287" s="76"/>
      <c r="P287" s="77"/>
      <c r="Q287" s="77"/>
      <c r="R287" s="77"/>
      <c r="S287" s="88"/>
      <c r="T287" s="71"/>
      <c r="U287" s="37"/>
      <c r="V287" s="36">
        <f t="shared" si="5"/>
        <v>0</v>
      </c>
    </row>
    <row r="288" spans="1:22" ht="30" customHeight="1" x14ac:dyDescent="0.25">
      <c r="A288" s="246" t="str">
        <f>IF(B288="","",MAX($A$2:A287)+1)</f>
        <v/>
      </c>
      <c r="B288" s="269"/>
      <c r="C288" s="269"/>
      <c r="D288" s="261"/>
      <c r="E288" s="270"/>
      <c r="F288" s="271"/>
      <c r="G288" s="266"/>
      <c r="H288" s="266"/>
      <c r="I288" s="264"/>
      <c r="J288" s="292"/>
      <c r="K288" s="257"/>
      <c r="L288" s="258"/>
      <c r="M288" s="259"/>
      <c r="N288" s="76"/>
      <c r="O288" s="76"/>
      <c r="P288" s="77"/>
      <c r="Q288" s="77"/>
      <c r="R288" s="77"/>
      <c r="S288" s="88"/>
      <c r="T288" s="71"/>
      <c r="U288" s="37"/>
      <c r="V288" s="36">
        <f t="shared" si="5"/>
        <v>0</v>
      </c>
    </row>
    <row r="289" spans="1:22" ht="30" customHeight="1" x14ac:dyDescent="0.25">
      <c r="A289" s="246" t="str">
        <f>IF(B289="","",MAX($A$2:A288)+1)</f>
        <v/>
      </c>
      <c r="B289" s="261"/>
      <c r="C289" s="261"/>
      <c r="D289" s="261"/>
      <c r="E289" s="272"/>
      <c r="F289" s="273"/>
      <c r="G289" s="266"/>
      <c r="H289" s="266"/>
      <c r="I289" s="274"/>
      <c r="J289" s="292"/>
      <c r="K289" s="257"/>
      <c r="L289" s="258"/>
      <c r="M289" s="260"/>
      <c r="N289" s="76"/>
      <c r="O289" s="76"/>
      <c r="P289" s="77"/>
      <c r="Q289" s="77"/>
      <c r="R289" s="77"/>
      <c r="S289" s="88"/>
      <c r="T289" s="71"/>
      <c r="U289" s="37"/>
      <c r="V289" s="36">
        <f t="shared" si="5"/>
        <v>0</v>
      </c>
    </row>
    <row r="290" spans="1:22" ht="30" customHeight="1" x14ac:dyDescent="0.25">
      <c r="A290" s="97" t="str">
        <f>IF(B290="","",MAX($A$2:A289)+1)</f>
        <v/>
      </c>
      <c r="B290" s="261"/>
      <c r="C290" s="261"/>
      <c r="D290" s="261"/>
      <c r="E290" s="272"/>
      <c r="F290" s="273"/>
      <c r="G290" s="266"/>
      <c r="H290" s="266"/>
      <c r="I290" s="274"/>
      <c r="J290" s="292"/>
      <c r="K290" s="257"/>
      <c r="L290" s="258"/>
      <c r="M290" s="259"/>
      <c r="N290" s="76"/>
      <c r="O290" s="76"/>
      <c r="P290" s="77"/>
      <c r="Q290" s="77"/>
      <c r="R290" s="77"/>
      <c r="S290" s="88"/>
      <c r="T290" s="71"/>
      <c r="U290" s="37"/>
      <c r="V290" s="36">
        <f t="shared" si="5"/>
        <v>0</v>
      </c>
    </row>
    <row r="291" spans="1:22" ht="30" customHeight="1" x14ac:dyDescent="0.25">
      <c r="A291" s="97" t="str">
        <f>IF(B291="","",MAX($A$2:A290)+1)</f>
        <v/>
      </c>
      <c r="B291" s="261"/>
      <c r="C291" s="261"/>
      <c r="D291" s="261"/>
      <c r="E291" s="272"/>
      <c r="F291" s="275"/>
      <c r="G291" s="266"/>
      <c r="H291" s="266"/>
      <c r="I291" s="274"/>
      <c r="J291" s="292"/>
      <c r="K291" s="257"/>
      <c r="L291" s="258"/>
      <c r="M291" s="259"/>
      <c r="N291" s="76"/>
      <c r="O291" s="76"/>
      <c r="P291" s="77"/>
      <c r="Q291" s="77"/>
      <c r="R291" s="77"/>
      <c r="S291" s="88"/>
      <c r="T291" s="71"/>
      <c r="U291" s="37"/>
      <c r="V291" s="36">
        <f t="shared" si="5"/>
        <v>0</v>
      </c>
    </row>
    <row r="292" spans="1:22" ht="30" customHeight="1" x14ac:dyDescent="0.25">
      <c r="A292" s="97" t="str">
        <f>IF(B292="","",MAX($A$2:A291)+1)</f>
        <v/>
      </c>
      <c r="B292" s="261"/>
      <c r="C292" s="261"/>
      <c r="D292" s="261"/>
      <c r="E292" s="272"/>
      <c r="F292" s="276"/>
      <c r="G292" s="266"/>
      <c r="H292" s="266"/>
      <c r="I292" s="274"/>
      <c r="J292" s="292"/>
      <c r="K292" s="257"/>
      <c r="L292" s="258"/>
      <c r="M292" s="259"/>
      <c r="N292" s="76"/>
      <c r="O292" s="76"/>
      <c r="P292" s="77"/>
      <c r="Q292" s="77"/>
      <c r="R292" s="77"/>
      <c r="S292" s="88"/>
      <c r="T292" s="71"/>
      <c r="U292" s="37"/>
      <c r="V292" s="36">
        <f t="shared" si="5"/>
        <v>0</v>
      </c>
    </row>
    <row r="293" spans="1:22" ht="30" customHeight="1" x14ac:dyDescent="0.25">
      <c r="A293" s="97" t="str">
        <f>IF(B293="","",MAX($A$2:A292)+1)</f>
        <v/>
      </c>
      <c r="B293" s="261"/>
      <c r="C293" s="261"/>
      <c r="D293" s="261"/>
      <c r="E293" s="272"/>
      <c r="F293" s="275"/>
      <c r="G293" s="266"/>
      <c r="H293" s="266"/>
      <c r="I293" s="274"/>
      <c r="J293" s="292"/>
      <c r="K293" s="257"/>
      <c r="L293" s="258"/>
      <c r="M293" s="259"/>
      <c r="N293" s="76"/>
      <c r="O293" s="76"/>
      <c r="P293" s="77"/>
      <c r="Q293" s="77"/>
      <c r="R293" s="77"/>
      <c r="S293" s="88"/>
      <c r="T293" s="71"/>
      <c r="U293" s="37"/>
      <c r="V293" s="36">
        <f t="shared" si="5"/>
        <v>0</v>
      </c>
    </row>
    <row r="294" spans="1:22" ht="30" customHeight="1" x14ac:dyDescent="0.25">
      <c r="A294" s="97" t="str">
        <f>IF(B294="","",MAX($A$2:A293)+1)</f>
        <v/>
      </c>
      <c r="B294" s="250"/>
      <c r="C294" s="250"/>
      <c r="D294" s="250"/>
      <c r="E294" s="251"/>
      <c r="F294" s="252"/>
      <c r="G294" s="156"/>
      <c r="H294" s="156"/>
      <c r="I294" s="253"/>
      <c r="J294" s="293"/>
      <c r="K294" s="160"/>
      <c r="L294" s="161"/>
      <c r="M294" s="75"/>
      <c r="N294" s="76"/>
      <c r="O294" s="76"/>
      <c r="P294" s="77"/>
      <c r="Q294" s="77"/>
      <c r="R294" s="77"/>
      <c r="S294" s="88"/>
      <c r="T294" s="71"/>
      <c r="U294" s="37"/>
      <c r="V294" s="36">
        <f t="shared" si="5"/>
        <v>0</v>
      </c>
    </row>
    <row r="295" spans="1:22" ht="30" customHeight="1" x14ac:dyDescent="0.25">
      <c r="A295" s="97" t="str">
        <f>IF(B295="","",MAX($A$2:A294)+1)</f>
        <v/>
      </c>
      <c r="B295" s="155"/>
      <c r="C295" s="155"/>
      <c r="D295" s="70"/>
      <c r="E295" s="162"/>
      <c r="F295" s="156"/>
      <c r="G295" s="156"/>
      <c r="H295" s="156"/>
      <c r="I295" s="157"/>
      <c r="J295" s="293"/>
      <c r="K295" s="160"/>
      <c r="L295" s="161"/>
      <c r="M295" s="75"/>
      <c r="N295" s="76"/>
      <c r="O295" s="76"/>
      <c r="P295" s="77"/>
      <c r="Q295" s="77"/>
      <c r="R295" s="77"/>
      <c r="S295" s="88"/>
      <c r="T295" s="71"/>
      <c r="U295" s="37"/>
      <c r="V295" s="36">
        <f t="shared" ref="V295:V302" si="6">COUNTIF($B$2:$B$501,B295)</f>
        <v>0</v>
      </c>
    </row>
    <row r="296" spans="1:22" ht="30" customHeight="1" x14ac:dyDescent="0.25">
      <c r="A296" s="97" t="str">
        <f>IF(B296="","",MAX($A$2:A295)+1)</f>
        <v/>
      </c>
      <c r="B296" s="155"/>
      <c r="C296" s="155"/>
      <c r="D296" s="70"/>
      <c r="E296" s="162"/>
      <c r="F296" s="156"/>
      <c r="G296" s="156"/>
      <c r="H296" s="156"/>
      <c r="I296" s="157"/>
      <c r="J296" s="293"/>
      <c r="K296" s="160"/>
      <c r="L296" s="161"/>
      <c r="M296" s="75"/>
      <c r="N296" s="76"/>
      <c r="O296" s="76"/>
      <c r="P296" s="77"/>
      <c r="Q296" s="77"/>
      <c r="R296" s="77"/>
      <c r="S296" s="88"/>
      <c r="T296" s="71"/>
      <c r="U296" s="37"/>
      <c r="V296" s="36">
        <f t="shared" si="6"/>
        <v>0</v>
      </c>
    </row>
    <row r="297" spans="1:22" ht="30" customHeight="1" x14ac:dyDescent="0.25">
      <c r="A297" s="97" t="str">
        <f>IF(B297="","",MAX($A$2:A296)+1)</f>
        <v/>
      </c>
      <c r="B297" s="155"/>
      <c r="C297" s="155"/>
      <c r="D297" s="70"/>
      <c r="E297" s="162"/>
      <c r="F297" s="156"/>
      <c r="G297" s="156"/>
      <c r="H297" s="156"/>
      <c r="I297" s="157"/>
      <c r="J297" s="293"/>
      <c r="K297" s="160"/>
      <c r="L297" s="161"/>
      <c r="M297" s="75"/>
      <c r="N297" s="76"/>
      <c r="O297" s="76"/>
      <c r="P297" s="77"/>
      <c r="Q297" s="77"/>
      <c r="R297" s="77"/>
      <c r="S297" s="88"/>
      <c r="T297" s="71"/>
      <c r="U297" s="37"/>
      <c r="V297" s="36">
        <f t="shared" si="6"/>
        <v>0</v>
      </c>
    </row>
    <row r="298" spans="1:22" ht="30" customHeight="1" x14ac:dyDescent="0.25">
      <c r="A298" s="97" t="str">
        <f>IF(B298="","",MAX($A$2:A297)+1)</f>
        <v/>
      </c>
      <c r="B298" s="155"/>
      <c r="C298" s="155"/>
      <c r="D298" s="70"/>
      <c r="E298" s="162"/>
      <c r="F298" s="156"/>
      <c r="G298" s="156"/>
      <c r="H298" s="156"/>
      <c r="I298" s="157"/>
      <c r="J298" s="293"/>
      <c r="K298" s="160"/>
      <c r="L298" s="161"/>
      <c r="M298" s="75"/>
      <c r="N298" s="76"/>
      <c r="O298" s="76"/>
      <c r="P298" s="77"/>
      <c r="Q298" s="77"/>
      <c r="R298" s="77"/>
      <c r="S298" s="88"/>
      <c r="T298" s="71"/>
      <c r="U298" s="37"/>
      <c r="V298" s="36">
        <f t="shared" si="6"/>
        <v>0</v>
      </c>
    </row>
    <row r="299" spans="1:22" ht="30" customHeight="1" x14ac:dyDescent="0.25">
      <c r="A299" s="97" t="str">
        <f>IF(B299="","",MAX($A$2:A298)+1)</f>
        <v/>
      </c>
      <c r="B299" s="155"/>
      <c r="C299" s="155"/>
      <c r="D299" s="70"/>
      <c r="E299" s="162"/>
      <c r="F299" s="156"/>
      <c r="G299" s="156"/>
      <c r="H299" s="156"/>
      <c r="I299" s="157"/>
      <c r="J299" s="293"/>
      <c r="K299" s="160"/>
      <c r="L299" s="161"/>
      <c r="M299" s="122"/>
      <c r="N299" s="76"/>
      <c r="O299" s="76"/>
      <c r="P299" s="77"/>
      <c r="Q299" s="77"/>
      <c r="R299" s="77"/>
      <c r="S299" s="88"/>
      <c r="T299" s="71"/>
      <c r="U299" s="37"/>
      <c r="V299" s="36">
        <f t="shared" si="6"/>
        <v>0</v>
      </c>
    </row>
    <row r="300" spans="1:22" ht="30" customHeight="1" x14ac:dyDescent="0.25">
      <c r="A300" s="97" t="str">
        <f>IF(B300="","",MAX($A$2:A299)+1)</f>
        <v/>
      </c>
      <c r="B300" s="155"/>
      <c r="C300" s="155"/>
      <c r="D300" s="70"/>
      <c r="E300" s="162"/>
      <c r="F300" s="156"/>
      <c r="G300" s="156"/>
      <c r="H300" s="156"/>
      <c r="I300" s="157"/>
      <c r="J300" s="293"/>
      <c r="K300" s="160"/>
      <c r="L300" s="161"/>
      <c r="M300" s="75"/>
      <c r="N300" s="76"/>
      <c r="O300" s="76"/>
      <c r="P300" s="77"/>
      <c r="Q300" s="77"/>
      <c r="R300" s="77"/>
      <c r="S300" s="88"/>
      <c r="T300" s="71"/>
      <c r="U300" s="37"/>
      <c r="V300" s="36">
        <f t="shared" si="6"/>
        <v>0</v>
      </c>
    </row>
    <row r="301" spans="1:22" ht="30" customHeight="1" x14ac:dyDescent="0.25">
      <c r="A301" s="97" t="str">
        <f>IF(B301="","",MAX($A$2:A300)+1)</f>
        <v/>
      </c>
      <c r="B301" s="155"/>
      <c r="C301" s="155"/>
      <c r="D301" s="70"/>
      <c r="E301" s="162"/>
      <c r="F301" s="156"/>
      <c r="G301" s="156"/>
      <c r="H301" s="156"/>
      <c r="I301" s="157"/>
      <c r="J301" s="293"/>
      <c r="K301" s="160"/>
      <c r="L301" s="161"/>
      <c r="M301" s="75"/>
      <c r="N301" s="76"/>
      <c r="O301" s="76"/>
      <c r="P301" s="77"/>
      <c r="Q301" s="77"/>
      <c r="R301" s="77"/>
      <c r="S301" s="88"/>
      <c r="T301" s="71"/>
      <c r="U301" s="37"/>
      <c r="V301" s="36">
        <f t="shared" si="6"/>
        <v>0</v>
      </c>
    </row>
    <row r="302" spans="1:22" ht="30" customHeight="1" x14ac:dyDescent="0.25">
      <c r="A302" s="97" t="str">
        <f>IF(B302="","",MAX($A$2:A301)+1)</f>
        <v/>
      </c>
      <c r="B302" s="155"/>
      <c r="C302" s="155"/>
      <c r="D302" s="70"/>
      <c r="E302" s="162"/>
      <c r="F302" s="156"/>
      <c r="G302" s="156"/>
      <c r="H302" s="156"/>
      <c r="I302" s="157"/>
      <c r="J302" s="293"/>
      <c r="K302" s="160"/>
      <c r="L302" s="161"/>
      <c r="M302" s="122"/>
      <c r="N302" s="76"/>
      <c r="O302" s="76"/>
      <c r="P302" s="77"/>
      <c r="Q302" s="77"/>
      <c r="R302" s="77"/>
      <c r="S302" s="88"/>
      <c r="T302" s="71"/>
      <c r="U302" s="37"/>
      <c r="V302" s="36">
        <f t="shared" si="6"/>
        <v>0</v>
      </c>
    </row>
    <row r="303" spans="1:22" ht="30" customHeight="1" x14ac:dyDescent="0.25">
      <c r="A303" s="97" t="str">
        <f>IF(B303="","",MAX($A$2:A302)+1)</f>
        <v/>
      </c>
      <c r="B303" s="155"/>
      <c r="C303" s="155"/>
      <c r="D303" s="70"/>
      <c r="E303" s="162"/>
      <c r="F303" s="156"/>
      <c r="G303" s="156"/>
      <c r="H303" s="156"/>
      <c r="I303" s="157"/>
      <c r="J303" s="293"/>
      <c r="K303" s="160"/>
      <c r="L303" s="161"/>
      <c r="M303" s="75"/>
      <c r="N303" s="76"/>
      <c r="O303" s="76"/>
      <c r="P303" s="77"/>
      <c r="Q303" s="77"/>
      <c r="R303" s="77"/>
      <c r="S303" s="88"/>
      <c r="T303" s="71"/>
      <c r="U303" s="37"/>
      <c r="V303" s="36">
        <f t="shared" ref="V303:V339" si="7">COUNTIF($B$2:$B$501,B303)</f>
        <v>0</v>
      </c>
    </row>
    <row r="304" spans="1:22" ht="30" customHeight="1" x14ac:dyDescent="0.25">
      <c r="A304" s="97" t="str">
        <f>IF(B304="","",MAX($A$2:A303)+1)</f>
        <v/>
      </c>
      <c r="B304" s="155"/>
      <c r="C304" s="155"/>
      <c r="D304" s="70"/>
      <c r="E304" s="162"/>
      <c r="F304" s="156"/>
      <c r="G304" s="156"/>
      <c r="H304" s="156"/>
      <c r="I304" s="157"/>
      <c r="J304" s="293"/>
      <c r="K304" s="160"/>
      <c r="L304" s="161"/>
      <c r="M304" s="122"/>
      <c r="N304" s="76"/>
      <c r="O304" s="76"/>
      <c r="P304" s="77"/>
      <c r="Q304" s="77"/>
      <c r="R304" s="77"/>
      <c r="S304" s="88"/>
      <c r="T304" s="71"/>
      <c r="U304" s="37"/>
      <c r="V304" s="36">
        <f t="shared" si="7"/>
        <v>0</v>
      </c>
    </row>
    <row r="305" spans="1:22" ht="30" customHeight="1" x14ac:dyDescent="0.25">
      <c r="A305" s="97" t="str">
        <f>IF(B305="","",MAX($A$2:A304)+1)</f>
        <v/>
      </c>
      <c r="B305" s="155"/>
      <c r="C305" s="155"/>
      <c r="D305" s="70"/>
      <c r="E305" s="162"/>
      <c r="F305" s="156"/>
      <c r="G305" s="156"/>
      <c r="H305" s="156"/>
      <c r="I305" s="157"/>
      <c r="J305" s="293"/>
      <c r="K305" s="160"/>
      <c r="L305" s="161"/>
      <c r="M305" s="75"/>
      <c r="N305" s="76"/>
      <c r="O305" s="76"/>
      <c r="P305" s="77"/>
      <c r="Q305" s="77"/>
      <c r="R305" s="77"/>
      <c r="S305" s="88"/>
      <c r="T305" s="71"/>
      <c r="U305" s="37"/>
      <c r="V305" s="36">
        <f t="shared" si="7"/>
        <v>0</v>
      </c>
    </row>
    <row r="306" spans="1:22" ht="30" customHeight="1" x14ac:dyDescent="0.25">
      <c r="A306" s="97" t="str">
        <f>IF(B306="","",MAX($A$2:A305)+1)</f>
        <v/>
      </c>
      <c r="B306" s="155"/>
      <c r="C306" s="155"/>
      <c r="D306" s="70"/>
      <c r="E306" s="162"/>
      <c r="F306" s="156"/>
      <c r="G306" s="156"/>
      <c r="H306" s="156"/>
      <c r="I306" s="157"/>
      <c r="J306" s="293"/>
      <c r="K306" s="160"/>
      <c r="L306" s="161"/>
      <c r="M306" s="75"/>
      <c r="N306" s="76"/>
      <c r="O306" s="76"/>
      <c r="P306" s="77"/>
      <c r="Q306" s="77"/>
      <c r="R306" s="77"/>
      <c r="S306" s="88"/>
      <c r="T306" s="71"/>
      <c r="U306" s="37"/>
      <c r="V306" s="36">
        <f t="shared" si="7"/>
        <v>0</v>
      </c>
    </row>
    <row r="307" spans="1:22" ht="30" customHeight="1" x14ac:dyDescent="0.25">
      <c r="A307" s="97" t="str">
        <f>IF(B307="","",MAX($A$2:A306)+1)</f>
        <v/>
      </c>
      <c r="B307" s="155"/>
      <c r="C307" s="155"/>
      <c r="D307" s="70"/>
      <c r="E307" s="162"/>
      <c r="F307" s="156"/>
      <c r="G307" s="156"/>
      <c r="H307" s="156"/>
      <c r="I307" s="157"/>
      <c r="J307" s="293"/>
      <c r="K307" s="160"/>
      <c r="L307" s="161"/>
      <c r="M307" s="75"/>
      <c r="N307" s="76"/>
      <c r="O307" s="76"/>
      <c r="P307" s="77"/>
      <c r="Q307" s="77"/>
      <c r="R307" s="77"/>
      <c r="S307" s="88"/>
      <c r="T307" s="71"/>
      <c r="U307" s="37"/>
      <c r="V307" s="36">
        <f t="shared" si="7"/>
        <v>0</v>
      </c>
    </row>
    <row r="308" spans="1:22" ht="30" customHeight="1" x14ac:dyDescent="0.25">
      <c r="A308" s="97" t="str">
        <f>IF(B308="","",MAX($A$2:A307)+1)</f>
        <v/>
      </c>
      <c r="B308" s="155"/>
      <c r="C308" s="155"/>
      <c r="D308" s="70"/>
      <c r="E308" s="162"/>
      <c r="F308" s="156"/>
      <c r="G308" s="156"/>
      <c r="H308" s="156"/>
      <c r="I308" s="157"/>
      <c r="J308" s="293"/>
      <c r="K308" s="160"/>
      <c r="L308" s="161"/>
      <c r="M308" s="75"/>
      <c r="N308" s="76"/>
      <c r="O308" s="76"/>
      <c r="P308" s="77"/>
      <c r="Q308" s="77"/>
      <c r="R308" s="77"/>
      <c r="S308" s="88"/>
      <c r="T308" s="71"/>
      <c r="U308" s="37"/>
      <c r="V308" s="36">
        <f t="shared" si="7"/>
        <v>0</v>
      </c>
    </row>
    <row r="309" spans="1:22" ht="30" customHeight="1" x14ac:dyDescent="0.25">
      <c r="A309" s="97" t="str">
        <f>IF(B309="","",MAX($A$2:A308)+1)</f>
        <v/>
      </c>
      <c r="B309" s="155"/>
      <c r="C309" s="155"/>
      <c r="D309" s="70"/>
      <c r="E309" s="162"/>
      <c r="F309" s="156"/>
      <c r="G309" s="156"/>
      <c r="H309" s="156"/>
      <c r="I309" s="157"/>
      <c r="J309" s="293"/>
      <c r="K309" s="160"/>
      <c r="L309" s="161"/>
      <c r="M309" s="75"/>
      <c r="N309" s="76"/>
      <c r="O309" s="76"/>
      <c r="P309" s="77"/>
      <c r="Q309" s="77"/>
      <c r="R309" s="77"/>
      <c r="S309" s="88"/>
      <c r="T309" s="71"/>
      <c r="U309" s="37"/>
      <c r="V309" s="36">
        <f t="shared" si="7"/>
        <v>0</v>
      </c>
    </row>
    <row r="310" spans="1:22" ht="30" customHeight="1" x14ac:dyDescent="0.25">
      <c r="A310" s="97" t="str">
        <f>IF(B310="","",MAX($A$2:A309)+1)</f>
        <v/>
      </c>
      <c r="B310" s="155"/>
      <c r="C310" s="155"/>
      <c r="D310" s="70"/>
      <c r="E310" s="162"/>
      <c r="F310" s="156"/>
      <c r="G310" s="156"/>
      <c r="H310" s="156"/>
      <c r="I310" s="157"/>
      <c r="J310" s="293"/>
      <c r="K310" s="160"/>
      <c r="L310" s="161"/>
      <c r="M310" s="75"/>
      <c r="N310" s="76"/>
      <c r="O310" s="76"/>
      <c r="P310" s="77"/>
      <c r="Q310" s="77"/>
      <c r="R310" s="77"/>
      <c r="S310" s="88"/>
      <c r="T310" s="71"/>
      <c r="U310" s="37"/>
      <c r="V310" s="36">
        <f t="shared" si="7"/>
        <v>0</v>
      </c>
    </row>
    <row r="311" spans="1:22" ht="30" customHeight="1" x14ac:dyDescent="0.25">
      <c r="A311" s="97" t="str">
        <f>IF(B311="","",MAX($A$2:A310)+1)</f>
        <v/>
      </c>
      <c r="B311" s="155"/>
      <c r="C311" s="155"/>
      <c r="D311" s="70"/>
      <c r="E311" s="162"/>
      <c r="F311" s="156"/>
      <c r="G311" s="156"/>
      <c r="H311" s="156"/>
      <c r="I311" s="157"/>
      <c r="J311" s="293"/>
      <c r="K311" s="160"/>
      <c r="L311" s="161"/>
      <c r="M311" s="75"/>
      <c r="N311" s="76"/>
      <c r="O311" s="76"/>
      <c r="P311" s="77"/>
      <c r="Q311" s="77"/>
      <c r="R311" s="77"/>
      <c r="S311" s="88"/>
      <c r="T311" s="71"/>
      <c r="U311" s="37"/>
      <c r="V311" s="36">
        <f t="shared" si="7"/>
        <v>0</v>
      </c>
    </row>
    <row r="312" spans="1:22" ht="30" customHeight="1" x14ac:dyDescent="0.25">
      <c r="A312" s="97" t="str">
        <f>IF(B312="","",MAX($A$2:A311)+1)</f>
        <v/>
      </c>
      <c r="B312" s="155"/>
      <c r="C312" s="155"/>
      <c r="D312" s="70"/>
      <c r="E312" s="162"/>
      <c r="F312" s="156"/>
      <c r="G312" s="156"/>
      <c r="H312" s="156"/>
      <c r="I312" s="157"/>
      <c r="J312" s="293"/>
      <c r="K312" s="160"/>
      <c r="L312" s="161"/>
      <c r="M312" s="75"/>
      <c r="N312" s="76"/>
      <c r="O312" s="76"/>
      <c r="P312" s="77"/>
      <c r="Q312" s="77"/>
      <c r="R312" s="77"/>
      <c r="S312" s="88"/>
      <c r="T312" s="71"/>
      <c r="U312" s="37"/>
      <c r="V312" s="36">
        <f t="shared" si="7"/>
        <v>0</v>
      </c>
    </row>
    <row r="313" spans="1:22" ht="30" customHeight="1" x14ac:dyDescent="0.25">
      <c r="A313" s="97" t="str">
        <f>IF(B313="","",MAX($A$2:A312)+1)</f>
        <v/>
      </c>
      <c r="B313" s="155"/>
      <c r="C313" s="155"/>
      <c r="D313" s="70"/>
      <c r="E313" s="162"/>
      <c r="F313" s="156"/>
      <c r="G313" s="156"/>
      <c r="H313" s="156"/>
      <c r="I313" s="157"/>
      <c r="J313" s="293"/>
      <c r="K313" s="160"/>
      <c r="L313" s="161"/>
      <c r="M313" s="75"/>
      <c r="N313" s="76"/>
      <c r="O313" s="76"/>
      <c r="P313" s="77"/>
      <c r="Q313" s="77"/>
      <c r="R313" s="77"/>
      <c r="S313" s="88"/>
      <c r="T313" s="71"/>
      <c r="U313" s="37"/>
      <c r="V313" s="36">
        <f t="shared" si="7"/>
        <v>0</v>
      </c>
    </row>
    <row r="314" spans="1:22" ht="30" customHeight="1" x14ac:dyDescent="0.25">
      <c r="A314" s="97" t="str">
        <f>IF(B314="","",MAX($A$2:A313)+1)</f>
        <v/>
      </c>
      <c r="B314" s="155"/>
      <c r="C314" s="155"/>
      <c r="D314" s="70"/>
      <c r="E314" s="162"/>
      <c r="F314" s="156"/>
      <c r="G314" s="156"/>
      <c r="H314" s="156"/>
      <c r="I314" s="157"/>
      <c r="J314" s="293"/>
      <c r="K314" s="160"/>
      <c r="L314" s="161"/>
      <c r="M314" s="75"/>
      <c r="N314" s="76"/>
      <c r="O314" s="76"/>
      <c r="P314" s="77"/>
      <c r="Q314" s="77"/>
      <c r="R314" s="77"/>
      <c r="S314" s="88"/>
      <c r="T314" s="71"/>
      <c r="U314" s="37"/>
      <c r="V314" s="36">
        <f t="shared" si="7"/>
        <v>0</v>
      </c>
    </row>
    <row r="315" spans="1:22" ht="30" customHeight="1" x14ac:dyDescent="0.25">
      <c r="A315" s="97" t="str">
        <f>IF(B315="","",MAX($A$2:A314)+1)</f>
        <v/>
      </c>
      <c r="B315" s="155"/>
      <c r="C315" s="155"/>
      <c r="D315" s="70"/>
      <c r="E315" s="162"/>
      <c r="F315" s="156"/>
      <c r="G315" s="156"/>
      <c r="H315" s="156"/>
      <c r="I315" s="157"/>
      <c r="J315" s="293"/>
      <c r="K315" s="160"/>
      <c r="L315" s="161"/>
      <c r="M315" s="75"/>
      <c r="N315" s="76"/>
      <c r="O315" s="76"/>
      <c r="P315" s="77"/>
      <c r="Q315" s="77"/>
      <c r="R315" s="77"/>
      <c r="S315" s="88"/>
      <c r="T315" s="71"/>
      <c r="U315" s="37"/>
      <c r="V315" s="36">
        <f t="shared" si="7"/>
        <v>0</v>
      </c>
    </row>
    <row r="316" spans="1:22" ht="30" customHeight="1" x14ac:dyDescent="0.25">
      <c r="A316" s="97" t="str">
        <f>IF(B316="","",MAX($A$2:A315)+1)</f>
        <v/>
      </c>
      <c r="B316" s="155"/>
      <c r="C316" s="155"/>
      <c r="D316" s="70"/>
      <c r="E316" s="162"/>
      <c r="F316" s="156"/>
      <c r="G316" s="156"/>
      <c r="H316" s="156"/>
      <c r="I316" s="157"/>
      <c r="J316" s="293"/>
      <c r="K316" s="160"/>
      <c r="L316" s="161"/>
      <c r="M316" s="75"/>
      <c r="N316" s="76"/>
      <c r="O316" s="76"/>
      <c r="P316" s="77"/>
      <c r="Q316" s="77"/>
      <c r="R316" s="77"/>
      <c r="S316" s="88"/>
      <c r="T316" s="71"/>
      <c r="U316" s="37"/>
      <c r="V316" s="36">
        <f t="shared" si="7"/>
        <v>0</v>
      </c>
    </row>
    <row r="317" spans="1:22" ht="30" customHeight="1" x14ac:dyDescent="0.25">
      <c r="A317" s="97" t="str">
        <f>IF(B317="","",MAX($A$2:A316)+1)</f>
        <v/>
      </c>
      <c r="B317" s="155"/>
      <c r="C317" s="155"/>
      <c r="D317" s="70"/>
      <c r="E317" s="162"/>
      <c r="F317" s="156"/>
      <c r="G317" s="156"/>
      <c r="H317" s="156"/>
      <c r="I317" s="157"/>
      <c r="J317" s="293"/>
      <c r="K317" s="160"/>
      <c r="L317" s="161"/>
      <c r="M317" s="75"/>
      <c r="N317" s="76"/>
      <c r="O317" s="76"/>
      <c r="P317" s="77"/>
      <c r="Q317" s="77"/>
      <c r="R317" s="77"/>
      <c r="S317" s="88"/>
      <c r="T317" s="71"/>
      <c r="U317" s="37"/>
      <c r="V317" s="36">
        <f t="shared" si="7"/>
        <v>0</v>
      </c>
    </row>
    <row r="318" spans="1:22" ht="30" customHeight="1" x14ac:dyDescent="0.25">
      <c r="A318" s="97" t="str">
        <f>IF(B318="","",MAX($A$2:A317)+1)</f>
        <v/>
      </c>
      <c r="B318" s="155"/>
      <c r="C318" s="155"/>
      <c r="D318" s="70"/>
      <c r="E318" s="162"/>
      <c r="F318" s="156"/>
      <c r="G318" s="156"/>
      <c r="H318" s="156"/>
      <c r="I318" s="157"/>
      <c r="J318" s="293"/>
      <c r="K318" s="160"/>
      <c r="L318" s="161"/>
      <c r="M318" s="122"/>
      <c r="N318" s="76"/>
      <c r="O318" s="76"/>
      <c r="P318" s="77"/>
      <c r="Q318" s="77"/>
      <c r="R318" s="77"/>
      <c r="S318" s="88"/>
      <c r="T318" s="71"/>
      <c r="U318" s="37"/>
      <c r="V318" s="36">
        <f t="shared" si="7"/>
        <v>0</v>
      </c>
    </row>
    <row r="319" spans="1:22" ht="30" customHeight="1" x14ac:dyDescent="0.25">
      <c r="A319" s="97" t="str">
        <f>IF(B319="","",MAX($A$2:A318)+1)</f>
        <v/>
      </c>
      <c r="B319" s="155"/>
      <c r="C319" s="155"/>
      <c r="D319" s="70"/>
      <c r="E319" s="162"/>
      <c r="F319" s="156"/>
      <c r="G319" s="156"/>
      <c r="H319" s="156"/>
      <c r="I319" s="157"/>
      <c r="J319" s="293"/>
      <c r="K319" s="160"/>
      <c r="L319" s="161"/>
      <c r="M319" s="122"/>
      <c r="N319" s="76"/>
      <c r="O319" s="76"/>
      <c r="P319" s="77"/>
      <c r="Q319" s="77"/>
      <c r="R319" s="77"/>
      <c r="S319" s="88"/>
      <c r="T319" s="71"/>
      <c r="U319" s="37"/>
      <c r="V319" s="36">
        <f t="shared" si="7"/>
        <v>0</v>
      </c>
    </row>
    <row r="320" spans="1:22" ht="30" customHeight="1" x14ac:dyDescent="0.25">
      <c r="A320" s="97" t="str">
        <f>IF(B320="","",MAX($A$2:A319)+1)</f>
        <v/>
      </c>
      <c r="B320" s="155"/>
      <c r="C320" s="155"/>
      <c r="D320" s="70"/>
      <c r="E320" s="162"/>
      <c r="F320" s="156"/>
      <c r="G320" s="156"/>
      <c r="H320" s="156"/>
      <c r="I320" s="157"/>
      <c r="J320" s="293"/>
      <c r="K320" s="160"/>
      <c r="L320" s="161"/>
      <c r="M320" s="75"/>
      <c r="N320" s="76"/>
      <c r="O320" s="76"/>
      <c r="P320" s="77"/>
      <c r="Q320" s="77"/>
      <c r="R320" s="77"/>
      <c r="S320" s="88"/>
      <c r="T320" s="71"/>
      <c r="U320" s="37"/>
      <c r="V320" s="36">
        <f t="shared" si="7"/>
        <v>0</v>
      </c>
    </row>
    <row r="321" spans="1:22" ht="30" customHeight="1" x14ac:dyDescent="0.25">
      <c r="A321" s="97" t="str">
        <f>IF(B321="","",MAX($A$2:A320)+1)</f>
        <v/>
      </c>
      <c r="B321" s="155"/>
      <c r="C321" s="155"/>
      <c r="D321" s="70"/>
      <c r="E321" s="162"/>
      <c r="F321" s="156"/>
      <c r="G321" s="156"/>
      <c r="H321" s="156"/>
      <c r="I321" s="157"/>
      <c r="J321" s="293"/>
      <c r="K321" s="160"/>
      <c r="L321" s="161"/>
      <c r="M321" s="75"/>
      <c r="N321" s="76"/>
      <c r="O321" s="76"/>
      <c r="P321" s="77"/>
      <c r="Q321" s="77"/>
      <c r="R321" s="77"/>
      <c r="S321" s="88"/>
      <c r="T321" s="71"/>
      <c r="U321" s="37"/>
      <c r="V321" s="36">
        <f t="shared" si="7"/>
        <v>0</v>
      </c>
    </row>
    <row r="322" spans="1:22" ht="30" customHeight="1" x14ac:dyDescent="0.25">
      <c r="A322" s="97" t="str">
        <f>IF(B322="","",MAX($A$2:A321)+1)</f>
        <v/>
      </c>
      <c r="B322" s="155"/>
      <c r="C322" s="155"/>
      <c r="D322" s="70"/>
      <c r="E322" s="162"/>
      <c r="F322" s="156"/>
      <c r="G322" s="156"/>
      <c r="H322" s="156"/>
      <c r="I322" s="157"/>
      <c r="J322" s="293"/>
      <c r="K322" s="160"/>
      <c r="L322" s="161"/>
      <c r="M322" s="75"/>
      <c r="N322" s="76"/>
      <c r="O322" s="76"/>
      <c r="P322" s="77"/>
      <c r="Q322" s="77"/>
      <c r="R322" s="77"/>
      <c r="S322" s="88"/>
      <c r="T322" s="71"/>
      <c r="U322" s="37"/>
      <c r="V322" s="36">
        <f t="shared" si="7"/>
        <v>0</v>
      </c>
    </row>
    <row r="323" spans="1:22" ht="30" customHeight="1" x14ac:dyDescent="0.25">
      <c r="A323" s="97" t="str">
        <f>IF(B323="","",MAX($A$2:A322)+1)</f>
        <v/>
      </c>
      <c r="B323" s="155"/>
      <c r="C323" s="155"/>
      <c r="D323" s="70"/>
      <c r="E323" s="162"/>
      <c r="F323" s="156"/>
      <c r="G323" s="156"/>
      <c r="H323" s="156"/>
      <c r="I323" s="157"/>
      <c r="J323" s="293"/>
      <c r="K323" s="160"/>
      <c r="L323" s="161"/>
      <c r="M323" s="75"/>
      <c r="N323" s="76"/>
      <c r="O323" s="76"/>
      <c r="P323" s="77"/>
      <c r="Q323" s="77"/>
      <c r="R323" s="77"/>
      <c r="S323" s="88"/>
      <c r="T323" s="71"/>
      <c r="U323" s="37"/>
      <c r="V323" s="36">
        <f t="shared" si="7"/>
        <v>0</v>
      </c>
    </row>
    <row r="324" spans="1:22" ht="30" customHeight="1" x14ac:dyDescent="0.25">
      <c r="A324" s="97" t="str">
        <f>IF(B324="","",MAX($A$2:A323)+1)</f>
        <v/>
      </c>
      <c r="B324" s="155"/>
      <c r="C324" s="155"/>
      <c r="D324" s="70"/>
      <c r="E324" s="162"/>
      <c r="F324" s="156"/>
      <c r="G324" s="156"/>
      <c r="H324" s="156"/>
      <c r="I324" s="157"/>
      <c r="J324" s="293"/>
      <c r="K324" s="160"/>
      <c r="L324" s="161"/>
      <c r="M324" s="75"/>
      <c r="N324" s="76"/>
      <c r="O324" s="76"/>
      <c r="P324" s="77"/>
      <c r="Q324" s="77"/>
      <c r="R324" s="77"/>
      <c r="S324" s="88"/>
      <c r="T324" s="71"/>
      <c r="U324" s="37"/>
      <c r="V324" s="36">
        <f t="shared" si="7"/>
        <v>0</v>
      </c>
    </row>
    <row r="325" spans="1:22" ht="30" customHeight="1" x14ac:dyDescent="0.25">
      <c r="A325" s="97" t="str">
        <f>IF(B325="","",MAX($A$2:A324)+1)</f>
        <v/>
      </c>
      <c r="B325" s="155"/>
      <c r="C325" s="155"/>
      <c r="D325" s="70"/>
      <c r="E325" s="162"/>
      <c r="F325" s="156"/>
      <c r="G325" s="156"/>
      <c r="H325" s="156"/>
      <c r="I325" s="157"/>
      <c r="J325" s="293"/>
      <c r="K325" s="160"/>
      <c r="L325" s="161"/>
      <c r="M325" s="75"/>
      <c r="N325" s="76"/>
      <c r="O325" s="76"/>
      <c r="P325" s="77"/>
      <c r="Q325" s="77"/>
      <c r="R325" s="77"/>
      <c r="S325" s="88"/>
      <c r="T325" s="71"/>
      <c r="U325" s="37"/>
      <c r="V325" s="36">
        <f t="shared" si="7"/>
        <v>0</v>
      </c>
    </row>
    <row r="326" spans="1:22" ht="30" customHeight="1" x14ac:dyDescent="0.25">
      <c r="A326" s="97" t="str">
        <f>IF(B326="","",MAX($A$2:A325)+1)</f>
        <v/>
      </c>
      <c r="B326" s="155"/>
      <c r="C326" s="155"/>
      <c r="D326" s="70"/>
      <c r="E326" s="162"/>
      <c r="F326" s="156"/>
      <c r="G326" s="156"/>
      <c r="H326" s="156"/>
      <c r="I326" s="157"/>
      <c r="J326" s="293"/>
      <c r="K326" s="160"/>
      <c r="L326" s="161"/>
      <c r="M326" s="75"/>
      <c r="N326" s="76"/>
      <c r="O326" s="76"/>
      <c r="P326" s="77"/>
      <c r="Q326" s="77"/>
      <c r="R326" s="77"/>
      <c r="S326" s="88"/>
      <c r="T326" s="71"/>
      <c r="U326" s="37"/>
      <c r="V326" s="36">
        <f t="shared" si="7"/>
        <v>0</v>
      </c>
    </row>
    <row r="327" spans="1:22" ht="30" customHeight="1" x14ac:dyDescent="0.25">
      <c r="A327" s="97" t="str">
        <f>IF(B327="","",MAX($A$2:A326)+1)</f>
        <v/>
      </c>
      <c r="B327" s="155"/>
      <c r="C327" s="155"/>
      <c r="D327" s="70"/>
      <c r="E327" s="162"/>
      <c r="F327" s="156"/>
      <c r="G327" s="156"/>
      <c r="H327" s="156"/>
      <c r="I327" s="157"/>
      <c r="J327" s="293"/>
      <c r="K327" s="160"/>
      <c r="L327" s="161"/>
      <c r="M327" s="75"/>
      <c r="N327" s="76"/>
      <c r="O327" s="76"/>
      <c r="P327" s="77"/>
      <c r="Q327" s="77"/>
      <c r="R327" s="77"/>
      <c r="S327" s="88"/>
      <c r="T327" s="71"/>
      <c r="U327" s="37"/>
      <c r="V327" s="36">
        <f t="shared" si="7"/>
        <v>0</v>
      </c>
    </row>
    <row r="328" spans="1:22" ht="30" customHeight="1" x14ac:dyDescent="0.25">
      <c r="A328" s="97" t="str">
        <f>IF(B328="","",MAX($A$2:A327)+1)</f>
        <v/>
      </c>
      <c r="B328" s="155"/>
      <c r="C328" s="155"/>
      <c r="D328" s="70"/>
      <c r="E328" s="162"/>
      <c r="F328" s="156"/>
      <c r="G328" s="156"/>
      <c r="H328" s="156"/>
      <c r="I328" s="157"/>
      <c r="J328" s="293"/>
      <c r="K328" s="160"/>
      <c r="L328" s="161"/>
      <c r="M328" s="122"/>
      <c r="N328" s="76"/>
      <c r="O328" s="76"/>
      <c r="P328" s="77"/>
      <c r="Q328" s="77"/>
      <c r="R328" s="77"/>
      <c r="S328" s="88"/>
      <c r="T328" s="71"/>
      <c r="U328" s="37"/>
      <c r="V328" s="36">
        <f t="shared" si="7"/>
        <v>0</v>
      </c>
    </row>
    <row r="329" spans="1:22" ht="30" customHeight="1" x14ac:dyDescent="0.25">
      <c r="A329" s="97" t="str">
        <f>IF(B329="","",MAX($A$2:A328)+1)</f>
        <v/>
      </c>
      <c r="B329" s="155"/>
      <c r="C329" s="155"/>
      <c r="D329" s="70"/>
      <c r="E329" s="162"/>
      <c r="F329" s="156"/>
      <c r="G329" s="156"/>
      <c r="H329" s="156"/>
      <c r="I329" s="157"/>
      <c r="J329" s="293"/>
      <c r="K329" s="160"/>
      <c r="L329" s="161"/>
      <c r="M329" s="122"/>
      <c r="N329" s="76"/>
      <c r="O329" s="76"/>
      <c r="P329" s="77"/>
      <c r="Q329" s="77"/>
      <c r="R329" s="77"/>
      <c r="S329" s="88"/>
      <c r="T329" s="71"/>
      <c r="U329" s="37"/>
      <c r="V329" s="36">
        <f t="shared" si="7"/>
        <v>0</v>
      </c>
    </row>
    <row r="330" spans="1:22" ht="30" customHeight="1" x14ac:dyDescent="0.25">
      <c r="A330" s="97" t="str">
        <f>IF(B330="","",MAX($A$2:A329)+1)</f>
        <v/>
      </c>
      <c r="B330" s="155"/>
      <c r="C330" s="155"/>
      <c r="D330" s="70"/>
      <c r="E330" s="162"/>
      <c r="F330" s="156"/>
      <c r="G330" s="156"/>
      <c r="H330" s="156"/>
      <c r="I330" s="157"/>
      <c r="J330" s="293"/>
      <c r="K330" s="160"/>
      <c r="L330" s="161"/>
      <c r="M330" s="75"/>
      <c r="N330" s="76"/>
      <c r="O330" s="76"/>
      <c r="P330" s="77"/>
      <c r="Q330" s="77"/>
      <c r="R330" s="77"/>
      <c r="S330" s="88"/>
      <c r="T330" s="71"/>
      <c r="U330" s="37"/>
      <c r="V330" s="36">
        <f t="shared" si="7"/>
        <v>0</v>
      </c>
    </row>
    <row r="331" spans="1:22" ht="30" customHeight="1" x14ac:dyDescent="0.25">
      <c r="A331" s="97" t="str">
        <f>IF(B331="","",MAX($A$2:A330)+1)</f>
        <v/>
      </c>
      <c r="B331" s="155"/>
      <c r="C331" s="155"/>
      <c r="D331" s="70"/>
      <c r="E331" s="162"/>
      <c r="F331" s="156"/>
      <c r="G331" s="156"/>
      <c r="H331" s="156"/>
      <c r="I331" s="157"/>
      <c r="J331" s="293"/>
      <c r="K331" s="160"/>
      <c r="L331" s="161"/>
      <c r="M331" s="75"/>
      <c r="N331" s="76"/>
      <c r="O331" s="76"/>
      <c r="P331" s="77"/>
      <c r="Q331" s="77"/>
      <c r="R331" s="77"/>
      <c r="S331" s="88"/>
      <c r="T331" s="71"/>
      <c r="U331" s="37"/>
      <c r="V331" s="36">
        <f t="shared" si="7"/>
        <v>0</v>
      </c>
    </row>
    <row r="332" spans="1:22" ht="30" customHeight="1" x14ac:dyDescent="0.25">
      <c r="A332" s="97" t="str">
        <f>IF(B332="","",MAX($A$2:A331)+1)</f>
        <v/>
      </c>
      <c r="B332" s="155"/>
      <c r="C332" s="155"/>
      <c r="D332" s="70"/>
      <c r="E332" s="162"/>
      <c r="F332" s="156"/>
      <c r="G332" s="156"/>
      <c r="H332" s="156"/>
      <c r="I332" s="157"/>
      <c r="J332" s="293"/>
      <c r="K332" s="160"/>
      <c r="L332" s="161"/>
      <c r="M332" s="75"/>
      <c r="N332" s="76"/>
      <c r="O332" s="76"/>
      <c r="P332" s="77"/>
      <c r="Q332" s="77"/>
      <c r="R332" s="77"/>
      <c r="S332" s="88"/>
      <c r="T332" s="71"/>
      <c r="U332" s="37"/>
      <c r="V332" s="36">
        <f t="shared" si="7"/>
        <v>0</v>
      </c>
    </row>
    <row r="333" spans="1:22" ht="30" customHeight="1" x14ac:dyDescent="0.25">
      <c r="A333" s="97" t="str">
        <f>IF(B333="","",MAX($A$2:A332)+1)</f>
        <v/>
      </c>
      <c r="B333" s="155"/>
      <c r="C333" s="155"/>
      <c r="D333" s="70"/>
      <c r="E333" s="162"/>
      <c r="F333" s="156"/>
      <c r="G333" s="156"/>
      <c r="H333" s="156"/>
      <c r="I333" s="157"/>
      <c r="J333" s="293"/>
      <c r="K333" s="160"/>
      <c r="L333" s="161"/>
      <c r="M333" s="75"/>
      <c r="N333" s="76"/>
      <c r="O333" s="76"/>
      <c r="P333" s="77"/>
      <c r="Q333" s="77"/>
      <c r="R333" s="77"/>
      <c r="S333" s="88"/>
      <c r="T333" s="71"/>
      <c r="U333" s="37"/>
      <c r="V333" s="36">
        <f t="shared" si="7"/>
        <v>0</v>
      </c>
    </row>
    <row r="334" spans="1:22" ht="30" customHeight="1" x14ac:dyDescent="0.25">
      <c r="A334" s="97" t="str">
        <f>IF(B334="","",MAX($A$2:A333)+1)</f>
        <v/>
      </c>
      <c r="B334" s="155"/>
      <c r="C334" s="155"/>
      <c r="D334" s="70"/>
      <c r="E334" s="162"/>
      <c r="F334" s="156"/>
      <c r="G334" s="156"/>
      <c r="H334" s="156"/>
      <c r="I334" s="157"/>
      <c r="J334" s="293"/>
      <c r="K334" s="160"/>
      <c r="L334" s="161"/>
      <c r="M334" s="75"/>
      <c r="N334" s="76"/>
      <c r="O334" s="76"/>
      <c r="P334" s="77"/>
      <c r="Q334" s="77"/>
      <c r="R334" s="77"/>
      <c r="S334" s="88"/>
      <c r="T334" s="71"/>
      <c r="U334" s="37"/>
      <c r="V334" s="36">
        <f t="shared" si="7"/>
        <v>0</v>
      </c>
    </row>
    <row r="335" spans="1:22" ht="30" customHeight="1" x14ac:dyDescent="0.25">
      <c r="A335" s="97" t="str">
        <f>IF(B335="","",MAX($A$2:A334)+1)</f>
        <v/>
      </c>
      <c r="B335" s="155"/>
      <c r="C335" s="155"/>
      <c r="D335" s="70"/>
      <c r="E335" s="162"/>
      <c r="F335" s="156"/>
      <c r="G335" s="156"/>
      <c r="H335" s="156"/>
      <c r="I335" s="157"/>
      <c r="J335" s="293"/>
      <c r="K335" s="160"/>
      <c r="L335" s="161"/>
      <c r="M335" s="75"/>
      <c r="N335" s="76"/>
      <c r="O335" s="76"/>
      <c r="P335" s="77"/>
      <c r="Q335" s="77"/>
      <c r="R335" s="77"/>
      <c r="S335" s="88"/>
      <c r="T335" s="71"/>
      <c r="U335" s="37"/>
      <c r="V335" s="36">
        <f t="shared" si="7"/>
        <v>0</v>
      </c>
    </row>
    <row r="336" spans="1:22" ht="30" customHeight="1" x14ac:dyDescent="0.25">
      <c r="A336" s="97" t="str">
        <f>IF(B336="","",MAX($A$2:A335)+1)</f>
        <v/>
      </c>
      <c r="B336" s="155"/>
      <c r="C336" s="155"/>
      <c r="D336" s="70"/>
      <c r="E336" s="162"/>
      <c r="F336" s="156"/>
      <c r="G336" s="156"/>
      <c r="H336" s="156"/>
      <c r="I336" s="157"/>
      <c r="J336" s="293"/>
      <c r="K336" s="160"/>
      <c r="L336" s="161"/>
      <c r="M336" s="75"/>
      <c r="N336" s="76"/>
      <c r="O336" s="76"/>
      <c r="P336" s="77"/>
      <c r="Q336" s="77"/>
      <c r="R336" s="77"/>
      <c r="S336" s="88"/>
      <c r="T336" s="71"/>
      <c r="U336" s="37"/>
      <c r="V336" s="36">
        <f t="shared" si="7"/>
        <v>0</v>
      </c>
    </row>
    <row r="337" spans="1:22" ht="30" customHeight="1" x14ac:dyDescent="0.25">
      <c r="A337" s="97" t="str">
        <f>IF(B337="","",MAX($A$2:A336)+1)</f>
        <v/>
      </c>
      <c r="B337" s="155"/>
      <c r="C337" s="155"/>
      <c r="D337" s="70"/>
      <c r="E337" s="162"/>
      <c r="F337" s="156"/>
      <c r="G337" s="156"/>
      <c r="H337" s="156"/>
      <c r="I337" s="157"/>
      <c r="J337" s="293"/>
      <c r="K337" s="160"/>
      <c r="L337" s="161"/>
      <c r="M337" s="75"/>
      <c r="N337" s="76"/>
      <c r="O337" s="76"/>
      <c r="P337" s="77"/>
      <c r="Q337" s="77"/>
      <c r="R337" s="77"/>
      <c r="S337" s="88"/>
      <c r="T337" s="71"/>
      <c r="U337" s="37"/>
      <c r="V337" s="36">
        <f t="shared" si="7"/>
        <v>0</v>
      </c>
    </row>
    <row r="338" spans="1:22" ht="30" customHeight="1" x14ac:dyDescent="0.25">
      <c r="A338" s="97" t="str">
        <f>IF(B338="","",MAX($A$2:A337)+1)</f>
        <v/>
      </c>
      <c r="B338" s="155"/>
      <c r="C338" s="155"/>
      <c r="D338" s="70"/>
      <c r="E338" s="162"/>
      <c r="F338" s="156"/>
      <c r="G338" s="156"/>
      <c r="H338" s="156"/>
      <c r="I338" s="157"/>
      <c r="J338" s="293"/>
      <c r="K338" s="160"/>
      <c r="L338" s="161"/>
      <c r="M338" s="75"/>
      <c r="N338" s="76"/>
      <c r="O338" s="76"/>
      <c r="P338" s="77"/>
      <c r="Q338" s="77"/>
      <c r="R338" s="77"/>
      <c r="S338" s="88"/>
      <c r="T338" s="71"/>
      <c r="U338" s="37"/>
      <c r="V338" s="36">
        <f t="shared" si="7"/>
        <v>0</v>
      </c>
    </row>
    <row r="339" spans="1:22" ht="30" customHeight="1" x14ac:dyDescent="0.25">
      <c r="A339" s="97" t="str">
        <f>IF(B339="","",MAX($A$2:A338)+1)</f>
        <v/>
      </c>
      <c r="B339" s="155"/>
      <c r="C339" s="155"/>
      <c r="D339" s="70"/>
      <c r="E339" s="162"/>
      <c r="F339" s="156"/>
      <c r="G339" s="156"/>
      <c r="H339" s="156"/>
      <c r="I339" s="157"/>
      <c r="J339" s="293"/>
      <c r="K339" s="160"/>
      <c r="L339" s="161"/>
      <c r="M339" s="75"/>
      <c r="N339" s="76"/>
      <c r="O339" s="76"/>
      <c r="P339" s="77"/>
      <c r="Q339" s="77"/>
      <c r="R339" s="77"/>
      <c r="S339" s="88"/>
      <c r="T339" s="71"/>
      <c r="U339" s="37"/>
      <c r="V339" s="36">
        <f t="shared" si="7"/>
        <v>0</v>
      </c>
    </row>
    <row r="340" spans="1:22" ht="30" customHeight="1" x14ac:dyDescent="0.25">
      <c r="A340" s="97" t="str">
        <f>IF(B340="","",MAX($A$2:A339)+1)</f>
        <v/>
      </c>
      <c r="B340" s="159"/>
      <c r="C340" s="155"/>
      <c r="D340" s="70"/>
      <c r="E340" s="162"/>
      <c r="F340" s="156"/>
      <c r="G340" s="156"/>
      <c r="H340" s="156"/>
      <c r="I340" s="157"/>
      <c r="J340" s="293"/>
      <c r="K340" s="160"/>
      <c r="L340" s="161"/>
      <c r="M340" s="75"/>
      <c r="N340" s="76"/>
      <c r="O340" s="76"/>
      <c r="P340" s="77"/>
      <c r="Q340" s="77"/>
      <c r="R340" s="77"/>
      <c r="S340" s="88"/>
      <c r="T340" s="71"/>
      <c r="U340" s="37"/>
      <c r="V340" s="36">
        <f>COUNTIF($B$2:$B$501,C343)</f>
        <v>0</v>
      </c>
    </row>
    <row r="341" spans="1:22" ht="30" customHeight="1" x14ac:dyDescent="0.25">
      <c r="A341" s="97" t="str">
        <f>IF(B341="","",MAX($A$2:A340)+1)</f>
        <v/>
      </c>
      <c r="B341" s="155"/>
      <c r="C341" s="155"/>
      <c r="D341" s="70"/>
      <c r="E341" s="162"/>
      <c r="F341" s="156"/>
      <c r="G341" s="156"/>
      <c r="H341" s="156"/>
      <c r="I341" s="157"/>
      <c r="J341" s="293"/>
      <c r="K341" s="160"/>
      <c r="L341" s="161"/>
      <c r="M341" s="122"/>
      <c r="N341" s="76"/>
      <c r="O341" s="76"/>
      <c r="P341" s="77"/>
      <c r="Q341" s="77"/>
      <c r="R341" s="77"/>
      <c r="S341" s="88"/>
      <c r="T341" s="71"/>
      <c r="U341" s="37"/>
      <c r="V341" s="36">
        <f t="shared" ref="V341:V404" si="8">COUNTIF($B$2:$B$501,B341)</f>
        <v>0</v>
      </c>
    </row>
    <row r="342" spans="1:22" ht="30" customHeight="1" x14ac:dyDescent="0.25">
      <c r="A342" s="97" t="str">
        <f>IF(B342="","",MAX($A$2:A341)+1)</f>
        <v/>
      </c>
      <c r="B342" s="155"/>
      <c r="C342" s="155"/>
      <c r="D342" s="70"/>
      <c r="E342" s="162"/>
      <c r="F342" s="156"/>
      <c r="G342" s="156"/>
      <c r="H342" s="156"/>
      <c r="I342" s="157"/>
      <c r="J342" s="293"/>
      <c r="K342" s="160"/>
      <c r="L342" s="161"/>
      <c r="M342" s="75"/>
      <c r="N342" s="76"/>
      <c r="O342" s="76"/>
      <c r="P342" s="77"/>
      <c r="Q342" s="77"/>
      <c r="R342" s="77"/>
      <c r="S342" s="88"/>
      <c r="T342" s="71"/>
      <c r="U342" s="37"/>
      <c r="V342" s="36">
        <f t="shared" si="8"/>
        <v>0</v>
      </c>
    </row>
    <row r="343" spans="1:22" ht="30" customHeight="1" x14ac:dyDescent="0.25">
      <c r="A343" s="97" t="str">
        <f>IF(B343="","",MAX($A$2:A342)+1)</f>
        <v/>
      </c>
      <c r="B343" s="155"/>
      <c r="C343" s="155"/>
      <c r="D343" s="70"/>
      <c r="E343" s="162"/>
      <c r="F343" s="156"/>
      <c r="G343" s="156"/>
      <c r="H343" s="156"/>
      <c r="I343" s="157"/>
      <c r="J343" s="293"/>
      <c r="K343" s="160"/>
      <c r="L343" s="161"/>
      <c r="M343" s="75"/>
      <c r="N343" s="76"/>
      <c r="O343" s="76"/>
      <c r="P343" s="77"/>
      <c r="Q343" s="77"/>
      <c r="R343" s="77"/>
      <c r="S343" s="88"/>
      <c r="T343" s="71"/>
      <c r="U343" s="37"/>
      <c r="V343" s="36">
        <f t="shared" si="8"/>
        <v>0</v>
      </c>
    </row>
    <row r="344" spans="1:22" ht="30" customHeight="1" x14ac:dyDescent="0.25">
      <c r="A344" s="97" t="str">
        <f>IF(B344="","",MAX($A$2:A343)+1)</f>
        <v/>
      </c>
      <c r="B344" s="155"/>
      <c r="C344" s="155"/>
      <c r="D344" s="70"/>
      <c r="E344" s="162"/>
      <c r="F344" s="156"/>
      <c r="G344" s="156"/>
      <c r="H344" s="156"/>
      <c r="I344" s="157"/>
      <c r="J344" s="293"/>
      <c r="K344" s="160"/>
      <c r="L344" s="161"/>
      <c r="M344" s="122"/>
      <c r="N344" s="76"/>
      <c r="O344" s="76"/>
      <c r="P344" s="77"/>
      <c r="Q344" s="77"/>
      <c r="R344" s="77"/>
      <c r="S344" s="88"/>
      <c r="T344" s="71"/>
      <c r="U344" s="37"/>
      <c r="V344" s="36">
        <f t="shared" si="8"/>
        <v>0</v>
      </c>
    </row>
    <row r="345" spans="1:22" ht="30" customHeight="1" x14ac:dyDescent="0.25">
      <c r="A345" s="97" t="str">
        <f>IF(B345="","",MAX($A$2:A344)+1)</f>
        <v/>
      </c>
      <c r="B345" s="155"/>
      <c r="C345" s="155"/>
      <c r="D345" s="70"/>
      <c r="E345" s="162"/>
      <c r="F345" s="156"/>
      <c r="G345" s="156"/>
      <c r="H345" s="156"/>
      <c r="I345" s="157"/>
      <c r="J345" s="293"/>
      <c r="K345" s="160"/>
      <c r="L345" s="161"/>
      <c r="M345" s="75"/>
      <c r="N345" s="76"/>
      <c r="O345" s="76"/>
      <c r="P345" s="77"/>
      <c r="Q345" s="77"/>
      <c r="R345" s="77"/>
      <c r="S345" s="88"/>
      <c r="T345" s="71"/>
      <c r="U345" s="37"/>
      <c r="V345" s="36">
        <f t="shared" si="8"/>
        <v>0</v>
      </c>
    </row>
    <row r="346" spans="1:22" ht="30" customHeight="1" x14ac:dyDescent="0.25">
      <c r="A346" s="97" t="str">
        <f>IF(B346="","",MAX($A$2:A345)+1)</f>
        <v/>
      </c>
      <c r="B346" s="155"/>
      <c r="C346" s="155"/>
      <c r="D346" s="70"/>
      <c r="E346" s="162"/>
      <c r="F346" s="156"/>
      <c r="G346" s="156"/>
      <c r="H346" s="156"/>
      <c r="I346" s="157"/>
      <c r="J346" s="293"/>
      <c r="K346" s="160"/>
      <c r="L346" s="161"/>
      <c r="M346" s="75"/>
      <c r="N346" s="76"/>
      <c r="O346" s="76"/>
      <c r="P346" s="77"/>
      <c r="Q346" s="77"/>
      <c r="R346" s="77"/>
      <c r="S346" s="88"/>
      <c r="T346" s="71"/>
      <c r="U346" s="37"/>
      <c r="V346" s="36">
        <f t="shared" si="8"/>
        <v>0</v>
      </c>
    </row>
    <row r="347" spans="1:22" ht="30" customHeight="1" x14ac:dyDescent="0.25">
      <c r="A347" s="97" t="str">
        <f>IF(B347="","",MAX($A$2:A346)+1)</f>
        <v/>
      </c>
      <c r="B347" s="155"/>
      <c r="C347" s="155"/>
      <c r="D347" s="70"/>
      <c r="E347" s="162"/>
      <c r="F347" s="156"/>
      <c r="G347" s="156"/>
      <c r="H347" s="156"/>
      <c r="I347" s="157"/>
      <c r="J347" s="293"/>
      <c r="K347" s="160"/>
      <c r="L347" s="161"/>
      <c r="M347" s="75"/>
      <c r="N347" s="76"/>
      <c r="O347" s="76"/>
      <c r="P347" s="77"/>
      <c r="Q347" s="77"/>
      <c r="R347" s="77"/>
      <c r="S347" s="88"/>
      <c r="T347" s="71"/>
      <c r="U347" s="37"/>
      <c r="V347" s="36">
        <f t="shared" si="8"/>
        <v>0</v>
      </c>
    </row>
    <row r="348" spans="1:22" ht="30" customHeight="1" x14ac:dyDescent="0.25">
      <c r="A348" s="97" t="str">
        <f>IF(B348="","",MAX($A$2:A347)+1)</f>
        <v/>
      </c>
      <c r="B348" s="155"/>
      <c r="C348" s="155"/>
      <c r="D348" s="70"/>
      <c r="E348" s="162"/>
      <c r="F348" s="156"/>
      <c r="G348" s="156"/>
      <c r="H348" s="156"/>
      <c r="I348" s="157"/>
      <c r="J348" s="293"/>
      <c r="K348" s="160"/>
      <c r="L348" s="161"/>
      <c r="M348" s="75"/>
      <c r="N348" s="76"/>
      <c r="O348" s="76"/>
      <c r="P348" s="77"/>
      <c r="Q348" s="77"/>
      <c r="R348" s="77"/>
      <c r="S348" s="88"/>
      <c r="T348" s="71"/>
      <c r="U348" s="37"/>
      <c r="V348" s="36">
        <f t="shared" si="8"/>
        <v>0</v>
      </c>
    </row>
    <row r="349" spans="1:22" ht="30" customHeight="1" x14ac:dyDescent="0.25">
      <c r="A349" s="97" t="str">
        <f>IF(B349="","",MAX($A$2:A348)+1)</f>
        <v/>
      </c>
      <c r="B349" s="155"/>
      <c r="C349" s="155"/>
      <c r="D349" s="70"/>
      <c r="E349" s="162"/>
      <c r="F349" s="156"/>
      <c r="G349" s="156"/>
      <c r="H349" s="156"/>
      <c r="I349" s="157"/>
      <c r="J349" s="293"/>
      <c r="K349" s="160"/>
      <c r="L349" s="161"/>
      <c r="M349" s="75"/>
      <c r="N349" s="76"/>
      <c r="O349" s="76"/>
      <c r="P349" s="77"/>
      <c r="Q349" s="77"/>
      <c r="R349" s="77"/>
      <c r="S349" s="88"/>
      <c r="T349" s="71"/>
      <c r="U349" s="37"/>
      <c r="V349" s="36">
        <f t="shared" si="8"/>
        <v>0</v>
      </c>
    </row>
    <row r="350" spans="1:22" ht="30" customHeight="1" x14ac:dyDescent="0.25">
      <c r="A350" s="97" t="str">
        <f>IF(B350="","",MAX($A$2:A349)+1)</f>
        <v/>
      </c>
      <c r="B350" s="155"/>
      <c r="C350" s="155"/>
      <c r="D350" s="70"/>
      <c r="E350" s="162"/>
      <c r="F350" s="156"/>
      <c r="G350" s="156"/>
      <c r="H350" s="156"/>
      <c r="I350" s="157"/>
      <c r="J350" s="293"/>
      <c r="K350" s="160"/>
      <c r="L350" s="161"/>
      <c r="M350" s="75"/>
      <c r="N350" s="76"/>
      <c r="O350" s="76"/>
      <c r="P350" s="77"/>
      <c r="Q350" s="77"/>
      <c r="R350" s="77"/>
      <c r="S350" s="88"/>
      <c r="T350" s="71"/>
      <c r="U350" s="37"/>
      <c r="V350" s="36">
        <f t="shared" si="8"/>
        <v>0</v>
      </c>
    </row>
    <row r="351" spans="1:22" ht="30" customHeight="1" x14ac:dyDescent="0.25">
      <c r="A351" s="97" t="str">
        <f>IF(B351="","",MAX($A$2:A350)+1)</f>
        <v/>
      </c>
      <c r="B351" s="155"/>
      <c r="C351" s="155"/>
      <c r="D351" s="70"/>
      <c r="E351" s="162"/>
      <c r="F351" s="156"/>
      <c r="G351" s="156"/>
      <c r="H351" s="156"/>
      <c r="I351" s="157"/>
      <c r="J351" s="293"/>
      <c r="K351" s="160"/>
      <c r="L351" s="161"/>
      <c r="M351" s="75"/>
      <c r="N351" s="76"/>
      <c r="O351" s="76"/>
      <c r="P351" s="77"/>
      <c r="Q351" s="77"/>
      <c r="R351" s="77"/>
      <c r="S351" s="88"/>
      <c r="T351" s="71"/>
      <c r="U351" s="37"/>
      <c r="V351" s="36">
        <f t="shared" si="8"/>
        <v>0</v>
      </c>
    </row>
    <row r="352" spans="1:22" ht="30" customHeight="1" x14ac:dyDescent="0.25">
      <c r="A352" s="97" t="str">
        <f>IF(B352="","",MAX($A$2:A351)+1)</f>
        <v/>
      </c>
      <c r="B352" s="155"/>
      <c r="C352" s="155"/>
      <c r="D352" s="70"/>
      <c r="E352" s="162"/>
      <c r="F352" s="156"/>
      <c r="G352" s="156"/>
      <c r="H352" s="156"/>
      <c r="I352" s="157"/>
      <c r="J352" s="293"/>
      <c r="K352" s="160"/>
      <c r="L352" s="161"/>
      <c r="M352" s="75"/>
      <c r="N352" s="76"/>
      <c r="O352" s="76"/>
      <c r="P352" s="77"/>
      <c r="Q352" s="77"/>
      <c r="R352" s="77"/>
      <c r="S352" s="88"/>
      <c r="T352" s="71"/>
      <c r="U352" s="37"/>
      <c r="V352" s="36">
        <f t="shared" si="8"/>
        <v>0</v>
      </c>
    </row>
    <row r="353" spans="1:22" ht="30" customHeight="1" x14ac:dyDescent="0.25">
      <c r="A353" s="97" t="str">
        <f>IF(B353="","",MAX($A$2:A352)+1)</f>
        <v/>
      </c>
      <c r="B353" s="155"/>
      <c r="C353" s="155"/>
      <c r="D353" s="70"/>
      <c r="E353" s="162"/>
      <c r="F353" s="156"/>
      <c r="G353" s="156"/>
      <c r="H353" s="156"/>
      <c r="I353" s="157"/>
      <c r="J353" s="293"/>
      <c r="K353" s="160"/>
      <c r="L353" s="161"/>
      <c r="M353" s="122"/>
      <c r="N353" s="76"/>
      <c r="O353" s="76"/>
      <c r="P353" s="77"/>
      <c r="Q353" s="77"/>
      <c r="R353" s="77"/>
      <c r="S353" s="88"/>
      <c r="T353" s="71"/>
      <c r="U353" s="37"/>
      <c r="V353" s="36">
        <f t="shared" si="8"/>
        <v>0</v>
      </c>
    </row>
    <row r="354" spans="1:22" ht="30" customHeight="1" x14ac:dyDescent="0.25">
      <c r="A354" s="97" t="str">
        <f>IF(B354="","",MAX($A$2:A353)+1)</f>
        <v/>
      </c>
      <c r="B354" s="155"/>
      <c r="C354" s="155"/>
      <c r="D354" s="158"/>
      <c r="E354" s="162"/>
      <c r="F354" s="156"/>
      <c r="G354" s="156"/>
      <c r="H354" s="156"/>
      <c r="I354" s="157"/>
      <c r="J354" s="293"/>
      <c r="K354" s="160"/>
      <c r="L354" s="161"/>
      <c r="M354" s="75"/>
      <c r="N354" s="76"/>
      <c r="O354" s="76"/>
      <c r="P354" s="77"/>
      <c r="Q354" s="77"/>
      <c r="R354" s="77"/>
      <c r="S354" s="88"/>
      <c r="T354" s="71"/>
      <c r="U354" s="37"/>
      <c r="V354" s="36">
        <f t="shared" si="8"/>
        <v>0</v>
      </c>
    </row>
    <row r="355" spans="1:22" ht="30" customHeight="1" x14ac:dyDescent="0.25">
      <c r="A355" s="97" t="str">
        <f>IF(B355="","",MAX($A$2:A354)+1)</f>
        <v/>
      </c>
      <c r="B355" s="155"/>
      <c r="C355" s="155"/>
      <c r="D355" s="70"/>
      <c r="E355" s="162"/>
      <c r="F355" s="156"/>
      <c r="G355" s="156"/>
      <c r="H355" s="156"/>
      <c r="I355" s="157"/>
      <c r="J355" s="293"/>
      <c r="K355" s="160"/>
      <c r="L355" s="161"/>
      <c r="M355" s="75"/>
      <c r="N355" s="76"/>
      <c r="O355" s="76"/>
      <c r="P355" s="77"/>
      <c r="Q355" s="77"/>
      <c r="R355" s="77"/>
      <c r="S355" s="88"/>
      <c r="T355" s="71"/>
      <c r="U355" s="37"/>
      <c r="V355" s="36">
        <f t="shared" si="8"/>
        <v>0</v>
      </c>
    </row>
    <row r="356" spans="1:22" ht="30" customHeight="1" x14ac:dyDescent="0.25">
      <c r="A356" s="97" t="str">
        <f>IF(B356="","",MAX($A$2:A355)+1)</f>
        <v/>
      </c>
      <c r="B356" s="155"/>
      <c r="C356" s="155"/>
      <c r="D356" s="70"/>
      <c r="E356" s="162"/>
      <c r="F356" s="156"/>
      <c r="G356" s="156"/>
      <c r="H356" s="156"/>
      <c r="I356" s="157"/>
      <c r="J356" s="293"/>
      <c r="K356" s="160"/>
      <c r="L356" s="161"/>
      <c r="M356" s="122"/>
      <c r="N356" s="76"/>
      <c r="O356" s="76"/>
      <c r="P356" s="77"/>
      <c r="Q356" s="77"/>
      <c r="R356" s="77"/>
      <c r="S356" s="88"/>
      <c r="T356" s="71"/>
      <c r="U356" s="37"/>
      <c r="V356" s="36">
        <f t="shared" si="8"/>
        <v>0</v>
      </c>
    </row>
    <row r="357" spans="1:22" ht="30" customHeight="1" x14ac:dyDescent="0.25">
      <c r="A357" s="97" t="str">
        <f>IF(B357="","",MAX($A$2:A356)+1)</f>
        <v/>
      </c>
      <c r="B357" s="155"/>
      <c r="C357" s="155"/>
      <c r="D357" s="70"/>
      <c r="E357" s="162"/>
      <c r="F357" s="156"/>
      <c r="G357" s="156"/>
      <c r="H357" s="156"/>
      <c r="I357" s="157"/>
      <c r="J357" s="293"/>
      <c r="K357" s="160"/>
      <c r="L357" s="161"/>
      <c r="M357" s="75"/>
      <c r="N357" s="76"/>
      <c r="O357" s="76"/>
      <c r="P357" s="77"/>
      <c r="Q357" s="77"/>
      <c r="R357" s="77"/>
      <c r="S357" s="88"/>
      <c r="T357" s="71"/>
      <c r="U357" s="37"/>
      <c r="V357" s="36">
        <f t="shared" si="8"/>
        <v>0</v>
      </c>
    </row>
    <row r="358" spans="1:22" ht="30" customHeight="1" x14ac:dyDescent="0.25">
      <c r="A358" s="97" t="str">
        <f>IF(B358="","",MAX($A$2:A357)+1)</f>
        <v/>
      </c>
      <c r="B358" s="155"/>
      <c r="C358" s="155"/>
      <c r="D358" s="70"/>
      <c r="E358" s="162"/>
      <c r="F358" s="156"/>
      <c r="G358" s="156"/>
      <c r="H358" s="156"/>
      <c r="I358" s="157"/>
      <c r="J358" s="293"/>
      <c r="K358" s="160"/>
      <c r="L358" s="161"/>
      <c r="M358" s="75"/>
      <c r="N358" s="76"/>
      <c r="O358" s="76"/>
      <c r="P358" s="77"/>
      <c r="Q358" s="77"/>
      <c r="R358" s="77"/>
      <c r="S358" s="88"/>
      <c r="T358" s="71"/>
      <c r="U358" s="37"/>
      <c r="V358" s="36">
        <f t="shared" si="8"/>
        <v>0</v>
      </c>
    </row>
    <row r="359" spans="1:22" ht="30" customHeight="1" x14ac:dyDescent="0.25">
      <c r="A359" s="97" t="str">
        <f>IF(B359="","",MAX($A$2:A358)+1)</f>
        <v/>
      </c>
      <c r="B359" s="155"/>
      <c r="C359" s="155"/>
      <c r="D359" s="70"/>
      <c r="E359" s="162"/>
      <c r="F359" s="156"/>
      <c r="G359" s="156"/>
      <c r="H359" s="156"/>
      <c r="I359" s="157"/>
      <c r="J359" s="293"/>
      <c r="K359" s="160"/>
      <c r="L359" s="161"/>
      <c r="M359" s="75"/>
      <c r="N359" s="76"/>
      <c r="O359" s="76"/>
      <c r="P359" s="77"/>
      <c r="Q359" s="77"/>
      <c r="R359" s="77"/>
      <c r="S359" s="88"/>
      <c r="T359" s="71"/>
      <c r="U359" s="37"/>
      <c r="V359" s="36">
        <f t="shared" si="8"/>
        <v>0</v>
      </c>
    </row>
    <row r="360" spans="1:22" ht="30" customHeight="1" x14ac:dyDescent="0.25">
      <c r="A360" s="97" t="str">
        <f>IF(B360="","",MAX($A$2:A359)+1)</f>
        <v/>
      </c>
      <c r="B360" s="155"/>
      <c r="C360" s="155"/>
      <c r="D360" s="70"/>
      <c r="E360" s="162"/>
      <c r="F360" s="156"/>
      <c r="G360" s="156"/>
      <c r="H360" s="156"/>
      <c r="I360" s="157"/>
      <c r="J360" s="293"/>
      <c r="K360" s="160"/>
      <c r="L360" s="161"/>
      <c r="M360" s="75"/>
      <c r="N360" s="76"/>
      <c r="O360" s="76"/>
      <c r="P360" s="77"/>
      <c r="Q360" s="77"/>
      <c r="R360" s="77"/>
      <c r="S360" s="88"/>
      <c r="T360" s="71"/>
      <c r="U360" s="37"/>
      <c r="V360" s="36">
        <f t="shared" si="8"/>
        <v>0</v>
      </c>
    </row>
    <row r="361" spans="1:22" ht="30" customHeight="1" x14ac:dyDescent="0.25">
      <c r="A361" s="97" t="str">
        <f>IF(B361="","",MAX($A$2:A360)+1)</f>
        <v/>
      </c>
      <c r="B361" s="72"/>
      <c r="C361" s="72"/>
      <c r="D361" s="90"/>
      <c r="E361" s="73"/>
      <c r="F361" s="74"/>
      <c r="G361" s="74"/>
      <c r="H361" s="74"/>
      <c r="I361" s="86"/>
      <c r="J361" s="294"/>
      <c r="K361" s="99"/>
      <c r="L361" s="100"/>
      <c r="M361" s="75"/>
      <c r="N361" s="76"/>
      <c r="O361" s="76"/>
      <c r="P361" s="77"/>
      <c r="Q361" s="77"/>
      <c r="R361" s="77"/>
      <c r="S361" s="88"/>
      <c r="T361" s="71"/>
      <c r="U361" s="37"/>
      <c r="V361" s="36">
        <f t="shared" si="8"/>
        <v>0</v>
      </c>
    </row>
    <row r="362" spans="1:22" ht="30" customHeight="1" x14ac:dyDescent="0.25">
      <c r="A362" s="97" t="str">
        <f>IF(B362="","",MAX($A$2:A361)+1)</f>
        <v/>
      </c>
      <c r="B362" s="72"/>
      <c r="C362" s="72"/>
      <c r="D362" s="90"/>
      <c r="E362" s="73"/>
      <c r="F362" s="74"/>
      <c r="G362" s="74"/>
      <c r="H362" s="74"/>
      <c r="I362" s="86"/>
      <c r="J362" s="294"/>
      <c r="K362" s="99"/>
      <c r="L362" s="100"/>
      <c r="M362" s="75"/>
      <c r="N362" s="76"/>
      <c r="O362" s="76"/>
      <c r="P362" s="77"/>
      <c r="Q362" s="77"/>
      <c r="R362" s="77"/>
      <c r="S362" s="88"/>
      <c r="T362" s="71"/>
      <c r="U362" s="37"/>
      <c r="V362" s="36">
        <f t="shared" si="8"/>
        <v>0</v>
      </c>
    </row>
    <row r="363" spans="1:22" ht="30" customHeight="1" x14ac:dyDescent="0.25">
      <c r="A363" s="97" t="str">
        <f>IF(B363="","",MAX($A$2:A362)+1)</f>
        <v/>
      </c>
      <c r="B363" s="72"/>
      <c r="C363" s="72"/>
      <c r="D363" s="90"/>
      <c r="E363" s="73"/>
      <c r="F363" s="74"/>
      <c r="G363" s="74"/>
      <c r="H363" s="74"/>
      <c r="I363" s="86"/>
      <c r="J363" s="294"/>
      <c r="K363" s="99"/>
      <c r="L363" s="100"/>
      <c r="M363" s="75"/>
      <c r="N363" s="76"/>
      <c r="O363" s="76"/>
      <c r="P363" s="77"/>
      <c r="Q363" s="77"/>
      <c r="R363" s="77"/>
      <c r="S363" s="88"/>
      <c r="T363" s="71"/>
      <c r="U363" s="37"/>
      <c r="V363" s="36">
        <f t="shared" si="8"/>
        <v>0</v>
      </c>
    </row>
    <row r="364" spans="1:22" ht="30" customHeight="1" x14ac:dyDescent="0.25">
      <c r="A364" s="97" t="str">
        <f>IF(B364="","",MAX($A$2:A363)+1)</f>
        <v/>
      </c>
      <c r="B364" s="72"/>
      <c r="C364" s="72"/>
      <c r="D364" s="90"/>
      <c r="E364" s="73"/>
      <c r="F364" s="74"/>
      <c r="G364" s="74"/>
      <c r="H364" s="74"/>
      <c r="I364" s="86"/>
      <c r="J364" s="294"/>
      <c r="K364" s="99"/>
      <c r="L364" s="100"/>
      <c r="M364" s="75"/>
      <c r="N364" s="76"/>
      <c r="O364" s="76"/>
      <c r="P364" s="77"/>
      <c r="Q364" s="77"/>
      <c r="R364" s="77"/>
      <c r="S364" s="88"/>
      <c r="T364" s="71"/>
      <c r="U364" s="37"/>
      <c r="V364" s="36">
        <f t="shared" si="8"/>
        <v>0</v>
      </c>
    </row>
    <row r="365" spans="1:22" ht="30" customHeight="1" x14ac:dyDescent="0.25">
      <c r="A365" s="97" t="str">
        <f>IF(B365="","",MAX($A$2:A364)+1)</f>
        <v/>
      </c>
      <c r="B365" s="72"/>
      <c r="C365" s="72"/>
      <c r="D365" s="90"/>
      <c r="E365" s="73"/>
      <c r="F365" s="74"/>
      <c r="G365" s="74"/>
      <c r="H365" s="74"/>
      <c r="I365" s="86"/>
      <c r="J365" s="294"/>
      <c r="K365" s="99"/>
      <c r="L365" s="100"/>
      <c r="M365" s="75"/>
      <c r="N365" s="76"/>
      <c r="O365" s="76"/>
      <c r="P365" s="77"/>
      <c r="Q365" s="77"/>
      <c r="R365" s="77"/>
      <c r="S365" s="88"/>
      <c r="T365" s="71"/>
      <c r="U365" s="37"/>
      <c r="V365" s="36">
        <f t="shared" si="8"/>
        <v>0</v>
      </c>
    </row>
    <row r="366" spans="1:22" ht="30" customHeight="1" x14ac:dyDescent="0.25">
      <c r="A366" s="97" t="str">
        <f>IF(B366="","",MAX($A$2:A365)+1)</f>
        <v/>
      </c>
      <c r="B366" s="72"/>
      <c r="C366" s="72"/>
      <c r="D366" s="90"/>
      <c r="E366" s="73"/>
      <c r="F366" s="74"/>
      <c r="G366" s="74"/>
      <c r="H366" s="74"/>
      <c r="I366" s="86"/>
      <c r="J366" s="294"/>
      <c r="K366" s="99"/>
      <c r="L366" s="100"/>
      <c r="M366" s="75"/>
      <c r="N366" s="76"/>
      <c r="O366" s="76"/>
      <c r="P366" s="77"/>
      <c r="Q366" s="77"/>
      <c r="R366" s="77"/>
      <c r="S366" s="88"/>
      <c r="T366" s="71"/>
      <c r="U366" s="37"/>
      <c r="V366" s="36">
        <f t="shared" si="8"/>
        <v>0</v>
      </c>
    </row>
    <row r="367" spans="1:22" ht="30" customHeight="1" x14ac:dyDescent="0.25">
      <c r="A367" s="97" t="str">
        <f>IF(B367="","",MAX($A$2:A366)+1)</f>
        <v/>
      </c>
      <c r="B367" s="72"/>
      <c r="C367" s="72"/>
      <c r="D367" s="90"/>
      <c r="E367" s="73"/>
      <c r="F367" s="74"/>
      <c r="G367" s="74"/>
      <c r="H367" s="74"/>
      <c r="I367" s="86"/>
      <c r="J367" s="294"/>
      <c r="K367" s="99"/>
      <c r="L367" s="100"/>
      <c r="M367" s="75"/>
      <c r="N367" s="76"/>
      <c r="O367" s="76"/>
      <c r="P367" s="77"/>
      <c r="Q367" s="77"/>
      <c r="R367" s="77"/>
      <c r="S367" s="88"/>
      <c r="T367" s="71"/>
      <c r="U367" s="37"/>
      <c r="V367" s="36">
        <f t="shared" si="8"/>
        <v>0</v>
      </c>
    </row>
    <row r="368" spans="1:22" ht="30" customHeight="1" x14ac:dyDescent="0.25">
      <c r="A368" s="97" t="str">
        <f>IF(B368="","",MAX($A$2:A367)+1)</f>
        <v/>
      </c>
      <c r="B368" s="102"/>
      <c r="C368" s="72"/>
      <c r="D368" s="90"/>
      <c r="E368" s="73"/>
      <c r="F368" s="74"/>
      <c r="G368" s="74"/>
      <c r="H368" s="74"/>
      <c r="I368" s="86"/>
      <c r="J368" s="294"/>
      <c r="K368" s="99"/>
      <c r="L368" s="100"/>
      <c r="M368" s="75"/>
      <c r="N368" s="76"/>
      <c r="O368" s="76"/>
      <c r="P368" s="77"/>
      <c r="Q368" s="77"/>
      <c r="R368" s="77"/>
      <c r="S368" s="88"/>
      <c r="T368" s="71"/>
      <c r="U368" s="37"/>
      <c r="V368" s="36">
        <f t="shared" si="8"/>
        <v>0</v>
      </c>
    </row>
    <row r="369" spans="1:22" ht="30" customHeight="1" x14ac:dyDescent="0.25">
      <c r="A369" s="97" t="str">
        <f>IF(B369="","",MAX($A$2:A368)+1)</f>
        <v/>
      </c>
      <c r="B369" s="72"/>
      <c r="C369" s="72"/>
      <c r="D369" s="90"/>
      <c r="E369" s="73"/>
      <c r="F369" s="74"/>
      <c r="G369" s="74"/>
      <c r="H369" s="74"/>
      <c r="I369" s="86"/>
      <c r="J369" s="294"/>
      <c r="K369" s="99"/>
      <c r="L369" s="100"/>
      <c r="M369" s="75"/>
      <c r="N369" s="76"/>
      <c r="O369" s="76"/>
      <c r="P369" s="77"/>
      <c r="Q369" s="77"/>
      <c r="R369" s="77"/>
      <c r="S369" s="88"/>
      <c r="T369" s="71"/>
      <c r="U369" s="37"/>
      <c r="V369" s="36">
        <f t="shared" si="8"/>
        <v>0</v>
      </c>
    </row>
    <row r="370" spans="1:22" ht="30" customHeight="1" x14ac:dyDescent="0.25">
      <c r="A370" s="97" t="str">
        <f>IF(B370="","",MAX($A$2:A369)+1)</f>
        <v/>
      </c>
      <c r="B370" s="72"/>
      <c r="C370" s="72"/>
      <c r="D370" s="90"/>
      <c r="E370" s="73"/>
      <c r="F370" s="74"/>
      <c r="G370" s="74"/>
      <c r="H370" s="74"/>
      <c r="I370" s="86"/>
      <c r="J370" s="294"/>
      <c r="K370" s="99"/>
      <c r="L370" s="100"/>
      <c r="M370" s="75"/>
      <c r="N370" s="76"/>
      <c r="O370" s="76"/>
      <c r="P370" s="77"/>
      <c r="Q370" s="77"/>
      <c r="R370" s="77"/>
      <c r="S370" s="88"/>
      <c r="T370" s="71"/>
      <c r="U370" s="37"/>
      <c r="V370" s="36">
        <f t="shared" si="8"/>
        <v>0</v>
      </c>
    </row>
    <row r="371" spans="1:22" ht="30" customHeight="1" x14ac:dyDescent="0.25">
      <c r="A371" s="97" t="str">
        <f>IF(B371="","",MAX($A$2:A370)+1)</f>
        <v/>
      </c>
      <c r="B371" s="72"/>
      <c r="C371" s="72"/>
      <c r="D371" s="90"/>
      <c r="E371" s="73"/>
      <c r="F371" s="74"/>
      <c r="G371" s="74"/>
      <c r="H371" s="74"/>
      <c r="I371" s="86"/>
      <c r="J371" s="294"/>
      <c r="K371" s="99"/>
      <c r="L371" s="100"/>
      <c r="M371" s="75"/>
      <c r="N371" s="76"/>
      <c r="O371" s="76"/>
      <c r="P371" s="77"/>
      <c r="Q371" s="77"/>
      <c r="R371" s="77"/>
      <c r="S371" s="88"/>
      <c r="T371" s="71"/>
      <c r="U371" s="37"/>
      <c r="V371" s="36">
        <f t="shared" si="8"/>
        <v>0</v>
      </c>
    </row>
    <row r="372" spans="1:22" ht="30" customHeight="1" x14ac:dyDescent="0.25">
      <c r="A372" s="97" t="str">
        <f>IF(B372="","",MAX($A$2:A371)+1)</f>
        <v/>
      </c>
      <c r="B372" s="72"/>
      <c r="C372" s="72"/>
      <c r="D372" s="90"/>
      <c r="E372" s="73"/>
      <c r="F372" s="74"/>
      <c r="G372" s="74"/>
      <c r="H372" s="74"/>
      <c r="I372" s="86"/>
      <c r="J372" s="294"/>
      <c r="K372" s="99"/>
      <c r="L372" s="100"/>
      <c r="M372" s="75"/>
      <c r="N372" s="76"/>
      <c r="O372" s="76"/>
      <c r="P372" s="77"/>
      <c r="Q372" s="77"/>
      <c r="R372" s="77"/>
      <c r="S372" s="88"/>
      <c r="T372" s="71"/>
      <c r="U372" s="37"/>
      <c r="V372" s="36">
        <f t="shared" si="8"/>
        <v>0</v>
      </c>
    </row>
    <row r="373" spans="1:22" ht="30" customHeight="1" x14ac:dyDescent="0.25">
      <c r="A373" s="97" t="str">
        <f>IF(B373="","",MAX($A$2:A372)+1)</f>
        <v/>
      </c>
      <c r="B373" s="72"/>
      <c r="C373" s="72"/>
      <c r="D373" s="90"/>
      <c r="E373" s="73"/>
      <c r="F373" s="74"/>
      <c r="G373" s="74"/>
      <c r="H373" s="74"/>
      <c r="I373" s="86"/>
      <c r="J373" s="294"/>
      <c r="K373" s="99"/>
      <c r="L373" s="100"/>
      <c r="M373" s="75"/>
      <c r="N373" s="76"/>
      <c r="O373" s="76"/>
      <c r="P373" s="77"/>
      <c r="Q373" s="77"/>
      <c r="R373" s="77"/>
      <c r="S373" s="88"/>
      <c r="T373" s="71"/>
      <c r="U373" s="37"/>
      <c r="V373" s="36">
        <f t="shared" si="8"/>
        <v>0</v>
      </c>
    </row>
    <row r="374" spans="1:22" ht="30" customHeight="1" x14ac:dyDescent="0.25">
      <c r="A374" s="97" t="str">
        <f>IF(B374="","",MAX($A$2:A373)+1)</f>
        <v/>
      </c>
      <c r="B374" s="72"/>
      <c r="C374" s="72"/>
      <c r="D374" s="90"/>
      <c r="E374" s="73"/>
      <c r="F374" s="74"/>
      <c r="G374" s="74"/>
      <c r="H374" s="74"/>
      <c r="I374" s="86"/>
      <c r="J374" s="294"/>
      <c r="K374" s="99"/>
      <c r="L374" s="100"/>
      <c r="M374" s="75"/>
      <c r="N374" s="76"/>
      <c r="O374" s="76"/>
      <c r="P374" s="77"/>
      <c r="Q374" s="77"/>
      <c r="R374" s="77"/>
      <c r="S374" s="88"/>
      <c r="T374" s="71"/>
      <c r="U374" s="37"/>
      <c r="V374" s="36">
        <f t="shared" si="8"/>
        <v>0</v>
      </c>
    </row>
    <row r="375" spans="1:22" ht="30" customHeight="1" x14ac:dyDescent="0.25">
      <c r="A375" s="97" t="str">
        <f>IF(B375="","",MAX($A$2:A374)+1)</f>
        <v/>
      </c>
      <c r="B375" s="72"/>
      <c r="C375" s="72"/>
      <c r="D375" s="90"/>
      <c r="E375" s="73"/>
      <c r="F375" s="74"/>
      <c r="G375" s="74"/>
      <c r="H375" s="74"/>
      <c r="I375" s="86"/>
      <c r="J375" s="294"/>
      <c r="K375" s="99"/>
      <c r="L375" s="100"/>
      <c r="M375" s="75"/>
      <c r="N375" s="76"/>
      <c r="O375" s="76"/>
      <c r="P375" s="77"/>
      <c r="Q375" s="77"/>
      <c r="R375" s="77"/>
      <c r="S375" s="88"/>
      <c r="T375" s="71"/>
      <c r="U375" s="37"/>
      <c r="V375" s="36">
        <f t="shared" si="8"/>
        <v>0</v>
      </c>
    </row>
    <row r="376" spans="1:22" ht="30" customHeight="1" x14ac:dyDescent="0.25">
      <c r="A376" s="97" t="str">
        <f>IF(B376="","",MAX($A$2:A375)+1)</f>
        <v/>
      </c>
      <c r="B376" s="72"/>
      <c r="C376" s="72"/>
      <c r="D376" s="90"/>
      <c r="E376" s="73"/>
      <c r="F376" s="74"/>
      <c r="G376" s="74"/>
      <c r="H376" s="74"/>
      <c r="I376" s="86"/>
      <c r="J376" s="294"/>
      <c r="K376" s="99"/>
      <c r="L376" s="100"/>
      <c r="M376" s="75"/>
      <c r="N376" s="76"/>
      <c r="O376" s="76"/>
      <c r="P376" s="77"/>
      <c r="Q376" s="77"/>
      <c r="R376" s="77"/>
      <c r="S376" s="88"/>
      <c r="T376" s="71"/>
      <c r="U376" s="37"/>
      <c r="V376" s="36">
        <f t="shared" si="8"/>
        <v>0</v>
      </c>
    </row>
    <row r="377" spans="1:22" ht="30" customHeight="1" x14ac:dyDescent="0.25">
      <c r="A377" s="97" t="str">
        <f>IF(B377="","",MAX($A$2:A376)+1)</f>
        <v/>
      </c>
      <c r="B377" s="102"/>
      <c r="C377" s="102"/>
      <c r="D377" s="91"/>
      <c r="E377" s="118"/>
      <c r="F377" s="78"/>
      <c r="G377" s="78"/>
      <c r="H377" s="78"/>
      <c r="I377" s="119"/>
      <c r="J377" s="295"/>
      <c r="K377" s="120"/>
      <c r="L377" s="121"/>
      <c r="M377" s="122"/>
      <c r="N377" s="76"/>
      <c r="O377" s="76"/>
      <c r="P377" s="77"/>
      <c r="Q377" s="77"/>
      <c r="R377" s="77"/>
      <c r="S377" s="88"/>
      <c r="T377" s="71"/>
      <c r="U377" s="37"/>
      <c r="V377" s="36">
        <f t="shared" si="8"/>
        <v>0</v>
      </c>
    </row>
    <row r="378" spans="1:22" ht="30" customHeight="1" x14ac:dyDescent="0.25">
      <c r="A378" s="97" t="str">
        <f>IF(B378="","",MAX($A$2:A377)+1)</f>
        <v/>
      </c>
      <c r="B378" s="72"/>
      <c r="C378" s="72"/>
      <c r="D378" s="90"/>
      <c r="E378" s="73"/>
      <c r="F378" s="74"/>
      <c r="G378" s="74"/>
      <c r="H378" s="74"/>
      <c r="I378" s="86"/>
      <c r="J378" s="294"/>
      <c r="K378" s="99"/>
      <c r="L378" s="100"/>
      <c r="M378" s="75"/>
      <c r="N378" s="76"/>
      <c r="O378" s="76"/>
      <c r="P378" s="77"/>
      <c r="Q378" s="77"/>
      <c r="R378" s="77"/>
      <c r="S378" s="88"/>
      <c r="T378" s="71"/>
      <c r="U378" s="37"/>
      <c r="V378" s="36">
        <f t="shared" si="8"/>
        <v>0</v>
      </c>
    </row>
    <row r="379" spans="1:22" ht="30" customHeight="1" x14ac:dyDescent="0.25">
      <c r="A379" s="97" t="str">
        <f>IF(B379="","",MAX($A$2:A378)+1)</f>
        <v/>
      </c>
      <c r="B379" s="72"/>
      <c r="C379" s="72"/>
      <c r="D379" s="90"/>
      <c r="E379" s="73"/>
      <c r="F379" s="74"/>
      <c r="G379" s="74"/>
      <c r="H379" s="74"/>
      <c r="I379" s="86"/>
      <c r="J379" s="294"/>
      <c r="K379" s="99"/>
      <c r="L379" s="100"/>
      <c r="M379" s="75"/>
      <c r="N379" s="76"/>
      <c r="O379" s="76"/>
      <c r="P379" s="77"/>
      <c r="Q379" s="77"/>
      <c r="R379" s="77"/>
      <c r="S379" s="88"/>
      <c r="T379" s="71"/>
      <c r="U379" s="37"/>
      <c r="V379" s="36">
        <f t="shared" si="8"/>
        <v>0</v>
      </c>
    </row>
    <row r="380" spans="1:22" ht="30" customHeight="1" x14ac:dyDescent="0.25">
      <c r="A380" s="97" t="str">
        <f>IF(B380="","",MAX($A$2:A379)+1)</f>
        <v/>
      </c>
      <c r="B380" s="72"/>
      <c r="C380" s="72"/>
      <c r="D380" s="90"/>
      <c r="E380" s="73"/>
      <c r="F380" s="74"/>
      <c r="G380" s="74"/>
      <c r="H380" s="74"/>
      <c r="I380" s="86"/>
      <c r="J380" s="294"/>
      <c r="K380" s="99"/>
      <c r="L380" s="100"/>
      <c r="M380" s="75"/>
      <c r="N380" s="76"/>
      <c r="O380" s="76"/>
      <c r="P380" s="77"/>
      <c r="Q380" s="77"/>
      <c r="R380" s="77"/>
      <c r="S380" s="88"/>
      <c r="T380" s="71"/>
      <c r="U380" s="37"/>
      <c r="V380" s="36">
        <f t="shared" si="8"/>
        <v>0</v>
      </c>
    </row>
    <row r="381" spans="1:22" ht="30" customHeight="1" x14ac:dyDescent="0.25">
      <c r="A381" s="97" t="str">
        <f>IF(B381="","",MAX($A$2:A380)+1)</f>
        <v/>
      </c>
      <c r="B381" s="72"/>
      <c r="C381" s="72"/>
      <c r="D381" s="90"/>
      <c r="E381" s="73"/>
      <c r="F381" s="74"/>
      <c r="G381" s="74"/>
      <c r="H381" s="74"/>
      <c r="I381" s="86"/>
      <c r="J381" s="294"/>
      <c r="K381" s="99"/>
      <c r="L381" s="100"/>
      <c r="M381" s="75"/>
      <c r="N381" s="76"/>
      <c r="O381" s="76"/>
      <c r="P381" s="77"/>
      <c r="Q381" s="77"/>
      <c r="R381" s="77"/>
      <c r="S381" s="88"/>
      <c r="T381" s="71"/>
      <c r="U381" s="37"/>
      <c r="V381" s="36">
        <f t="shared" si="8"/>
        <v>0</v>
      </c>
    </row>
    <row r="382" spans="1:22" ht="30" customHeight="1" x14ac:dyDescent="0.25">
      <c r="A382" s="97" t="str">
        <f>IF(B382="","",MAX($A$2:A381)+1)</f>
        <v/>
      </c>
      <c r="B382" s="102"/>
      <c r="C382" s="102"/>
      <c r="D382" s="90"/>
      <c r="E382" s="73"/>
      <c r="F382" s="74"/>
      <c r="G382" s="74"/>
      <c r="H382" s="74"/>
      <c r="I382" s="86"/>
      <c r="J382" s="294"/>
      <c r="K382" s="99"/>
      <c r="L382" s="100"/>
      <c r="M382" s="75"/>
      <c r="N382" s="76"/>
      <c r="O382" s="76"/>
      <c r="P382" s="77"/>
      <c r="Q382" s="77"/>
      <c r="R382" s="77"/>
      <c r="S382" s="88"/>
      <c r="T382" s="71"/>
      <c r="U382" s="37"/>
      <c r="V382" s="36">
        <f t="shared" si="8"/>
        <v>0</v>
      </c>
    </row>
    <row r="383" spans="1:22" ht="30" customHeight="1" x14ac:dyDescent="0.25">
      <c r="A383" s="97" t="str">
        <f>IF(B383="","",MAX($A$2:A382)+1)</f>
        <v/>
      </c>
      <c r="B383" s="72"/>
      <c r="C383" s="72"/>
      <c r="D383" s="90"/>
      <c r="E383" s="73"/>
      <c r="F383" s="74"/>
      <c r="G383" s="74"/>
      <c r="H383" s="74"/>
      <c r="I383" s="86"/>
      <c r="J383" s="294"/>
      <c r="K383" s="99"/>
      <c r="L383" s="100"/>
      <c r="M383" s="75"/>
      <c r="N383" s="76"/>
      <c r="O383" s="76"/>
      <c r="P383" s="77"/>
      <c r="Q383" s="77"/>
      <c r="R383" s="77"/>
      <c r="S383" s="88"/>
      <c r="T383" s="71"/>
      <c r="U383" s="37"/>
      <c r="V383" s="36">
        <f t="shared" si="8"/>
        <v>0</v>
      </c>
    </row>
    <row r="384" spans="1:22" ht="30" customHeight="1" x14ac:dyDescent="0.25">
      <c r="A384" s="97" t="str">
        <f>IF(B384="","",MAX($A$2:A383)+1)</f>
        <v/>
      </c>
      <c r="B384" s="72"/>
      <c r="C384" s="72"/>
      <c r="D384" s="90"/>
      <c r="E384" s="73"/>
      <c r="F384" s="74"/>
      <c r="G384" s="74"/>
      <c r="H384" s="74"/>
      <c r="I384" s="86"/>
      <c r="J384" s="294"/>
      <c r="K384" s="99"/>
      <c r="L384" s="100"/>
      <c r="M384" s="75"/>
      <c r="N384" s="76"/>
      <c r="O384" s="76"/>
      <c r="P384" s="77"/>
      <c r="Q384" s="77"/>
      <c r="R384" s="77"/>
      <c r="S384" s="88"/>
      <c r="T384" s="71"/>
      <c r="U384" s="37"/>
      <c r="V384" s="36">
        <f t="shared" si="8"/>
        <v>0</v>
      </c>
    </row>
    <row r="385" spans="1:22" ht="30" customHeight="1" x14ac:dyDescent="0.25">
      <c r="A385" s="97" t="str">
        <f>IF(B385="","",MAX($A$2:A384)+1)</f>
        <v/>
      </c>
      <c r="B385" s="102"/>
      <c r="C385" s="102"/>
      <c r="D385" s="91"/>
      <c r="E385" s="118"/>
      <c r="F385" s="78"/>
      <c r="G385" s="78"/>
      <c r="H385" s="78"/>
      <c r="I385" s="119"/>
      <c r="J385" s="295"/>
      <c r="K385" s="120"/>
      <c r="L385" s="121"/>
      <c r="M385" s="122"/>
      <c r="N385" s="76"/>
      <c r="O385" s="76"/>
      <c r="P385" s="77"/>
      <c r="Q385" s="77"/>
      <c r="R385" s="77"/>
      <c r="S385" s="88"/>
      <c r="T385" s="71"/>
      <c r="U385" s="37"/>
      <c r="V385" s="36">
        <f t="shared" si="8"/>
        <v>0</v>
      </c>
    </row>
    <row r="386" spans="1:22" ht="30" customHeight="1" x14ac:dyDescent="0.25">
      <c r="A386" s="97" t="str">
        <f>IF(B386="","",MAX($A$2:A385)+1)</f>
        <v/>
      </c>
      <c r="B386" s="72"/>
      <c r="C386" s="72"/>
      <c r="D386" s="90"/>
      <c r="E386" s="73"/>
      <c r="F386" s="74"/>
      <c r="G386" s="74"/>
      <c r="H386" s="74"/>
      <c r="I386" s="86"/>
      <c r="J386" s="294"/>
      <c r="K386" s="99"/>
      <c r="L386" s="100"/>
      <c r="M386" s="75"/>
      <c r="N386" s="76"/>
      <c r="O386" s="76"/>
      <c r="P386" s="77"/>
      <c r="Q386" s="77"/>
      <c r="R386" s="77"/>
      <c r="S386" s="88"/>
      <c r="T386" s="71"/>
      <c r="U386" s="37"/>
      <c r="V386" s="36">
        <f t="shared" si="8"/>
        <v>0</v>
      </c>
    </row>
    <row r="387" spans="1:22" ht="30" customHeight="1" x14ac:dyDescent="0.25">
      <c r="A387" s="97" t="str">
        <f>IF(B387="","",MAX($A$2:A386)+1)</f>
        <v/>
      </c>
      <c r="B387" s="72"/>
      <c r="C387" s="72"/>
      <c r="D387" s="90"/>
      <c r="E387" s="73"/>
      <c r="F387" s="74"/>
      <c r="G387" s="74"/>
      <c r="H387" s="74"/>
      <c r="I387" s="86"/>
      <c r="J387" s="294"/>
      <c r="K387" s="99"/>
      <c r="L387" s="100"/>
      <c r="M387" s="75"/>
      <c r="N387" s="76"/>
      <c r="O387" s="76"/>
      <c r="P387" s="77"/>
      <c r="Q387" s="77"/>
      <c r="R387" s="77"/>
      <c r="S387" s="88"/>
      <c r="T387" s="71"/>
      <c r="U387" s="37"/>
      <c r="V387" s="36">
        <f t="shared" si="8"/>
        <v>0</v>
      </c>
    </row>
    <row r="388" spans="1:22" ht="30" customHeight="1" x14ac:dyDescent="0.25">
      <c r="A388" s="97" t="str">
        <f>IF(B388="","",MAX($A$2:A387)+1)</f>
        <v/>
      </c>
      <c r="B388" s="72"/>
      <c r="C388" s="72"/>
      <c r="D388" s="90"/>
      <c r="E388" s="73"/>
      <c r="F388" s="74"/>
      <c r="G388" s="74"/>
      <c r="H388" s="74"/>
      <c r="I388" s="86"/>
      <c r="J388" s="294"/>
      <c r="K388" s="99"/>
      <c r="L388" s="100"/>
      <c r="M388" s="75"/>
      <c r="N388" s="76"/>
      <c r="O388" s="76"/>
      <c r="P388" s="77"/>
      <c r="Q388" s="77"/>
      <c r="R388" s="77"/>
      <c r="S388" s="88"/>
      <c r="T388" s="71"/>
      <c r="U388" s="37"/>
      <c r="V388" s="36">
        <f t="shared" si="8"/>
        <v>0</v>
      </c>
    </row>
    <row r="389" spans="1:22" ht="30" customHeight="1" x14ac:dyDescent="0.25">
      <c r="A389" s="97" t="str">
        <f>IF(B389="","",MAX($A$2:A388)+1)</f>
        <v/>
      </c>
      <c r="B389" s="72"/>
      <c r="C389" s="72"/>
      <c r="D389" s="90"/>
      <c r="E389" s="73"/>
      <c r="F389" s="74"/>
      <c r="G389" s="74"/>
      <c r="H389" s="74"/>
      <c r="I389" s="86"/>
      <c r="J389" s="294"/>
      <c r="K389" s="99"/>
      <c r="L389" s="100"/>
      <c r="M389" s="75"/>
      <c r="N389" s="76"/>
      <c r="O389" s="76"/>
      <c r="P389" s="77"/>
      <c r="Q389" s="77"/>
      <c r="R389" s="77"/>
      <c r="S389" s="88"/>
      <c r="T389" s="71"/>
      <c r="U389" s="37"/>
      <c r="V389" s="36">
        <f t="shared" si="8"/>
        <v>0</v>
      </c>
    </row>
    <row r="390" spans="1:22" ht="30" customHeight="1" x14ac:dyDescent="0.25">
      <c r="A390" s="97" t="str">
        <f>IF(B390="","",MAX($A$2:A389)+1)</f>
        <v/>
      </c>
      <c r="B390" s="72"/>
      <c r="C390" s="72"/>
      <c r="D390" s="90"/>
      <c r="E390" s="73"/>
      <c r="F390" s="74"/>
      <c r="G390" s="74"/>
      <c r="H390" s="74"/>
      <c r="I390" s="86"/>
      <c r="J390" s="294"/>
      <c r="K390" s="99"/>
      <c r="L390" s="100"/>
      <c r="M390" s="75"/>
      <c r="N390" s="76"/>
      <c r="O390" s="76"/>
      <c r="P390" s="77"/>
      <c r="Q390" s="77"/>
      <c r="R390" s="77"/>
      <c r="S390" s="88"/>
      <c r="T390" s="71"/>
      <c r="U390" s="37"/>
      <c r="V390" s="36">
        <f t="shared" si="8"/>
        <v>0</v>
      </c>
    </row>
    <row r="391" spans="1:22" ht="30" customHeight="1" x14ac:dyDescent="0.25">
      <c r="A391" s="97" t="str">
        <f>IF(B391="","",MAX($A$2:A390)+1)</f>
        <v/>
      </c>
      <c r="B391" s="102"/>
      <c r="C391" s="102"/>
      <c r="D391" s="90"/>
      <c r="E391" s="73"/>
      <c r="F391" s="74"/>
      <c r="G391" s="74"/>
      <c r="H391" s="74"/>
      <c r="I391" s="86"/>
      <c r="J391" s="294"/>
      <c r="K391" s="99"/>
      <c r="L391" s="100"/>
      <c r="M391" s="75"/>
      <c r="N391" s="76"/>
      <c r="O391" s="76"/>
      <c r="P391" s="77"/>
      <c r="Q391" s="77"/>
      <c r="R391" s="77"/>
      <c r="S391" s="88"/>
      <c r="T391" s="71"/>
      <c r="U391" s="37"/>
      <c r="V391" s="36">
        <f t="shared" si="8"/>
        <v>0</v>
      </c>
    </row>
    <row r="392" spans="1:22" ht="30" customHeight="1" x14ac:dyDescent="0.25">
      <c r="A392" s="97" t="str">
        <f>IF(B392="","",MAX($A$2:A391)+1)</f>
        <v/>
      </c>
      <c r="B392" s="72"/>
      <c r="C392" s="72"/>
      <c r="D392" s="90"/>
      <c r="E392" s="73"/>
      <c r="F392" s="74"/>
      <c r="G392" s="74"/>
      <c r="H392" s="74"/>
      <c r="I392" s="86"/>
      <c r="J392" s="294"/>
      <c r="K392" s="99"/>
      <c r="L392" s="100"/>
      <c r="M392" s="75"/>
      <c r="N392" s="76"/>
      <c r="O392" s="76"/>
      <c r="P392" s="77"/>
      <c r="Q392" s="77"/>
      <c r="R392" s="77"/>
      <c r="S392" s="88"/>
      <c r="T392" s="71"/>
      <c r="U392" s="37"/>
      <c r="V392" s="36">
        <f t="shared" si="8"/>
        <v>0</v>
      </c>
    </row>
    <row r="393" spans="1:22" ht="30" customHeight="1" x14ac:dyDescent="0.25">
      <c r="A393" s="97" t="str">
        <f>IF(B393="","",MAX($A$2:A392)+1)</f>
        <v/>
      </c>
      <c r="B393" s="72"/>
      <c r="C393" s="72"/>
      <c r="D393" s="90"/>
      <c r="E393" s="73"/>
      <c r="F393" s="74"/>
      <c r="G393" s="74"/>
      <c r="H393" s="74"/>
      <c r="I393" s="86"/>
      <c r="J393" s="294"/>
      <c r="K393" s="99"/>
      <c r="L393" s="100"/>
      <c r="M393" s="75"/>
      <c r="N393" s="76"/>
      <c r="O393" s="76"/>
      <c r="P393" s="77"/>
      <c r="Q393" s="77"/>
      <c r="R393" s="77"/>
      <c r="S393" s="88"/>
      <c r="T393" s="71"/>
      <c r="U393" s="37"/>
      <c r="V393" s="36">
        <f t="shared" si="8"/>
        <v>0</v>
      </c>
    </row>
    <row r="394" spans="1:22" ht="30" customHeight="1" x14ac:dyDescent="0.25">
      <c r="A394" s="97" t="str">
        <f>IF(B394="","",MAX($A$2:A393)+1)</f>
        <v/>
      </c>
      <c r="B394" s="72"/>
      <c r="C394" s="72"/>
      <c r="D394" s="90"/>
      <c r="E394" s="73"/>
      <c r="F394" s="74"/>
      <c r="G394" s="74"/>
      <c r="H394" s="74"/>
      <c r="I394" s="86"/>
      <c r="J394" s="294"/>
      <c r="K394" s="99"/>
      <c r="L394" s="100"/>
      <c r="M394" s="75"/>
      <c r="N394" s="76"/>
      <c r="O394" s="76"/>
      <c r="P394" s="77"/>
      <c r="Q394" s="77"/>
      <c r="R394" s="77"/>
      <c r="S394" s="88"/>
      <c r="T394" s="71"/>
      <c r="U394" s="37"/>
      <c r="V394" s="36">
        <f t="shared" si="8"/>
        <v>0</v>
      </c>
    </row>
    <row r="395" spans="1:22" ht="30" customHeight="1" x14ac:dyDescent="0.25">
      <c r="A395" s="97" t="str">
        <f>IF(B395="","",MAX($A$2:A394)+1)</f>
        <v/>
      </c>
      <c r="B395" s="72"/>
      <c r="C395" s="72"/>
      <c r="D395" s="90"/>
      <c r="E395" s="73"/>
      <c r="F395" s="74"/>
      <c r="G395" s="74"/>
      <c r="H395" s="74"/>
      <c r="I395" s="86"/>
      <c r="J395" s="294"/>
      <c r="K395" s="99"/>
      <c r="L395" s="100"/>
      <c r="M395" s="75"/>
      <c r="N395" s="76"/>
      <c r="O395" s="76"/>
      <c r="P395" s="77"/>
      <c r="Q395" s="77"/>
      <c r="R395" s="77"/>
      <c r="S395" s="88"/>
      <c r="T395" s="71"/>
      <c r="U395" s="37"/>
      <c r="V395" s="36">
        <f t="shared" si="8"/>
        <v>0</v>
      </c>
    </row>
    <row r="396" spans="1:22" ht="30" customHeight="1" x14ac:dyDescent="0.25">
      <c r="A396" s="97" t="str">
        <f>IF(B396="","",MAX($A$2:A395)+1)</f>
        <v/>
      </c>
      <c r="B396" s="72"/>
      <c r="C396" s="72"/>
      <c r="D396" s="93"/>
      <c r="E396" s="73"/>
      <c r="F396" s="74"/>
      <c r="G396" s="74"/>
      <c r="H396" s="74"/>
      <c r="I396" s="86"/>
      <c r="J396" s="294"/>
      <c r="K396" s="99"/>
      <c r="L396" s="100"/>
      <c r="M396" s="75"/>
      <c r="N396" s="76"/>
      <c r="O396" s="76"/>
      <c r="P396" s="77"/>
      <c r="Q396" s="77"/>
      <c r="R396" s="77"/>
      <c r="S396" s="88"/>
      <c r="T396" s="71"/>
      <c r="U396" s="37"/>
      <c r="V396" s="36">
        <f t="shared" si="8"/>
        <v>0</v>
      </c>
    </row>
    <row r="397" spans="1:22" ht="30" customHeight="1" x14ac:dyDescent="0.25">
      <c r="A397" s="97" t="str">
        <f>IF(B397="","",MAX($A$2:A396)+1)</f>
        <v/>
      </c>
      <c r="B397" s="72"/>
      <c r="C397" s="72"/>
      <c r="D397" s="90"/>
      <c r="E397" s="73"/>
      <c r="F397" s="74"/>
      <c r="G397" s="74"/>
      <c r="H397" s="74"/>
      <c r="I397" s="86"/>
      <c r="J397" s="294"/>
      <c r="K397" s="99"/>
      <c r="L397" s="100"/>
      <c r="M397" s="75"/>
      <c r="N397" s="76"/>
      <c r="O397" s="76"/>
      <c r="P397" s="77"/>
      <c r="Q397" s="77"/>
      <c r="R397" s="77"/>
      <c r="S397" s="88"/>
      <c r="T397" s="71"/>
      <c r="U397" s="37"/>
      <c r="V397" s="36">
        <f t="shared" si="8"/>
        <v>0</v>
      </c>
    </row>
    <row r="398" spans="1:22" ht="30" customHeight="1" x14ac:dyDescent="0.25">
      <c r="A398" s="97" t="str">
        <f>IF(B398="","",MAX($A$2:A397)+1)</f>
        <v/>
      </c>
      <c r="B398" s="72"/>
      <c r="C398" s="72"/>
      <c r="D398" s="90"/>
      <c r="E398" s="73"/>
      <c r="F398" s="74"/>
      <c r="G398" s="74"/>
      <c r="H398" s="74"/>
      <c r="I398" s="86"/>
      <c r="J398" s="294"/>
      <c r="K398" s="99"/>
      <c r="L398" s="100"/>
      <c r="M398" s="75"/>
      <c r="N398" s="76"/>
      <c r="O398" s="76"/>
      <c r="P398" s="77"/>
      <c r="Q398" s="77"/>
      <c r="R398" s="77"/>
      <c r="S398" s="88"/>
      <c r="T398" s="71"/>
      <c r="U398" s="37"/>
      <c r="V398" s="36">
        <f t="shared" si="8"/>
        <v>0</v>
      </c>
    </row>
    <row r="399" spans="1:22" ht="30" customHeight="1" x14ac:dyDescent="0.25">
      <c r="A399" s="97" t="str">
        <f>IF(B399="","",MAX($A$2:A398)+1)</f>
        <v/>
      </c>
      <c r="B399" s="72"/>
      <c r="C399" s="72"/>
      <c r="D399" s="90"/>
      <c r="E399" s="73"/>
      <c r="F399" s="74"/>
      <c r="G399" s="74"/>
      <c r="H399" s="74"/>
      <c r="I399" s="86"/>
      <c r="J399" s="294"/>
      <c r="K399" s="99"/>
      <c r="L399" s="100"/>
      <c r="M399" s="75"/>
      <c r="N399" s="76"/>
      <c r="O399" s="76"/>
      <c r="P399" s="77"/>
      <c r="Q399" s="77"/>
      <c r="R399" s="77"/>
      <c r="S399" s="88"/>
      <c r="T399" s="71"/>
      <c r="U399" s="37"/>
      <c r="V399" s="36">
        <f t="shared" si="8"/>
        <v>0</v>
      </c>
    </row>
    <row r="400" spans="1:22" ht="30" customHeight="1" x14ac:dyDescent="0.25">
      <c r="A400" s="97" t="str">
        <f>IF(B400="","",MAX($A$2:A399)+1)</f>
        <v/>
      </c>
      <c r="B400" s="102"/>
      <c r="C400" s="72"/>
      <c r="D400" s="90"/>
      <c r="E400" s="73"/>
      <c r="F400" s="74"/>
      <c r="G400" s="74"/>
      <c r="H400" s="74"/>
      <c r="I400" s="86"/>
      <c r="J400" s="294"/>
      <c r="K400" s="99"/>
      <c r="L400" s="100"/>
      <c r="M400" s="75"/>
      <c r="N400" s="76"/>
      <c r="O400" s="76"/>
      <c r="P400" s="77"/>
      <c r="Q400" s="77"/>
      <c r="R400" s="77"/>
      <c r="S400" s="88"/>
      <c r="T400" s="71"/>
      <c r="U400" s="37"/>
      <c r="V400" s="36">
        <f t="shared" si="8"/>
        <v>0</v>
      </c>
    </row>
    <row r="401" spans="1:24" ht="30" customHeight="1" x14ac:dyDescent="0.25">
      <c r="A401" s="97" t="str">
        <f>IF(B401="","",MAX($A$2:A400)+1)</f>
        <v/>
      </c>
      <c r="B401" s="72"/>
      <c r="C401" s="72"/>
      <c r="D401" s="90"/>
      <c r="E401" s="73"/>
      <c r="F401" s="74"/>
      <c r="G401" s="74"/>
      <c r="H401" s="74"/>
      <c r="I401" s="86"/>
      <c r="J401" s="294"/>
      <c r="K401" s="99"/>
      <c r="L401" s="100"/>
      <c r="M401" s="75"/>
      <c r="N401" s="76"/>
      <c r="O401" s="76"/>
      <c r="P401" s="77"/>
      <c r="Q401" s="77"/>
      <c r="R401" s="77"/>
      <c r="S401" s="88"/>
      <c r="T401" s="71"/>
      <c r="U401" s="37"/>
      <c r="V401" s="36">
        <f t="shared" si="8"/>
        <v>0</v>
      </c>
    </row>
    <row r="402" spans="1:24" ht="30" customHeight="1" x14ac:dyDescent="0.25">
      <c r="A402" s="97" t="str">
        <f>IF(B402="","",MAX($A$2:A401)+1)</f>
        <v/>
      </c>
      <c r="B402" s="72"/>
      <c r="C402" s="72"/>
      <c r="D402" s="91"/>
      <c r="E402" s="73"/>
      <c r="F402" s="74"/>
      <c r="G402" s="74"/>
      <c r="H402" s="74"/>
      <c r="I402" s="86"/>
      <c r="J402" s="294"/>
      <c r="K402" s="99"/>
      <c r="L402" s="100"/>
      <c r="M402" s="75"/>
      <c r="N402" s="76"/>
      <c r="O402" s="76"/>
      <c r="P402" s="77"/>
      <c r="Q402" s="77"/>
      <c r="R402" s="77"/>
      <c r="S402" s="88"/>
      <c r="T402" s="71"/>
      <c r="U402" s="37"/>
      <c r="V402" s="36">
        <f t="shared" si="8"/>
        <v>0</v>
      </c>
    </row>
    <row r="403" spans="1:24" ht="30" customHeight="1" x14ac:dyDescent="0.25">
      <c r="A403" s="97" t="str">
        <f>IF(B403="","",MAX($A$2:A402)+1)</f>
        <v/>
      </c>
      <c r="B403" s="102"/>
      <c r="C403" s="102"/>
      <c r="D403" s="91"/>
      <c r="E403" s="118"/>
      <c r="F403" s="78"/>
      <c r="G403" s="78"/>
      <c r="H403" s="78"/>
      <c r="I403" s="119"/>
      <c r="J403" s="295"/>
      <c r="K403" s="120"/>
      <c r="L403" s="121"/>
      <c r="M403" s="122"/>
      <c r="N403" s="76"/>
      <c r="O403" s="76"/>
      <c r="P403" s="77"/>
      <c r="Q403" s="77"/>
      <c r="R403" s="77"/>
      <c r="S403" s="88"/>
      <c r="T403" s="71"/>
      <c r="U403" s="37"/>
      <c r="V403" s="36">
        <f t="shared" si="8"/>
        <v>0</v>
      </c>
    </row>
    <row r="404" spans="1:24" ht="30" customHeight="1" x14ac:dyDescent="0.25">
      <c r="A404" s="97" t="str">
        <f>IF(B404="","",MAX($A$2:A403)+1)</f>
        <v/>
      </c>
      <c r="B404" s="102"/>
      <c r="C404" s="102"/>
      <c r="D404" s="91"/>
      <c r="E404" s="118"/>
      <c r="F404" s="78"/>
      <c r="G404" s="78"/>
      <c r="H404" s="78"/>
      <c r="I404" s="119"/>
      <c r="J404" s="295"/>
      <c r="K404" s="120"/>
      <c r="L404" s="121"/>
      <c r="M404" s="122"/>
      <c r="N404" s="76"/>
      <c r="O404" s="76"/>
      <c r="P404" s="77"/>
      <c r="Q404" s="77"/>
      <c r="R404" s="77"/>
      <c r="S404" s="88"/>
      <c r="T404" s="71"/>
      <c r="U404" s="37"/>
      <c r="V404" s="36">
        <f t="shared" si="8"/>
        <v>0</v>
      </c>
    </row>
    <row r="405" spans="1:24" ht="30" customHeight="1" x14ac:dyDescent="0.25">
      <c r="A405" s="97" t="str">
        <f>IF(B405="","",MAX($A$2:A404)+1)</f>
        <v/>
      </c>
      <c r="B405" s="72"/>
      <c r="C405" s="72"/>
      <c r="D405" s="90"/>
      <c r="E405" s="73"/>
      <c r="F405" s="74"/>
      <c r="G405" s="74"/>
      <c r="H405" s="74"/>
      <c r="I405" s="86"/>
      <c r="J405" s="294"/>
      <c r="K405" s="99"/>
      <c r="L405" s="100"/>
      <c r="M405" s="75"/>
      <c r="N405" s="76"/>
      <c r="O405" s="76"/>
      <c r="P405" s="77"/>
      <c r="Q405" s="77"/>
      <c r="R405" s="77"/>
      <c r="S405" s="88"/>
      <c r="T405" s="71"/>
      <c r="U405" s="37"/>
      <c r="V405" s="36">
        <f t="shared" ref="V405:V468" si="9">COUNTIF($B$2:$B$501,B405)</f>
        <v>0</v>
      </c>
    </row>
    <row r="406" spans="1:24" ht="30" customHeight="1" x14ac:dyDescent="0.25">
      <c r="A406" s="97" t="str">
        <f>IF(B406="","",MAX($A$2:A405)+1)</f>
        <v/>
      </c>
      <c r="B406" s="72"/>
      <c r="C406" s="72"/>
      <c r="D406" s="91"/>
      <c r="E406" s="73"/>
      <c r="F406" s="74"/>
      <c r="G406" s="74"/>
      <c r="H406" s="74"/>
      <c r="I406" s="86"/>
      <c r="J406" s="294"/>
      <c r="K406" s="99"/>
      <c r="L406" s="100"/>
      <c r="M406" s="75"/>
      <c r="N406" s="76"/>
      <c r="O406" s="76"/>
      <c r="P406" s="77"/>
      <c r="Q406" s="77"/>
      <c r="R406" s="77"/>
      <c r="S406" s="88"/>
      <c r="T406" s="71"/>
      <c r="U406" s="37"/>
      <c r="V406" s="36">
        <f t="shared" si="9"/>
        <v>0</v>
      </c>
    </row>
    <row r="407" spans="1:24" ht="30" customHeight="1" x14ac:dyDescent="0.25">
      <c r="A407" s="97" t="str">
        <f>IF(B407="","",MAX($A$2:A406)+1)</f>
        <v/>
      </c>
      <c r="B407" s="72"/>
      <c r="C407" s="72"/>
      <c r="D407" s="90"/>
      <c r="E407" s="73"/>
      <c r="F407" s="74"/>
      <c r="G407" s="74"/>
      <c r="H407" s="74"/>
      <c r="I407" s="86"/>
      <c r="J407" s="294"/>
      <c r="K407" s="99"/>
      <c r="L407" s="100"/>
      <c r="M407" s="75"/>
      <c r="N407" s="76"/>
      <c r="O407" s="76"/>
      <c r="P407" s="77"/>
      <c r="Q407" s="77"/>
      <c r="R407" s="77"/>
      <c r="S407" s="88"/>
      <c r="T407" s="71"/>
      <c r="U407" s="37"/>
      <c r="V407" s="36">
        <f t="shared" si="9"/>
        <v>0</v>
      </c>
    </row>
    <row r="408" spans="1:24" s="117" customFormat="1" ht="30" customHeight="1" x14ac:dyDescent="0.25">
      <c r="A408" s="97" t="str">
        <f>IF(B408="","",MAX($A$2:A407)+1)</f>
        <v/>
      </c>
      <c r="B408" s="72"/>
      <c r="C408" s="72"/>
      <c r="D408" s="90"/>
      <c r="E408" s="73"/>
      <c r="F408" s="74"/>
      <c r="G408" s="74"/>
      <c r="H408" s="74"/>
      <c r="I408" s="86"/>
      <c r="J408" s="294"/>
      <c r="K408" s="99"/>
      <c r="L408" s="100"/>
      <c r="M408" s="75"/>
      <c r="N408" s="76"/>
      <c r="O408" s="76"/>
      <c r="P408" s="77"/>
      <c r="Q408" s="77"/>
      <c r="R408" s="77"/>
      <c r="S408" s="88"/>
      <c r="T408" s="71"/>
      <c r="U408" s="37"/>
      <c r="V408" s="36">
        <f t="shared" si="9"/>
        <v>0</v>
      </c>
      <c r="W408" s="36"/>
      <c r="X408" s="36"/>
    </row>
    <row r="409" spans="1:24" s="117" customFormat="1" ht="30" customHeight="1" x14ac:dyDescent="0.25">
      <c r="A409" s="97" t="str">
        <f>IF(B409="","",MAX($A$2:A408)+1)</f>
        <v/>
      </c>
      <c r="B409" s="102"/>
      <c r="C409" s="102"/>
      <c r="D409" s="90"/>
      <c r="E409" s="73"/>
      <c r="F409" s="74"/>
      <c r="G409" s="74"/>
      <c r="H409" s="74"/>
      <c r="I409" s="86"/>
      <c r="J409" s="294"/>
      <c r="K409" s="99"/>
      <c r="L409" s="100"/>
      <c r="M409" s="75"/>
      <c r="N409" s="76"/>
      <c r="O409" s="76"/>
      <c r="P409" s="77"/>
      <c r="Q409" s="77"/>
      <c r="R409" s="77"/>
      <c r="S409" s="88"/>
      <c r="T409" s="71"/>
      <c r="U409" s="37"/>
      <c r="V409" s="36">
        <f t="shared" si="9"/>
        <v>0</v>
      </c>
      <c r="W409" s="36"/>
      <c r="X409" s="36"/>
    </row>
    <row r="410" spans="1:24" s="117" customFormat="1" ht="30" customHeight="1" x14ac:dyDescent="0.25">
      <c r="A410" s="97" t="str">
        <f>IF(B410="","",MAX($A$2:A409)+1)</f>
        <v/>
      </c>
      <c r="B410" s="72"/>
      <c r="C410" s="72"/>
      <c r="D410" s="90"/>
      <c r="E410" s="73"/>
      <c r="F410" s="74"/>
      <c r="G410" s="74"/>
      <c r="H410" s="74"/>
      <c r="I410" s="86"/>
      <c r="J410" s="294"/>
      <c r="K410" s="99"/>
      <c r="L410" s="100"/>
      <c r="M410" s="75"/>
      <c r="N410" s="76"/>
      <c r="O410" s="76"/>
      <c r="P410" s="77"/>
      <c r="Q410" s="77"/>
      <c r="R410" s="77"/>
      <c r="S410" s="88"/>
      <c r="T410" s="71"/>
      <c r="U410" s="37"/>
      <c r="V410" s="36">
        <f t="shared" si="9"/>
        <v>0</v>
      </c>
      <c r="W410" s="36"/>
      <c r="X410" s="36"/>
    </row>
    <row r="411" spans="1:24" s="117" customFormat="1" ht="30" customHeight="1" x14ac:dyDescent="0.25">
      <c r="A411" s="97" t="str">
        <f>IF(B411="","",MAX($A$2:A410)+1)</f>
        <v/>
      </c>
      <c r="B411" s="72"/>
      <c r="C411" s="72"/>
      <c r="D411" s="90"/>
      <c r="E411" s="73"/>
      <c r="F411" s="74"/>
      <c r="G411" s="74"/>
      <c r="H411" s="74"/>
      <c r="I411" s="86"/>
      <c r="J411" s="294"/>
      <c r="K411" s="99"/>
      <c r="L411" s="100"/>
      <c r="M411" s="75"/>
      <c r="N411" s="76"/>
      <c r="O411" s="76"/>
      <c r="P411" s="77"/>
      <c r="Q411" s="77"/>
      <c r="R411" s="77"/>
      <c r="S411" s="88"/>
      <c r="T411" s="71"/>
      <c r="U411" s="37"/>
      <c r="V411" s="36">
        <f t="shared" si="9"/>
        <v>0</v>
      </c>
      <c r="W411" s="36"/>
      <c r="X411" s="36"/>
    </row>
    <row r="412" spans="1:24" s="117" customFormat="1" ht="30" customHeight="1" x14ac:dyDescent="0.25">
      <c r="A412" s="97" t="str">
        <f>IF(B412="","",MAX($A$2:A411)+1)</f>
        <v/>
      </c>
      <c r="B412" s="72"/>
      <c r="C412" s="72"/>
      <c r="D412" s="90"/>
      <c r="E412" s="73"/>
      <c r="F412" s="74"/>
      <c r="G412" s="74"/>
      <c r="H412" s="74"/>
      <c r="I412" s="86"/>
      <c r="J412" s="294"/>
      <c r="K412" s="99"/>
      <c r="L412" s="100"/>
      <c r="M412" s="75"/>
      <c r="N412" s="76"/>
      <c r="O412" s="76"/>
      <c r="P412" s="77"/>
      <c r="Q412" s="77"/>
      <c r="R412" s="77"/>
      <c r="S412" s="88"/>
      <c r="T412" s="71"/>
      <c r="U412" s="37"/>
      <c r="V412" s="36">
        <f t="shared" si="9"/>
        <v>0</v>
      </c>
      <c r="W412" s="36"/>
      <c r="X412" s="36"/>
    </row>
    <row r="413" spans="1:24" s="117" customFormat="1" ht="30" customHeight="1" x14ac:dyDescent="0.25">
      <c r="A413" s="97" t="str">
        <f>IF(B413="","",MAX($A$2:A412)+1)</f>
        <v/>
      </c>
      <c r="B413" s="72"/>
      <c r="C413" s="72"/>
      <c r="D413" s="90"/>
      <c r="E413" s="73"/>
      <c r="F413" s="74"/>
      <c r="G413" s="74"/>
      <c r="H413" s="74"/>
      <c r="I413" s="86"/>
      <c r="J413" s="294"/>
      <c r="K413" s="99"/>
      <c r="L413" s="100"/>
      <c r="M413" s="75"/>
      <c r="N413" s="76"/>
      <c r="O413" s="76"/>
      <c r="P413" s="77"/>
      <c r="Q413" s="77"/>
      <c r="R413" s="77"/>
      <c r="S413" s="88"/>
      <c r="T413" s="71"/>
      <c r="U413" s="37"/>
      <c r="V413" s="36">
        <f t="shared" si="9"/>
        <v>0</v>
      </c>
      <c r="W413" s="36"/>
      <c r="X413" s="36"/>
    </row>
    <row r="414" spans="1:24" s="117" customFormat="1" ht="30" customHeight="1" x14ac:dyDescent="0.25">
      <c r="A414" s="97" t="str">
        <f>IF(B414="","",MAX($A$2:A413)+1)</f>
        <v/>
      </c>
      <c r="B414" s="72"/>
      <c r="C414" s="72"/>
      <c r="D414" s="90"/>
      <c r="E414" s="73"/>
      <c r="F414" s="74"/>
      <c r="G414" s="74"/>
      <c r="H414" s="74"/>
      <c r="I414" s="86"/>
      <c r="J414" s="294"/>
      <c r="K414" s="99"/>
      <c r="L414" s="100"/>
      <c r="M414" s="75"/>
      <c r="N414" s="76"/>
      <c r="O414" s="76"/>
      <c r="P414" s="77"/>
      <c r="Q414" s="77"/>
      <c r="R414" s="77"/>
      <c r="S414" s="88"/>
      <c r="T414" s="71"/>
      <c r="U414" s="37"/>
      <c r="V414" s="36">
        <f t="shared" si="9"/>
        <v>0</v>
      </c>
      <c r="W414" s="36"/>
      <c r="X414" s="36"/>
    </row>
    <row r="415" spans="1:24" s="117" customFormat="1" ht="30" customHeight="1" x14ac:dyDescent="0.25">
      <c r="A415" s="97" t="str">
        <f>IF(B415="","",MAX($A$2:A414)+1)</f>
        <v/>
      </c>
      <c r="B415" s="72"/>
      <c r="C415" s="72"/>
      <c r="D415" s="90"/>
      <c r="E415" s="73"/>
      <c r="F415" s="74"/>
      <c r="G415" s="74"/>
      <c r="H415" s="74"/>
      <c r="I415" s="86"/>
      <c r="J415" s="294"/>
      <c r="K415" s="99"/>
      <c r="L415" s="100"/>
      <c r="M415" s="75"/>
      <c r="N415" s="76"/>
      <c r="O415" s="76"/>
      <c r="P415" s="77"/>
      <c r="Q415" s="77"/>
      <c r="R415" s="77"/>
      <c r="S415" s="88"/>
      <c r="T415" s="71"/>
      <c r="U415" s="37"/>
      <c r="V415" s="36">
        <f t="shared" si="9"/>
        <v>0</v>
      </c>
      <c r="W415" s="36"/>
      <c r="X415" s="36"/>
    </row>
    <row r="416" spans="1:24" s="117" customFormat="1" ht="30" customHeight="1" x14ac:dyDescent="0.25">
      <c r="A416" s="97" t="str">
        <f>IF(B416="","",MAX($A$2:A415)+1)</f>
        <v/>
      </c>
      <c r="B416" s="72"/>
      <c r="C416" s="72"/>
      <c r="D416" s="90"/>
      <c r="E416" s="73"/>
      <c r="F416" s="74"/>
      <c r="G416" s="74"/>
      <c r="H416" s="74"/>
      <c r="I416" s="86"/>
      <c r="J416" s="294"/>
      <c r="K416" s="99"/>
      <c r="L416" s="100"/>
      <c r="M416" s="75"/>
      <c r="N416" s="76"/>
      <c r="O416" s="76"/>
      <c r="P416" s="77"/>
      <c r="Q416" s="77"/>
      <c r="R416" s="77"/>
      <c r="S416" s="88"/>
      <c r="T416" s="71"/>
      <c r="U416" s="37"/>
      <c r="V416" s="36">
        <f t="shared" si="9"/>
        <v>0</v>
      </c>
      <c r="W416" s="36"/>
      <c r="X416" s="36"/>
    </row>
    <row r="417" spans="1:24" s="117" customFormat="1" ht="30" customHeight="1" x14ac:dyDescent="0.25">
      <c r="A417" s="97" t="str">
        <f>IF(B417="","",MAX($A$2:A416)+1)</f>
        <v/>
      </c>
      <c r="B417" s="72"/>
      <c r="C417" s="72"/>
      <c r="D417" s="90"/>
      <c r="E417" s="73"/>
      <c r="F417" s="74"/>
      <c r="G417" s="74"/>
      <c r="H417" s="74"/>
      <c r="I417" s="86"/>
      <c r="J417" s="294"/>
      <c r="K417" s="99"/>
      <c r="L417" s="100"/>
      <c r="M417" s="75"/>
      <c r="N417" s="76"/>
      <c r="O417" s="76"/>
      <c r="P417" s="77"/>
      <c r="Q417" s="77"/>
      <c r="R417" s="77"/>
      <c r="S417" s="88"/>
      <c r="T417" s="71"/>
      <c r="U417" s="37"/>
      <c r="V417" s="36">
        <f t="shared" si="9"/>
        <v>0</v>
      </c>
      <c r="W417" s="36"/>
      <c r="X417" s="36"/>
    </row>
    <row r="418" spans="1:24" s="117" customFormat="1" ht="30" customHeight="1" x14ac:dyDescent="0.25">
      <c r="A418" s="97" t="str">
        <f>IF(B418="","",MAX($A$2:A417)+1)</f>
        <v/>
      </c>
      <c r="B418" s="72"/>
      <c r="C418" s="72"/>
      <c r="D418" s="90"/>
      <c r="E418" s="73"/>
      <c r="F418" s="74"/>
      <c r="G418" s="74"/>
      <c r="H418" s="74"/>
      <c r="I418" s="86"/>
      <c r="J418" s="294"/>
      <c r="K418" s="99"/>
      <c r="L418" s="100"/>
      <c r="M418" s="75"/>
      <c r="N418" s="76"/>
      <c r="O418" s="76"/>
      <c r="P418" s="77"/>
      <c r="Q418" s="77"/>
      <c r="R418" s="77"/>
      <c r="S418" s="88"/>
      <c r="T418" s="71"/>
      <c r="U418" s="37"/>
      <c r="V418" s="36">
        <f t="shared" si="9"/>
        <v>0</v>
      </c>
      <c r="W418" s="36"/>
      <c r="X418" s="36"/>
    </row>
    <row r="419" spans="1:24" s="117" customFormat="1" ht="30" customHeight="1" x14ac:dyDescent="0.25">
      <c r="A419" s="97" t="str">
        <f>IF(B419="","",MAX($A$2:A418)+1)</f>
        <v/>
      </c>
      <c r="B419" s="72"/>
      <c r="C419" s="72"/>
      <c r="D419" s="90"/>
      <c r="E419" s="73"/>
      <c r="F419" s="74"/>
      <c r="G419" s="74"/>
      <c r="H419" s="74"/>
      <c r="I419" s="86"/>
      <c r="J419" s="294"/>
      <c r="K419" s="99"/>
      <c r="L419" s="100"/>
      <c r="M419" s="75"/>
      <c r="N419" s="76"/>
      <c r="O419" s="76"/>
      <c r="P419" s="77"/>
      <c r="Q419" s="77"/>
      <c r="R419" s="77"/>
      <c r="S419" s="88"/>
      <c r="T419" s="71"/>
      <c r="U419" s="37"/>
      <c r="V419" s="36">
        <f t="shared" si="9"/>
        <v>0</v>
      </c>
      <c r="W419" s="36"/>
      <c r="X419" s="36"/>
    </row>
    <row r="420" spans="1:24" s="117" customFormat="1" ht="30" customHeight="1" x14ac:dyDescent="0.25">
      <c r="A420" s="97" t="str">
        <f>IF(B420="","",MAX($A$2:A419)+1)</f>
        <v/>
      </c>
      <c r="B420" s="72"/>
      <c r="C420" s="72"/>
      <c r="D420" s="90"/>
      <c r="E420" s="73"/>
      <c r="F420" s="74"/>
      <c r="G420" s="74"/>
      <c r="H420" s="74"/>
      <c r="I420" s="86"/>
      <c r="J420" s="294"/>
      <c r="K420" s="99"/>
      <c r="L420" s="100"/>
      <c r="M420" s="75"/>
      <c r="N420" s="76"/>
      <c r="O420" s="76"/>
      <c r="P420" s="77"/>
      <c r="Q420" s="77"/>
      <c r="R420" s="77"/>
      <c r="S420" s="88"/>
      <c r="T420" s="71"/>
      <c r="U420" s="37"/>
      <c r="V420" s="36">
        <f t="shared" si="9"/>
        <v>0</v>
      </c>
      <c r="W420" s="36"/>
      <c r="X420" s="36"/>
    </row>
    <row r="421" spans="1:24" s="117" customFormat="1" ht="30" customHeight="1" x14ac:dyDescent="0.25">
      <c r="A421" s="97" t="str">
        <f>IF(B421="","",MAX($A$2:A420)+1)</f>
        <v/>
      </c>
      <c r="B421" s="72"/>
      <c r="C421" s="72"/>
      <c r="D421" s="90"/>
      <c r="E421" s="73"/>
      <c r="F421" s="74"/>
      <c r="G421" s="74"/>
      <c r="H421" s="74"/>
      <c r="I421" s="86"/>
      <c r="J421" s="294"/>
      <c r="K421" s="99"/>
      <c r="L421" s="100"/>
      <c r="M421" s="75"/>
      <c r="N421" s="76"/>
      <c r="O421" s="76"/>
      <c r="P421" s="77"/>
      <c r="Q421" s="77"/>
      <c r="R421" s="77"/>
      <c r="S421" s="88"/>
      <c r="T421" s="71"/>
      <c r="U421" s="37"/>
      <c r="V421" s="36">
        <f t="shared" si="9"/>
        <v>0</v>
      </c>
      <c r="W421" s="36"/>
      <c r="X421" s="36"/>
    </row>
    <row r="422" spans="1:24" s="117" customFormat="1" ht="30" customHeight="1" x14ac:dyDescent="0.25">
      <c r="A422" s="97" t="str">
        <f>IF(B422="","",MAX($A$2:A421)+1)</f>
        <v/>
      </c>
      <c r="B422" s="102"/>
      <c r="C422" s="102"/>
      <c r="D422" s="91"/>
      <c r="E422" s="118"/>
      <c r="F422" s="78"/>
      <c r="G422" s="78"/>
      <c r="H422" s="78"/>
      <c r="I422" s="119"/>
      <c r="J422" s="295"/>
      <c r="K422" s="120"/>
      <c r="L422" s="121"/>
      <c r="M422" s="122"/>
      <c r="N422" s="76"/>
      <c r="O422" s="76"/>
      <c r="P422" s="77"/>
      <c r="Q422" s="77"/>
      <c r="R422" s="77"/>
      <c r="S422" s="88"/>
      <c r="T422" s="71"/>
      <c r="U422" s="37"/>
      <c r="V422" s="36">
        <f t="shared" si="9"/>
        <v>0</v>
      </c>
      <c r="W422" s="36"/>
      <c r="X422" s="36"/>
    </row>
    <row r="423" spans="1:24" s="117" customFormat="1" ht="30" customHeight="1" x14ac:dyDescent="0.25">
      <c r="A423" s="97" t="str">
        <f>IF(B423="","",MAX($A$2:A422)+1)</f>
        <v/>
      </c>
      <c r="B423" s="102"/>
      <c r="C423" s="102"/>
      <c r="D423" s="91"/>
      <c r="E423" s="118"/>
      <c r="F423" s="78"/>
      <c r="G423" s="78"/>
      <c r="H423" s="78"/>
      <c r="I423" s="119"/>
      <c r="J423" s="295"/>
      <c r="K423" s="120"/>
      <c r="L423" s="121"/>
      <c r="M423" s="122"/>
      <c r="N423" s="76"/>
      <c r="O423" s="76"/>
      <c r="P423" s="77"/>
      <c r="Q423" s="77"/>
      <c r="R423" s="77"/>
      <c r="S423" s="88"/>
      <c r="T423" s="71"/>
      <c r="U423" s="37"/>
      <c r="V423" s="36">
        <f t="shared" si="9"/>
        <v>0</v>
      </c>
      <c r="W423" s="36"/>
      <c r="X423" s="36"/>
    </row>
    <row r="424" spans="1:24" s="117" customFormat="1" ht="30" customHeight="1" x14ac:dyDescent="0.25">
      <c r="A424" s="97" t="str">
        <f>IF(B424="","",MAX($A$2:A423)+1)</f>
        <v/>
      </c>
      <c r="B424" s="72"/>
      <c r="C424" s="72"/>
      <c r="D424" s="90"/>
      <c r="E424" s="73"/>
      <c r="F424" s="74"/>
      <c r="G424" s="74"/>
      <c r="H424" s="74"/>
      <c r="I424" s="86"/>
      <c r="J424" s="294"/>
      <c r="K424" s="99"/>
      <c r="L424" s="100"/>
      <c r="M424" s="75"/>
      <c r="N424" s="76"/>
      <c r="O424" s="76"/>
      <c r="P424" s="77"/>
      <c r="Q424" s="77"/>
      <c r="R424" s="77"/>
      <c r="S424" s="88"/>
      <c r="T424" s="71"/>
      <c r="U424" s="37"/>
      <c r="V424" s="36">
        <f t="shared" si="9"/>
        <v>0</v>
      </c>
      <c r="W424" s="36"/>
      <c r="X424" s="36"/>
    </row>
    <row r="425" spans="1:24" s="117" customFormat="1" ht="30" customHeight="1" x14ac:dyDescent="0.25">
      <c r="A425" s="97" t="str">
        <f>IF(B425="","",MAX($A$2:A424)+1)</f>
        <v/>
      </c>
      <c r="B425" s="72"/>
      <c r="C425" s="72"/>
      <c r="D425" s="90"/>
      <c r="E425" s="73"/>
      <c r="F425" s="74"/>
      <c r="G425" s="74"/>
      <c r="H425" s="74"/>
      <c r="I425" s="86"/>
      <c r="J425" s="294"/>
      <c r="K425" s="99"/>
      <c r="L425" s="100"/>
      <c r="M425" s="75"/>
      <c r="N425" s="76"/>
      <c r="O425" s="76"/>
      <c r="P425" s="77"/>
      <c r="Q425" s="77"/>
      <c r="R425" s="77"/>
      <c r="S425" s="88"/>
      <c r="T425" s="71"/>
      <c r="U425" s="37"/>
      <c r="V425" s="36">
        <f t="shared" si="9"/>
        <v>0</v>
      </c>
      <c r="W425" s="36"/>
      <c r="X425" s="36"/>
    </row>
    <row r="426" spans="1:24" s="117" customFormat="1" ht="30" customHeight="1" x14ac:dyDescent="0.25">
      <c r="A426" s="97" t="str">
        <f>IF(B426="","",MAX($A$2:A425)+1)</f>
        <v/>
      </c>
      <c r="B426" s="102"/>
      <c r="C426" s="102"/>
      <c r="D426" s="91"/>
      <c r="E426" s="118"/>
      <c r="F426" s="78"/>
      <c r="G426" s="78"/>
      <c r="H426" s="78"/>
      <c r="I426" s="119"/>
      <c r="J426" s="295"/>
      <c r="K426" s="120"/>
      <c r="L426" s="121"/>
      <c r="M426" s="122"/>
      <c r="N426" s="76"/>
      <c r="O426" s="76"/>
      <c r="P426" s="77"/>
      <c r="Q426" s="77"/>
      <c r="R426" s="77"/>
      <c r="S426" s="88"/>
      <c r="T426" s="71"/>
      <c r="U426" s="37"/>
      <c r="V426" s="36">
        <f t="shared" si="9"/>
        <v>0</v>
      </c>
      <c r="W426" s="36"/>
      <c r="X426" s="36"/>
    </row>
    <row r="427" spans="1:24" s="117" customFormat="1" ht="30" customHeight="1" x14ac:dyDescent="0.25">
      <c r="A427" s="97" t="str">
        <f>IF(B427="","",MAX($A$2:A426)+1)</f>
        <v/>
      </c>
      <c r="B427" s="72"/>
      <c r="C427" s="72"/>
      <c r="D427" s="90"/>
      <c r="E427" s="73"/>
      <c r="F427" s="74"/>
      <c r="G427" s="74"/>
      <c r="H427" s="74"/>
      <c r="I427" s="86"/>
      <c r="J427" s="294"/>
      <c r="K427" s="99"/>
      <c r="L427" s="100"/>
      <c r="M427" s="75"/>
      <c r="N427" s="76"/>
      <c r="O427" s="76"/>
      <c r="P427" s="77"/>
      <c r="Q427" s="77"/>
      <c r="R427" s="77"/>
      <c r="S427" s="88"/>
      <c r="T427" s="71"/>
      <c r="U427" s="37"/>
      <c r="V427" s="36">
        <f t="shared" si="9"/>
        <v>0</v>
      </c>
      <c r="W427" s="36"/>
      <c r="X427" s="36"/>
    </row>
    <row r="428" spans="1:24" s="117" customFormat="1" ht="30" customHeight="1" x14ac:dyDescent="0.25">
      <c r="A428" s="97" t="str">
        <f>IF(B428="","",MAX($A$2:A427)+1)</f>
        <v/>
      </c>
      <c r="B428" s="72"/>
      <c r="C428" s="72"/>
      <c r="D428" s="90"/>
      <c r="E428" s="73"/>
      <c r="F428" s="74"/>
      <c r="G428" s="74"/>
      <c r="H428" s="74"/>
      <c r="I428" s="86"/>
      <c r="J428" s="294"/>
      <c r="K428" s="99"/>
      <c r="L428" s="100"/>
      <c r="M428" s="75"/>
      <c r="N428" s="76"/>
      <c r="O428" s="76"/>
      <c r="P428" s="77"/>
      <c r="Q428" s="77"/>
      <c r="R428" s="77"/>
      <c r="S428" s="88"/>
      <c r="T428" s="71"/>
      <c r="U428" s="37"/>
      <c r="V428" s="36">
        <f t="shared" si="9"/>
        <v>0</v>
      </c>
      <c r="W428" s="36"/>
      <c r="X428" s="36"/>
    </row>
    <row r="429" spans="1:24" s="117" customFormat="1" ht="30" customHeight="1" x14ac:dyDescent="0.25">
      <c r="A429" s="97" t="str">
        <f>IF(B429="","",MAX($A$2:A428)+1)</f>
        <v/>
      </c>
      <c r="B429" s="72"/>
      <c r="C429" s="72"/>
      <c r="D429" s="90"/>
      <c r="E429" s="73"/>
      <c r="F429" s="74"/>
      <c r="G429" s="74"/>
      <c r="H429" s="74"/>
      <c r="I429" s="86"/>
      <c r="J429" s="294"/>
      <c r="K429" s="99"/>
      <c r="L429" s="100"/>
      <c r="M429" s="75"/>
      <c r="N429" s="76"/>
      <c r="O429" s="76"/>
      <c r="P429" s="77"/>
      <c r="Q429" s="77"/>
      <c r="R429" s="77"/>
      <c r="S429" s="88"/>
      <c r="T429" s="71"/>
      <c r="U429" s="37"/>
      <c r="V429" s="36">
        <f t="shared" si="9"/>
        <v>0</v>
      </c>
      <c r="W429" s="36"/>
      <c r="X429" s="36"/>
    </row>
    <row r="430" spans="1:24" s="117" customFormat="1" ht="30" customHeight="1" x14ac:dyDescent="0.25">
      <c r="A430" s="97" t="str">
        <f>IF(B430="","",MAX($A$2:A429)+1)</f>
        <v/>
      </c>
      <c r="B430" s="72"/>
      <c r="C430" s="72"/>
      <c r="D430" s="90"/>
      <c r="E430" s="73"/>
      <c r="F430" s="74"/>
      <c r="G430" s="74"/>
      <c r="H430" s="74"/>
      <c r="I430" s="86"/>
      <c r="J430" s="294"/>
      <c r="K430" s="99"/>
      <c r="L430" s="100"/>
      <c r="M430" s="75"/>
      <c r="N430" s="76"/>
      <c r="O430" s="76"/>
      <c r="P430" s="77"/>
      <c r="Q430" s="77"/>
      <c r="R430" s="77"/>
      <c r="S430" s="88"/>
      <c r="T430" s="71"/>
      <c r="U430" s="37"/>
      <c r="V430" s="36">
        <f t="shared" si="9"/>
        <v>0</v>
      </c>
      <c r="W430" s="36"/>
      <c r="X430" s="36"/>
    </row>
    <row r="431" spans="1:24" s="117" customFormat="1" ht="30" customHeight="1" x14ac:dyDescent="0.25">
      <c r="A431" s="97" t="str">
        <f>IF(B431="","",MAX($A$2:A430)+1)</f>
        <v/>
      </c>
      <c r="B431" s="72"/>
      <c r="C431" s="72"/>
      <c r="D431" s="90"/>
      <c r="E431" s="73"/>
      <c r="F431" s="74"/>
      <c r="G431" s="74"/>
      <c r="H431" s="74"/>
      <c r="I431" s="86"/>
      <c r="J431" s="294"/>
      <c r="K431" s="99"/>
      <c r="L431" s="100"/>
      <c r="M431" s="75"/>
      <c r="N431" s="76"/>
      <c r="O431" s="76"/>
      <c r="P431" s="77"/>
      <c r="Q431" s="77"/>
      <c r="R431" s="77"/>
      <c r="S431" s="88"/>
      <c r="T431" s="71"/>
      <c r="U431" s="37"/>
      <c r="V431" s="36">
        <f t="shared" si="9"/>
        <v>0</v>
      </c>
      <c r="W431" s="36"/>
      <c r="X431" s="36"/>
    </row>
    <row r="432" spans="1:24" s="117" customFormat="1" ht="30" customHeight="1" x14ac:dyDescent="0.25">
      <c r="A432" s="97" t="str">
        <f>IF(B432="","",MAX($A$2:A431)+1)</f>
        <v/>
      </c>
      <c r="B432" s="72"/>
      <c r="C432" s="72"/>
      <c r="D432" s="90"/>
      <c r="E432" s="73"/>
      <c r="F432" s="74"/>
      <c r="G432" s="74"/>
      <c r="H432" s="74"/>
      <c r="I432" s="86"/>
      <c r="J432" s="294"/>
      <c r="K432" s="99"/>
      <c r="L432" s="100"/>
      <c r="M432" s="75"/>
      <c r="N432" s="76"/>
      <c r="O432" s="76"/>
      <c r="P432" s="77"/>
      <c r="Q432" s="77"/>
      <c r="R432" s="77"/>
      <c r="S432" s="88"/>
      <c r="T432" s="71"/>
      <c r="U432" s="37"/>
      <c r="V432" s="36">
        <f t="shared" si="9"/>
        <v>0</v>
      </c>
      <c r="W432" s="36"/>
      <c r="X432" s="36"/>
    </row>
    <row r="433" spans="1:24" s="117" customFormat="1" ht="30" customHeight="1" x14ac:dyDescent="0.25">
      <c r="A433" s="97" t="str">
        <f>IF(B433="","",MAX($A$2:A432)+1)</f>
        <v/>
      </c>
      <c r="B433" s="72"/>
      <c r="C433" s="72"/>
      <c r="D433" s="90"/>
      <c r="E433" s="73"/>
      <c r="F433" s="74"/>
      <c r="G433" s="74"/>
      <c r="H433" s="74"/>
      <c r="I433" s="86"/>
      <c r="J433" s="294"/>
      <c r="K433" s="99"/>
      <c r="L433" s="100"/>
      <c r="M433" s="75"/>
      <c r="N433" s="76"/>
      <c r="O433" s="76"/>
      <c r="P433" s="77"/>
      <c r="Q433" s="77"/>
      <c r="R433" s="77"/>
      <c r="S433" s="88"/>
      <c r="T433" s="71"/>
      <c r="U433" s="37"/>
      <c r="V433" s="36">
        <f t="shared" si="9"/>
        <v>0</v>
      </c>
      <c r="W433" s="36"/>
      <c r="X433" s="36"/>
    </row>
    <row r="434" spans="1:24" s="117" customFormat="1" ht="30" customHeight="1" x14ac:dyDescent="0.25">
      <c r="A434" s="97" t="str">
        <f>IF(B434="","",MAX($A$2:A433)+1)</f>
        <v/>
      </c>
      <c r="B434" s="102"/>
      <c r="C434" s="102"/>
      <c r="D434" s="91"/>
      <c r="E434" s="118"/>
      <c r="F434" s="78"/>
      <c r="G434" s="78"/>
      <c r="H434" s="78"/>
      <c r="I434" s="119"/>
      <c r="J434" s="295"/>
      <c r="K434" s="120"/>
      <c r="L434" s="121"/>
      <c r="M434" s="122"/>
      <c r="N434" s="76"/>
      <c r="O434" s="76"/>
      <c r="P434" s="77"/>
      <c r="Q434" s="77"/>
      <c r="R434" s="77"/>
      <c r="S434" s="88"/>
      <c r="T434" s="71"/>
      <c r="U434" s="37"/>
      <c r="V434" s="36">
        <f t="shared" si="9"/>
        <v>0</v>
      </c>
      <c r="W434" s="36"/>
      <c r="X434" s="36"/>
    </row>
    <row r="435" spans="1:24" s="117" customFormat="1" ht="30" customHeight="1" x14ac:dyDescent="0.25">
      <c r="A435" s="97" t="str">
        <f>IF(B435="","",MAX($A$2:A434)+1)</f>
        <v/>
      </c>
      <c r="B435" s="102"/>
      <c r="C435" s="102"/>
      <c r="D435" s="91"/>
      <c r="E435" s="118"/>
      <c r="F435" s="78"/>
      <c r="G435" s="78"/>
      <c r="H435" s="78"/>
      <c r="I435" s="119"/>
      <c r="J435" s="295"/>
      <c r="K435" s="120"/>
      <c r="L435" s="121"/>
      <c r="M435" s="122"/>
      <c r="N435" s="76"/>
      <c r="O435" s="76"/>
      <c r="P435" s="77"/>
      <c r="Q435" s="77"/>
      <c r="R435" s="77"/>
      <c r="S435" s="88"/>
      <c r="T435" s="71"/>
      <c r="U435" s="37"/>
      <c r="V435" s="36">
        <f t="shared" si="9"/>
        <v>0</v>
      </c>
      <c r="W435" s="36"/>
      <c r="X435" s="36"/>
    </row>
    <row r="436" spans="1:24" s="117" customFormat="1" ht="30" customHeight="1" x14ac:dyDescent="0.25">
      <c r="A436" s="97" t="str">
        <f>IF(B436="","",MAX($A$2:A435)+1)</f>
        <v/>
      </c>
      <c r="B436" s="72"/>
      <c r="C436" s="72"/>
      <c r="D436" s="94"/>
      <c r="E436" s="73"/>
      <c r="F436" s="74"/>
      <c r="G436" s="74"/>
      <c r="H436" s="74"/>
      <c r="I436" s="86"/>
      <c r="J436" s="294"/>
      <c r="K436" s="99"/>
      <c r="L436" s="100"/>
      <c r="M436" s="75"/>
      <c r="N436" s="76"/>
      <c r="O436" s="76"/>
      <c r="P436" s="77"/>
      <c r="Q436" s="77"/>
      <c r="R436" s="77"/>
      <c r="S436" s="88"/>
      <c r="T436" s="71"/>
      <c r="U436" s="37"/>
      <c r="V436" s="36">
        <f t="shared" si="9"/>
        <v>0</v>
      </c>
      <c r="W436" s="36"/>
      <c r="X436" s="36"/>
    </row>
    <row r="437" spans="1:24" s="117" customFormat="1" ht="30" customHeight="1" x14ac:dyDescent="0.25">
      <c r="A437" s="97" t="str">
        <f>IF(B437="","",MAX($A$2:A436)+1)</f>
        <v/>
      </c>
      <c r="B437" s="102"/>
      <c r="C437" s="102"/>
      <c r="D437" s="91"/>
      <c r="E437" s="118"/>
      <c r="F437" s="78"/>
      <c r="G437" s="78"/>
      <c r="H437" s="78"/>
      <c r="I437" s="119"/>
      <c r="J437" s="295"/>
      <c r="K437" s="120"/>
      <c r="L437" s="121"/>
      <c r="M437" s="122"/>
      <c r="N437" s="76"/>
      <c r="O437" s="76"/>
      <c r="P437" s="77"/>
      <c r="Q437" s="77"/>
      <c r="R437" s="77"/>
      <c r="S437" s="88"/>
      <c r="T437" s="71"/>
      <c r="U437" s="37"/>
      <c r="V437" s="36">
        <f t="shared" si="9"/>
        <v>0</v>
      </c>
      <c r="W437" s="36"/>
      <c r="X437" s="36"/>
    </row>
    <row r="438" spans="1:24" s="117" customFormat="1" ht="30" customHeight="1" x14ac:dyDescent="0.25">
      <c r="A438" s="97" t="str">
        <f>IF(B438="","",MAX($A$2:A437)+1)</f>
        <v/>
      </c>
      <c r="B438" s="72"/>
      <c r="C438" s="72"/>
      <c r="D438" s="90"/>
      <c r="E438" s="73"/>
      <c r="F438" s="74"/>
      <c r="G438" s="74"/>
      <c r="H438" s="74"/>
      <c r="I438" s="86"/>
      <c r="J438" s="294"/>
      <c r="K438" s="99"/>
      <c r="L438" s="100"/>
      <c r="M438" s="75"/>
      <c r="N438" s="76"/>
      <c r="O438" s="76"/>
      <c r="P438" s="77"/>
      <c r="Q438" s="77"/>
      <c r="R438" s="77"/>
      <c r="S438" s="88"/>
      <c r="T438" s="71"/>
      <c r="U438" s="37"/>
      <c r="V438" s="36">
        <f t="shared" si="9"/>
        <v>0</v>
      </c>
      <c r="W438" s="36"/>
      <c r="X438" s="36"/>
    </row>
    <row r="439" spans="1:24" s="117" customFormat="1" ht="30" customHeight="1" x14ac:dyDescent="0.25">
      <c r="A439" s="97" t="str">
        <f>IF(B439="","",MAX($A$2:A438)+1)</f>
        <v/>
      </c>
      <c r="B439" s="72"/>
      <c r="C439" s="72"/>
      <c r="D439" s="90"/>
      <c r="E439" s="73"/>
      <c r="F439" s="74"/>
      <c r="G439" s="74"/>
      <c r="H439" s="74"/>
      <c r="I439" s="86"/>
      <c r="J439" s="294"/>
      <c r="K439" s="99"/>
      <c r="L439" s="100"/>
      <c r="M439" s="75"/>
      <c r="N439" s="76"/>
      <c r="O439" s="76"/>
      <c r="P439" s="77"/>
      <c r="Q439" s="77"/>
      <c r="R439" s="77"/>
      <c r="S439" s="88"/>
      <c r="T439" s="71"/>
      <c r="U439" s="37"/>
      <c r="V439" s="36">
        <f t="shared" si="9"/>
        <v>0</v>
      </c>
      <c r="W439" s="36"/>
      <c r="X439" s="36"/>
    </row>
    <row r="440" spans="1:24" s="117" customFormat="1" ht="30" customHeight="1" x14ac:dyDescent="0.25">
      <c r="A440" s="97" t="str">
        <f>IF(B440="","",MAX($A$2:A439)+1)</f>
        <v/>
      </c>
      <c r="B440" s="72"/>
      <c r="C440" s="72"/>
      <c r="D440" s="91"/>
      <c r="E440" s="73"/>
      <c r="F440" s="74"/>
      <c r="G440" s="74"/>
      <c r="H440" s="74"/>
      <c r="I440" s="86"/>
      <c r="J440" s="294"/>
      <c r="K440" s="99"/>
      <c r="L440" s="100"/>
      <c r="M440" s="75"/>
      <c r="N440" s="76"/>
      <c r="O440" s="76"/>
      <c r="P440" s="77"/>
      <c r="Q440" s="77"/>
      <c r="R440" s="77"/>
      <c r="S440" s="88"/>
      <c r="T440" s="71"/>
      <c r="U440" s="37"/>
      <c r="V440" s="36">
        <f t="shared" si="9"/>
        <v>0</v>
      </c>
      <c r="W440" s="36"/>
      <c r="X440" s="36"/>
    </row>
    <row r="441" spans="1:24" s="117" customFormat="1" ht="30" customHeight="1" x14ac:dyDescent="0.25">
      <c r="A441" s="97" t="str">
        <f>IF(B441="","",MAX($A$2:A440)+1)</f>
        <v/>
      </c>
      <c r="B441" s="72"/>
      <c r="C441" s="72"/>
      <c r="D441" s="90"/>
      <c r="E441" s="73"/>
      <c r="F441" s="74"/>
      <c r="G441" s="74"/>
      <c r="H441" s="74"/>
      <c r="I441" s="86"/>
      <c r="J441" s="294"/>
      <c r="K441" s="99"/>
      <c r="L441" s="100"/>
      <c r="M441" s="75"/>
      <c r="N441" s="76"/>
      <c r="O441" s="76"/>
      <c r="P441" s="77"/>
      <c r="Q441" s="77"/>
      <c r="R441" s="77"/>
      <c r="S441" s="88"/>
      <c r="T441" s="71"/>
      <c r="U441" s="37"/>
      <c r="V441" s="36">
        <f t="shared" si="9"/>
        <v>0</v>
      </c>
      <c r="W441" s="36"/>
      <c r="X441" s="36"/>
    </row>
    <row r="442" spans="1:24" s="117" customFormat="1" ht="30" customHeight="1" x14ac:dyDescent="0.25">
      <c r="A442" s="97" t="str">
        <f>IF(B442="","",MAX($A$2:A441)+1)</f>
        <v/>
      </c>
      <c r="B442" s="72"/>
      <c r="C442" s="72"/>
      <c r="D442" s="90"/>
      <c r="E442" s="73"/>
      <c r="F442" s="74"/>
      <c r="G442" s="74"/>
      <c r="H442" s="74"/>
      <c r="I442" s="86"/>
      <c r="J442" s="294"/>
      <c r="K442" s="99"/>
      <c r="L442" s="100"/>
      <c r="M442" s="75"/>
      <c r="N442" s="76"/>
      <c r="O442" s="76"/>
      <c r="P442" s="77"/>
      <c r="Q442" s="77"/>
      <c r="R442" s="77"/>
      <c r="S442" s="88"/>
      <c r="T442" s="71"/>
      <c r="U442" s="37"/>
      <c r="V442" s="36">
        <f t="shared" si="9"/>
        <v>0</v>
      </c>
      <c r="W442" s="36"/>
      <c r="X442" s="36"/>
    </row>
    <row r="443" spans="1:24" s="117" customFormat="1" ht="30" customHeight="1" x14ac:dyDescent="0.25">
      <c r="A443" s="97" t="str">
        <f>IF(B443="","",MAX($A$2:A442)+1)</f>
        <v/>
      </c>
      <c r="B443" s="72"/>
      <c r="C443" s="72"/>
      <c r="D443" s="90"/>
      <c r="E443" s="73"/>
      <c r="F443" s="74"/>
      <c r="G443" s="74"/>
      <c r="H443" s="74"/>
      <c r="I443" s="86"/>
      <c r="J443" s="294"/>
      <c r="K443" s="99"/>
      <c r="L443" s="100"/>
      <c r="M443" s="75"/>
      <c r="N443" s="76"/>
      <c r="O443" s="76"/>
      <c r="P443" s="77"/>
      <c r="Q443" s="77"/>
      <c r="R443" s="77"/>
      <c r="S443" s="88"/>
      <c r="T443" s="71"/>
      <c r="U443" s="37"/>
      <c r="V443" s="36">
        <f t="shared" si="9"/>
        <v>0</v>
      </c>
      <c r="W443" s="36"/>
      <c r="X443" s="36"/>
    </row>
    <row r="444" spans="1:24" s="117" customFormat="1" ht="30" customHeight="1" x14ac:dyDescent="0.25">
      <c r="A444" s="97" t="str">
        <f>IF(B444="","",MAX($A$2:A443)+1)</f>
        <v/>
      </c>
      <c r="B444" s="72"/>
      <c r="C444" s="72"/>
      <c r="D444" s="90"/>
      <c r="E444" s="73"/>
      <c r="F444" s="74"/>
      <c r="G444" s="74"/>
      <c r="H444" s="74"/>
      <c r="I444" s="86"/>
      <c r="J444" s="294"/>
      <c r="K444" s="99"/>
      <c r="L444" s="100"/>
      <c r="M444" s="75"/>
      <c r="N444" s="76"/>
      <c r="O444" s="76"/>
      <c r="P444" s="77"/>
      <c r="Q444" s="77"/>
      <c r="R444" s="77"/>
      <c r="S444" s="88"/>
      <c r="T444" s="71"/>
      <c r="U444" s="37"/>
      <c r="V444" s="36">
        <f t="shared" si="9"/>
        <v>0</v>
      </c>
      <c r="W444" s="36"/>
      <c r="X444" s="36"/>
    </row>
    <row r="445" spans="1:24" s="117" customFormat="1" ht="30" customHeight="1" x14ac:dyDescent="0.25">
      <c r="A445" s="97" t="str">
        <f>IF(B445="","",MAX($A$2:A444)+1)</f>
        <v/>
      </c>
      <c r="B445" s="102"/>
      <c r="C445" s="102"/>
      <c r="D445" s="90"/>
      <c r="E445" s="73"/>
      <c r="F445" s="74"/>
      <c r="G445" s="74"/>
      <c r="H445" s="74"/>
      <c r="I445" s="86"/>
      <c r="J445" s="294"/>
      <c r="K445" s="99"/>
      <c r="L445" s="100"/>
      <c r="M445" s="75"/>
      <c r="N445" s="76"/>
      <c r="O445" s="76"/>
      <c r="P445" s="77"/>
      <c r="Q445" s="77"/>
      <c r="R445" s="77"/>
      <c r="S445" s="88"/>
      <c r="T445" s="71"/>
      <c r="U445" s="37"/>
      <c r="V445" s="36">
        <f t="shared" si="9"/>
        <v>0</v>
      </c>
      <c r="W445" s="36"/>
      <c r="X445" s="36"/>
    </row>
    <row r="446" spans="1:24" s="117" customFormat="1" ht="30" customHeight="1" x14ac:dyDescent="0.25">
      <c r="A446" s="97" t="str">
        <f>IF(B446="","",MAX($A$2:A445)+1)</f>
        <v/>
      </c>
      <c r="B446" s="102"/>
      <c r="C446" s="102"/>
      <c r="D446" s="90"/>
      <c r="E446" s="73"/>
      <c r="F446" s="74"/>
      <c r="G446" s="74"/>
      <c r="H446" s="74"/>
      <c r="I446" s="86"/>
      <c r="J446" s="294"/>
      <c r="K446" s="99"/>
      <c r="L446" s="100"/>
      <c r="M446" s="75"/>
      <c r="N446" s="76"/>
      <c r="O446" s="76"/>
      <c r="P446" s="77"/>
      <c r="Q446" s="77"/>
      <c r="R446" s="77"/>
      <c r="S446" s="88"/>
      <c r="T446" s="71"/>
      <c r="U446" s="37"/>
      <c r="V446" s="36">
        <f t="shared" si="9"/>
        <v>0</v>
      </c>
      <c r="W446" s="36"/>
      <c r="X446" s="36"/>
    </row>
    <row r="447" spans="1:24" s="117" customFormat="1" ht="30" customHeight="1" x14ac:dyDescent="0.25">
      <c r="A447" s="97" t="str">
        <f>IF(B447="","",MAX($A$2:A446)+1)</f>
        <v/>
      </c>
      <c r="B447" s="72"/>
      <c r="C447" s="72"/>
      <c r="D447" s="90"/>
      <c r="E447" s="73"/>
      <c r="F447" s="74"/>
      <c r="G447" s="74"/>
      <c r="H447" s="74"/>
      <c r="I447" s="86"/>
      <c r="J447" s="294"/>
      <c r="K447" s="99"/>
      <c r="L447" s="100"/>
      <c r="M447" s="75"/>
      <c r="N447" s="76"/>
      <c r="O447" s="76"/>
      <c r="P447" s="77"/>
      <c r="Q447" s="77"/>
      <c r="R447" s="77"/>
      <c r="S447" s="88"/>
      <c r="T447" s="71"/>
      <c r="U447" s="37"/>
      <c r="V447" s="36">
        <f t="shared" si="9"/>
        <v>0</v>
      </c>
      <c r="W447" s="36"/>
      <c r="X447" s="36"/>
    </row>
    <row r="448" spans="1:24" s="117" customFormat="1" ht="30" customHeight="1" x14ac:dyDescent="0.25">
      <c r="A448" s="97" t="str">
        <f>IF(B448="","",MAX($A$2:A447)+1)</f>
        <v/>
      </c>
      <c r="B448" s="102"/>
      <c r="C448" s="102"/>
      <c r="D448" s="91"/>
      <c r="E448" s="118"/>
      <c r="F448" s="78"/>
      <c r="G448" s="78"/>
      <c r="H448" s="78"/>
      <c r="I448" s="119"/>
      <c r="J448" s="295"/>
      <c r="K448" s="120"/>
      <c r="L448" s="121"/>
      <c r="M448" s="122"/>
      <c r="N448" s="76"/>
      <c r="O448" s="76"/>
      <c r="P448" s="77"/>
      <c r="Q448" s="77"/>
      <c r="R448" s="77"/>
      <c r="S448" s="88"/>
      <c r="T448" s="71"/>
      <c r="U448" s="37"/>
      <c r="V448" s="36">
        <f t="shared" si="9"/>
        <v>0</v>
      </c>
      <c r="W448" s="36"/>
      <c r="X448" s="36"/>
    </row>
    <row r="449" spans="1:24" s="117" customFormat="1" ht="30" customHeight="1" x14ac:dyDescent="0.25">
      <c r="A449" s="97" t="str">
        <f>IF(B449="","",MAX($A$2:A448)+1)</f>
        <v/>
      </c>
      <c r="B449" s="102"/>
      <c r="C449" s="102"/>
      <c r="D449" s="91"/>
      <c r="E449" s="118"/>
      <c r="F449" s="78"/>
      <c r="G449" s="78"/>
      <c r="H449" s="78"/>
      <c r="I449" s="119"/>
      <c r="J449" s="295"/>
      <c r="K449" s="120"/>
      <c r="L449" s="121"/>
      <c r="M449" s="122"/>
      <c r="N449" s="76"/>
      <c r="O449" s="76"/>
      <c r="P449" s="77"/>
      <c r="Q449" s="77"/>
      <c r="R449" s="77"/>
      <c r="S449" s="88"/>
      <c r="T449" s="71"/>
      <c r="U449" s="37"/>
      <c r="V449" s="36">
        <f t="shared" si="9"/>
        <v>0</v>
      </c>
      <c r="W449" s="36"/>
      <c r="X449" s="36"/>
    </row>
    <row r="450" spans="1:24" s="117" customFormat="1" ht="30" customHeight="1" x14ac:dyDescent="0.25">
      <c r="A450" s="97" t="str">
        <f>IF(B450="","",MAX($A$2:A449)+1)</f>
        <v/>
      </c>
      <c r="B450" s="72"/>
      <c r="C450" s="72"/>
      <c r="D450" s="90"/>
      <c r="E450" s="73"/>
      <c r="F450" s="74"/>
      <c r="G450" s="74"/>
      <c r="H450" s="74"/>
      <c r="I450" s="86"/>
      <c r="J450" s="294"/>
      <c r="K450" s="99"/>
      <c r="L450" s="100"/>
      <c r="M450" s="75"/>
      <c r="N450" s="76"/>
      <c r="O450" s="76"/>
      <c r="P450" s="77"/>
      <c r="Q450" s="77"/>
      <c r="R450" s="77"/>
      <c r="S450" s="88"/>
      <c r="T450" s="71"/>
      <c r="U450" s="37"/>
      <c r="V450" s="36">
        <f t="shared" si="9"/>
        <v>0</v>
      </c>
      <c r="W450" s="36"/>
      <c r="X450" s="36"/>
    </row>
    <row r="451" spans="1:24" s="117" customFormat="1" ht="30" customHeight="1" x14ac:dyDescent="0.25">
      <c r="A451" s="97" t="str">
        <f>IF(B451="","",MAX($A$2:A450)+1)</f>
        <v/>
      </c>
      <c r="B451" s="72"/>
      <c r="C451" s="72"/>
      <c r="D451" s="90"/>
      <c r="E451" s="73"/>
      <c r="F451" s="74"/>
      <c r="G451" s="74"/>
      <c r="H451" s="74"/>
      <c r="I451" s="86"/>
      <c r="J451" s="294"/>
      <c r="K451" s="99"/>
      <c r="L451" s="100"/>
      <c r="M451" s="75"/>
      <c r="N451" s="76"/>
      <c r="O451" s="76"/>
      <c r="P451" s="77"/>
      <c r="Q451" s="77"/>
      <c r="R451" s="77"/>
      <c r="S451" s="88"/>
      <c r="T451" s="71"/>
      <c r="U451" s="37"/>
      <c r="V451" s="36">
        <f t="shared" si="9"/>
        <v>0</v>
      </c>
      <c r="W451" s="36"/>
      <c r="X451" s="36"/>
    </row>
    <row r="452" spans="1:24" s="117" customFormat="1" ht="30" customHeight="1" x14ac:dyDescent="0.25">
      <c r="A452" s="97" t="str">
        <f>IF(B452="","",MAX($A$2:A451)+1)</f>
        <v/>
      </c>
      <c r="B452" s="72"/>
      <c r="C452" s="72"/>
      <c r="D452" s="90"/>
      <c r="E452" s="73"/>
      <c r="F452" s="74"/>
      <c r="G452" s="74"/>
      <c r="H452" s="74"/>
      <c r="I452" s="86"/>
      <c r="J452" s="294"/>
      <c r="K452" s="99"/>
      <c r="L452" s="100"/>
      <c r="M452" s="75"/>
      <c r="N452" s="76"/>
      <c r="O452" s="76"/>
      <c r="P452" s="77"/>
      <c r="Q452" s="77"/>
      <c r="R452" s="77"/>
      <c r="S452" s="88"/>
      <c r="T452" s="71"/>
      <c r="U452" s="37"/>
      <c r="V452" s="36">
        <f t="shared" si="9"/>
        <v>0</v>
      </c>
      <c r="W452" s="36"/>
      <c r="X452" s="36"/>
    </row>
    <row r="453" spans="1:24" s="117" customFormat="1" ht="30" customHeight="1" x14ac:dyDescent="0.25">
      <c r="A453" s="97" t="str">
        <f>IF(B453="","",MAX($A$2:A452)+1)</f>
        <v/>
      </c>
      <c r="B453" s="72"/>
      <c r="C453" s="72"/>
      <c r="D453" s="90"/>
      <c r="E453" s="73"/>
      <c r="F453" s="74"/>
      <c r="G453" s="74"/>
      <c r="H453" s="74"/>
      <c r="I453" s="86"/>
      <c r="J453" s="294"/>
      <c r="K453" s="99"/>
      <c r="L453" s="100"/>
      <c r="M453" s="75"/>
      <c r="N453" s="76"/>
      <c r="O453" s="76"/>
      <c r="P453" s="77"/>
      <c r="Q453" s="77"/>
      <c r="R453" s="77"/>
      <c r="S453" s="88"/>
      <c r="T453" s="71"/>
      <c r="U453" s="37"/>
      <c r="V453" s="36">
        <f t="shared" si="9"/>
        <v>0</v>
      </c>
      <c r="W453" s="36"/>
      <c r="X453" s="36"/>
    </row>
    <row r="454" spans="1:24" s="117" customFormat="1" ht="30" customHeight="1" x14ac:dyDescent="0.25">
      <c r="A454" s="97" t="str">
        <f>IF(B454="","",MAX($A$2:A453)+1)</f>
        <v/>
      </c>
      <c r="B454" s="72"/>
      <c r="C454" s="72"/>
      <c r="D454" s="90"/>
      <c r="E454" s="73"/>
      <c r="F454" s="74"/>
      <c r="G454" s="74"/>
      <c r="H454" s="74"/>
      <c r="I454" s="86"/>
      <c r="J454" s="294"/>
      <c r="K454" s="99"/>
      <c r="L454" s="100"/>
      <c r="M454" s="75"/>
      <c r="N454" s="76"/>
      <c r="O454" s="76"/>
      <c r="P454" s="77"/>
      <c r="Q454" s="77"/>
      <c r="R454" s="77"/>
      <c r="S454" s="88"/>
      <c r="T454" s="71"/>
      <c r="U454" s="37"/>
      <c r="V454" s="36">
        <f t="shared" si="9"/>
        <v>0</v>
      </c>
      <c r="W454" s="36"/>
      <c r="X454" s="36"/>
    </row>
    <row r="455" spans="1:24" s="117" customFormat="1" ht="30" customHeight="1" x14ac:dyDescent="0.25">
      <c r="A455" s="97" t="str">
        <f>IF(B455="","",MAX($A$2:A454)+1)</f>
        <v/>
      </c>
      <c r="B455" s="72"/>
      <c r="C455" s="72"/>
      <c r="D455" s="90"/>
      <c r="E455" s="73"/>
      <c r="F455" s="74"/>
      <c r="G455" s="74"/>
      <c r="H455" s="74"/>
      <c r="I455" s="86"/>
      <c r="J455" s="294"/>
      <c r="K455" s="99"/>
      <c r="L455" s="100"/>
      <c r="M455" s="75"/>
      <c r="N455" s="76"/>
      <c r="O455" s="76"/>
      <c r="P455" s="77"/>
      <c r="Q455" s="77"/>
      <c r="R455" s="77"/>
      <c r="S455" s="88"/>
      <c r="T455" s="71"/>
      <c r="U455" s="37"/>
      <c r="V455" s="36">
        <f t="shared" si="9"/>
        <v>0</v>
      </c>
      <c r="W455" s="36"/>
      <c r="X455" s="36"/>
    </row>
    <row r="456" spans="1:24" s="117" customFormat="1" ht="30" customHeight="1" x14ac:dyDescent="0.25">
      <c r="A456" s="97" t="str">
        <f>IF(B456="","",MAX($A$2:A455)+1)</f>
        <v/>
      </c>
      <c r="B456" s="72"/>
      <c r="C456" s="72"/>
      <c r="D456" s="90"/>
      <c r="E456" s="73"/>
      <c r="F456" s="74"/>
      <c r="G456" s="74"/>
      <c r="H456" s="74"/>
      <c r="I456" s="86"/>
      <c r="J456" s="294"/>
      <c r="K456" s="99"/>
      <c r="L456" s="100"/>
      <c r="M456" s="75"/>
      <c r="N456" s="76"/>
      <c r="O456" s="76"/>
      <c r="P456" s="77"/>
      <c r="Q456" s="77"/>
      <c r="R456" s="77"/>
      <c r="S456" s="88"/>
      <c r="T456" s="71"/>
      <c r="U456" s="37"/>
      <c r="V456" s="36">
        <f t="shared" si="9"/>
        <v>0</v>
      </c>
      <c r="W456" s="36"/>
      <c r="X456" s="36"/>
    </row>
    <row r="457" spans="1:24" s="117" customFormat="1" ht="30" customHeight="1" x14ac:dyDescent="0.25">
      <c r="A457" s="97" t="str">
        <f>IF(B457="","",MAX($A$2:A456)+1)</f>
        <v/>
      </c>
      <c r="B457" s="72"/>
      <c r="C457" s="72"/>
      <c r="D457" s="90"/>
      <c r="E457" s="73"/>
      <c r="F457" s="74"/>
      <c r="G457" s="74"/>
      <c r="H457" s="74"/>
      <c r="I457" s="86"/>
      <c r="J457" s="294"/>
      <c r="K457" s="99"/>
      <c r="L457" s="100"/>
      <c r="M457" s="75"/>
      <c r="N457" s="76"/>
      <c r="O457" s="76"/>
      <c r="P457" s="77"/>
      <c r="Q457" s="77"/>
      <c r="R457" s="77"/>
      <c r="S457" s="88"/>
      <c r="T457" s="71"/>
      <c r="U457" s="37"/>
      <c r="V457" s="36">
        <f t="shared" si="9"/>
        <v>0</v>
      </c>
      <c r="W457" s="36"/>
      <c r="X457" s="36"/>
    </row>
    <row r="458" spans="1:24" s="117" customFormat="1" ht="30" customHeight="1" x14ac:dyDescent="0.25">
      <c r="A458" s="97" t="str">
        <f>IF(B458="","",MAX($A$2:A457)+1)</f>
        <v/>
      </c>
      <c r="B458" s="72"/>
      <c r="C458" s="72"/>
      <c r="D458" s="90"/>
      <c r="E458" s="73"/>
      <c r="F458" s="74"/>
      <c r="G458" s="74"/>
      <c r="H458" s="74"/>
      <c r="I458" s="86"/>
      <c r="J458" s="294"/>
      <c r="K458" s="99"/>
      <c r="L458" s="100"/>
      <c r="M458" s="75"/>
      <c r="N458" s="76"/>
      <c r="O458" s="76"/>
      <c r="P458" s="77"/>
      <c r="Q458" s="77"/>
      <c r="R458" s="77"/>
      <c r="S458" s="88"/>
      <c r="T458" s="71"/>
      <c r="U458" s="37"/>
      <c r="V458" s="36">
        <f t="shared" si="9"/>
        <v>0</v>
      </c>
      <c r="W458" s="36"/>
      <c r="X458" s="36"/>
    </row>
    <row r="459" spans="1:24" s="117" customFormat="1" ht="30" customHeight="1" x14ac:dyDescent="0.25">
      <c r="A459" s="97" t="str">
        <f>IF(B459="","",MAX($A$2:A458)+1)</f>
        <v/>
      </c>
      <c r="B459" s="72"/>
      <c r="C459" s="72"/>
      <c r="D459" s="91"/>
      <c r="E459" s="73"/>
      <c r="F459" s="74"/>
      <c r="G459" s="74"/>
      <c r="H459" s="74"/>
      <c r="I459" s="86"/>
      <c r="J459" s="294"/>
      <c r="K459" s="99"/>
      <c r="L459" s="100"/>
      <c r="M459" s="75"/>
      <c r="N459" s="76"/>
      <c r="O459" s="76"/>
      <c r="P459" s="77"/>
      <c r="Q459" s="77"/>
      <c r="R459" s="77"/>
      <c r="S459" s="88"/>
      <c r="T459" s="71"/>
      <c r="U459" s="37"/>
      <c r="V459" s="36">
        <f t="shared" si="9"/>
        <v>0</v>
      </c>
      <c r="W459" s="36"/>
      <c r="X459" s="36"/>
    </row>
    <row r="460" spans="1:24" s="117" customFormat="1" ht="30" customHeight="1" x14ac:dyDescent="0.25">
      <c r="A460" s="97" t="str">
        <f>IF(B460="","",MAX($A$2:A459)+1)</f>
        <v/>
      </c>
      <c r="B460" s="72"/>
      <c r="C460" s="72"/>
      <c r="D460" s="90"/>
      <c r="E460" s="73"/>
      <c r="F460" s="74"/>
      <c r="G460" s="74"/>
      <c r="H460" s="74"/>
      <c r="I460" s="86"/>
      <c r="J460" s="294"/>
      <c r="K460" s="99"/>
      <c r="L460" s="100"/>
      <c r="M460" s="75"/>
      <c r="N460" s="76"/>
      <c r="O460" s="76"/>
      <c r="P460" s="77"/>
      <c r="Q460" s="77"/>
      <c r="R460" s="77"/>
      <c r="S460" s="88"/>
      <c r="T460" s="71"/>
      <c r="U460" s="37"/>
      <c r="V460" s="36">
        <f t="shared" si="9"/>
        <v>0</v>
      </c>
      <c r="W460" s="36"/>
      <c r="X460" s="36"/>
    </row>
    <row r="461" spans="1:24" s="117" customFormat="1" ht="30" customHeight="1" x14ac:dyDescent="0.25">
      <c r="A461" s="97" t="str">
        <f>IF(B461="","",MAX($A$2:A460)+1)</f>
        <v/>
      </c>
      <c r="B461" s="72"/>
      <c r="C461" s="72"/>
      <c r="D461" s="90"/>
      <c r="E461" s="73"/>
      <c r="F461" s="74"/>
      <c r="G461" s="74"/>
      <c r="H461" s="74"/>
      <c r="I461" s="86"/>
      <c r="J461" s="294"/>
      <c r="K461" s="99"/>
      <c r="L461" s="100"/>
      <c r="M461" s="75"/>
      <c r="N461" s="76"/>
      <c r="O461" s="76"/>
      <c r="P461" s="77"/>
      <c r="Q461" s="77"/>
      <c r="R461" s="77"/>
      <c r="S461" s="88"/>
      <c r="T461" s="71"/>
      <c r="U461" s="37"/>
      <c r="V461" s="36">
        <f t="shared" si="9"/>
        <v>0</v>
      </c>
      <c r="W461" s="36"/>
      <c r="X461" s="36"/>
    </row>
    <row r="462" spans="1:24" s="117" customFormat="1" ht="30" customHeight="1" x14ac:dyDescent="0.25">
      <c r="A462" s="97" t="str">
        <f>IF(B462="","",MAX($A$2:A461)+1)</f>
        <v/>
      </c>
      <c r="B462" s="72"/>
      <c r="C462" s="72"/>
      <c r="D462" s="90"/>
      <c r="E462" s="73"/>
      <c r="F462" s="74"/>
      <c r="G462" s="74"/>
      <c r="H462" s="74"/>
      <c r="I462" s="86"/>
      <c r="J462" s="294"/>
      <c r="K462" s="99"/>
      <c r="L462" s="100"/>
      <c r="M462" s="75"/>
      <c r="N462" s="76"/>
      <c r="O462" s="76"/>
      <c r="P462" s="77"/>
      <c r="Q462" s="77"/>
      <c r="R462" s="77"/>
      <c r="S462" s="88"/>
      <c r="T462" s="71"/>
      <c r="U462" s="37"/>
      <c r="V462" s="36">
        <f t="shared" si="9"/>
        <v>0</v>
      </c>
      <c r="W462" s="36"/>
      <c r="X462" s="36"/>
    </row>
    <row r="463" spans="1:24" ht="30" customHeight="1" x14ac:dyDescent="0.25">
      <c r="A463" s="97" t="str">
        <f>IF(B463="","",MAX($A$2:A462)+1)</f>
        <v/>
      </c>
      <c r="B463" s="102"/>
      <c r="C463" s="102"/>
      <c r="D463" s="91"/>
      <c r="E463" s="118"/>
      <c r="F463" s="78"/>
      <c r="G463" s="78"/>
      <c r="H463" s="78"/>
      <c r="I463" s="119"/>
      <c r="J463" s="295"/>
      <c r="K463" s="120"/>
      <c r="L463" s="121"/>
      <c r="M463" s="122"/>
      <c r="N463" s="76"/>
      <c r="O463" s="76"/>
      <c r="P463" s="77"/>
      <c r="Q463" s="77"/>
      <c r="R463" s="77"/>
      <c r="S463" s="88"/>
      <c r="T463" s="71"/>
      <c r="U463" s="37"/>
      <c r="V463" s="36">
        <f t="shared" si="9"/>
        <v>0</v>
      </c>
    </row>
    <row r="464" spans="1:24" ht="30" customHeight="1" x14ac:dyDescent="0.25">
      <c r="A464" s="97" t="str">
        <f>IF(B464="","",MAX($A$2:A463)+1)</f>
        <v/>
      </c>
      <c r="B464" s="72"/>
      <c r="C464" s="72"/>
      <c r="D464" s="90"/>
      <c r="E464" s="73"/>
      <c r="F464" s="74"/>
      <c r="G464" s="74"/>
      <c r="H464" s="74"/>
      <c r="I464" s="86"/>
      <c r="J464" s="294"/>
      <c r="K464" s="99"/>
      <c r="L464" s="100"/>
      <c r="M464" s="75"/>
      <c r="N464" s="76"/>
      <c r="O464" s="76"/>
      <c r="P464" s="77"/>
      <c r="Q464" s="77"/>
      <c r="R464" s="77"/>
      <c r="S464" s="88"/>
      <c r="T464" s="71"/>
      <c r="U464" s="37"/>
      <c r="V464" s="36">
        <f t="shared" si="9"/>
        <v>0</v>
      </c>
    </row>
    <row r="465" spans="1:22" ht="30" customHeight="1" x14ac:dyDescent="0.25">
      <c r="A465" s="97" t="str">
        <f>IF(B465="","",MAX($A$2:A464)+1)</f>
        <v/>
      </c>
      <c r="B465" s="72"/>
      <c r="C465" s="72"/>
      <c r="D465" s="90"/>
      <c r="E465" s="73"/>
      <c r="F465" s="74"/>
      <c r="G465" s="74"/>
      <c r="H465" s="74"/>
      <c r="I465" s="86"/>
      <c r="J465" s="294"/>
      <c r="K465" s="99"/>
      <c r="L465" s="100"/>
      <c r="M465" s="75"/>
      <c r="N465" s="76"/>
      <c r="O465" s="76"/>
      <c r="P465" s="77"/>
      <c r="Q465" s="77"/>
      <c r="R465" s="77"/>
      <c r="S465" s="88"/>
      <c r="T465" s="71"/>
      <c r="U465" s="37"/>
      <c r="V465" s="36">
        <f t="shared" si="9"/>
        <v>0</v>
      </c>
    </row>
    <row r="466" spans="1:22" ht="30" customHeight="1" x14ac:dyDescent="0.25">
      <c r="A466" s="97" t="str">
        <f>IF(B466="","",MAX($A$2:A465)+1)</f>
        <v/>
      </c>
      <c r="B466" s="72"/>
      <c r="C466" s="72"/>
      <c r="D466" s="90"/>
      <c r="E466" s="73"/>
      <c r="F466" s="74"/>
      <c r="G466" s="74"/>
      <c r="H466" s="74"/>
      <c r="I466" s="86"/>
      <c r="J466" s="294"/>
      <c r="K466" s="99"/>
      <c r="L466" s="100"/>
      <c r="M466" s="75"/>
      <c r="N466" s="76"/>
      <c r="O466" s="76"/>
      <c r="P466" s="77"/>
      <c r="Q466" s="77"/>
      <c r="R466" s="77"/>
      <c r="S466" s="88"/>
      <c r="T466" s="71"/>
      <c r="U466" s="37"/>
      <c r="V466" s="36">
        <f t="shared" si="9"/>
        <v>0</v>
      </c>
    </row>
    <row r="467" spans="1:22" ht="30" customHeight="1" x14ac:dyDescent="0.25">
      <c r="A467" s="97" t="str">
        <f>IF(B467="","",MAX($A$2:A466)+1)</f>
        <v/>
      </c>
      <c r="B467" s="102"/>
      <c r="C467" s="102"/>
      <c r="D467" s="91"/>
      <c r="E467" s="118"/>
      <c r="F467" s="78"/>
      <c r="G467" s="78"/>
      <c r="H467" s="78"/>
      <c r="I467" s="86"/>
      <c r="J467" s="295"/>
      <c r="K467" s="120"/>
      <c r="L467" s="121"/>
      <c r="M467" s="122"/>
      <c r="N467" s="76"/>
      <c r="O467" s="76"/>
      <c r="P467" s="77"/>
      <c r="Q467" s="77"/>
      <c r="R467" s="77"/>
      <c r="S467" s="88"/>
      <c r="T467" s="71"/>
      <c r="U467" s="37"/>
      <c r="V467" s="36">
        <f t="shared" si="9"/>
        <v>0</v>
      </c>
    </row>
    <row r="468" spans="1:22" ht="30" customHeight="1" x14ac:dyDescent="0.25">
      <c r="A468" s="97" t="str">
        <f>IF(B468="","",MAX($A$2:A467)+1)</f>
        <v/>
      </c>
      <c r="B468" s="72"/>
      <c r="C468" s="72"/>
      <c r="D468" s="90"/>
      <c r="E468" s="73"/>
      <c r="F468" s="74"/>
      <c r="G468" s="74"/>
      <c r="H468" s="74"/>
      <c r="I468" s="86"/>
      <c r="J468" s="294"/>
      <c r="K468" s="99"/>
      <c r="L468" s="100"/>
      <c r="M468" s="75"/>
      <c r="N468" s="76"/>
      <c r="O468" s="76"/>
      <c r="P468" s="77"/>
      <c r="Q468" s="77"/>
      <c r="R468" s="77"/>
      <c r="S468" s="88"/>
      <c r="T468" s="71"/>
      <c r="U468" s="37"/>
      <c r="V468" s="36">
        <f t="shared" si="9"/>
        <v>0</v>
      </c>
    </row>
    <row r="469" spans="1:22" ht="30" customHeight="1" x14ac:dyDescent="0.25">
      <c r="A469" s="97" t="str">
        <f>IF(B469="","",MAX($A$2:A468)+1)</f>
        <v/>
      </c>
      <c r="B469" s="72"/>
      <c r="C469" s="72"/>
      <c r="D469" s="90"/>
      <c r="E469" s="73"/>
      <c r="F469" s="74"/>
      <c r="G469" s="74"/>
      <c r="H469" s="74"/>
      <c r="I469" s="86"/>
      <c r="J469" s="294"/>
      <c r="K469" s="99"/>
      <c r="L469" s="100"/>
      <c r="M469" s="75"/>
      <c r="N469" s="76"/>
      <c r="O469" s="76"/>
      <c r="P469" s="77"/>
      <c r="Q469" s="77"/>
      <c r="R469" s="77"/>
      <c r="S469" s="88"/>
      <c r="T469" s="71"/>
      <c r="U469" s="37"/>
      <c r="V469" s="36">
        <f t="shared" ref="V469:V532" si="10">COUNTIF($B$2:$B$501,B469)</f>
        <v>0</v>
      </c>
    </row>
    <row r="470" spans="1:22" ht="30" customHeight="1" x14ac:dyDescent="0.25">
      <c r="A470" s="97" t="str">
        <f>IF(B470="","",MAX($A$2:A469)+1)</f>
        <v/>
      </c>
      <c r="B470" s="72"/>
      <c r="C470" s="72"/>
      <c r="D470" s="90"/>
      <c r="E470" s="73"/>
      <c r="F470" s="74"/>
      <c r="G470" s="74"/>
      <c r="H470" s="74"/>
      <c r="I470" s="86"/>
      <c r="J470" s="294"/>
      <c r="K470" s="99"/>
      <c r="L470" s="100"/>
      <c r="M470" s="75"/>
      <c r="N470" s="76"/>
      <c r="O470" s="76"/>
      <c r="P470" s="77"/>
      <c r="Q470" s="77"/>
      <c r="R470" s="77"/>
      <c r="S470" s="88"/>
      <c r="T470" s="71"/>
      <c r="U470" s="37"/>
      <c r="V470" s="36">
        <f t="shared" si="10"/>
        <v>0</v>
      </c>
    </row>
    <row r="471" spans="1:22" ht="30" customHeight="1" x14ac:dyDescent="0.25">
      <c r="A471" s="97" t="str">
        <f>IF(B471="","",MAX($A$2:A470)+1)</f>
        <v/>
      </c>
      <c r="B471" s="72"/>
      <c r="C471" s="72"/>
      <c r="D471" s="90"/>
      <c r="E471" s="73"/>
      <c r="F471" s="74"/>
      <c r="G471" s="74"/>
      <c r="H471" s="74"/>
      <c r="I471" s="86"/>
      <c r="J471" s="294"/>
      <c r="K471" s="99"/>
      <c r="L471" s="100"/>
      <c r="M471" s="75"/>
      <c r="N471" s="76"/>
      <c r="O471" s="76"/>
      <c r="P471" s="77"/>
      <c r="Q471" s="77"/>
      <c r="R471" s="77"/>
      <c r="S471" s="88"/>
      <c r="T471" s="71"/>
      <c r="U471" s="37"/>
      <c r="V471" s="36">
        <f t="shared" si="10"/>
        <v>0</v>
      </c>
    </row>
    <row r="472" spans="1:22" ht="30" customHeight="1" x14ac:dyDescent="0.25">
      <c r="A472" s="97" t="str">
        <f>IF(B472="","",MAX($A$2:A471)+1)</f>
        <v/>
      </c>
      <c r="B472" s="72"/>
      <c r="C472" s="72"/>
      <c r="D472" s="90"/>
      <c r="E472" s="73"/>
      <c r="F472" s="74"/>
      <c r="G472" s="74"/>
      <c r="H472" s="74"/>
      <c r="I472" s="86"/>
      <c r="J472" s="294"/>
      <c r="K472" s="99"/>
      <c r="L472" s="100"/>
      <c r="M472" s="75"/>
      <c r="N472" s="76"/>
      <c r="O472" s="76"/>
      <c r="P472" s="77"/>
      <c r="Q472" s="77"/>
      <c r="R472" s="77"/>
      <c r="S472" s="88"/>
      <c r="T472" s="71"/>
      <c r="U472" s="37"/>
      <c r="V472" s="36">
        <f t="shared" si="10"/>
        <v>0</v>
      </c>
    </row>
    <row r="473" spans="1:22" ht="30" customHeight="1" x14ac:dyDescent="0.25">
      <c r="A473" s="97" t="str">
        <f>IF(B473="","",MAX($A$2:A472)+1)</f>
        <v/>
      </c>
      <c r="B473" s="72"/>
      <c r="C473" s="72"/>
      <c r="D473" s="90"/>
      <c r="E473" s="73"/>
      <c r="F473" s="74"/>
      <c r="G473" s="74"/>
      <c r="H473" s="74"/>
      <c r="I473" s="86"/>
      <c r="J473" s="294"/>
      <c r="K473" s="99"/>
      <c r="L473" s="100"/>
      <c r="M473" s="75"/>
      <c r="N473" s="76"/>
      <c r="O473" s="76"/>
      <c r="P473" s="77"/>
      <c r="Q473" s="77"/>
      <c r="R473" s="77"/>
      <c r="S473" s="88"/>
      <c r="T473" s="71"/>
      <c r="U473" s="37"/>
      <c r="V473" s="36">
        <f t="shared" si="10"/>
        <v>0</v>
      </c>
    </row>
    <row r="474" spans="1:22" ht="30" customHeight="1" x14ac:dyDescent="0.25">
      <c r="A474" s="97" t="str">
        <f>IF(B474="","",MAX($A$2:A473)+1)</f>
        <v/>
      </c>
      <c r="B474" s="102"/>
      <c r="C474" s="72"/>
      <c r="D474" s="90"/>
      <c r="E474" s="73"/>
      <c r="F474" s="74"/>
      <c r="G474" s="74"/>
      <c r="H474" s="74"/>
      <c r="I474" s="86"/>
      <c r="J474" s="294"/>
      <c r="K474" s="99"/>
      <c r="L474" s="100"/>
      <c r="M474" s="75"/>
      <c r="N474" s="76"/>
      <c r="O474" s="76"/>
      <c r="P474" s="77"/>
      <c r="Q474" s="77"/>
      <c r="R474" s="77"/>
      <c r="S474" s="88"/>
      <c r="T474" s="71"/>
      <c r="U474" s="37"/>
      <c r="V474" s="36">
        <f t="shared" si="10"/>
        <v>0</v>
      </c>
    </row>
    <row r="475" spans="1:22" ht="30" customHeight="1" x14ac:dyDescent="0.25">
      <c r="A475" s="97" t="str">
        <f>IF(B475="","",MAX($A$2:A474)+1)</f>
        <v/>
      </c>
      <c r="B475" s="72"/>
      <c r="C475" s="72"/>
      <c r="D475" s="90"/>
      <c r="E475" s="73"/>
      <c r="F475" s="74"/>
      <c r="G475" s="74"/>
      <c r="H475" s="74"/>
      <c r="I475" s="86"/>
      <c r="J475" s="294"/>
      <c r="K475" s="99"/>
      <c r="L475" s="100"/>
      <c r="M475" s="75"/>
      <c r="N475" s="76"/>
      <c r="O475" s="76"/>
      <c r="P475" s="77"/>
      <c r="Q475" s="77"/>
      <c r="R475" s="77"/>
      <c r="S475" s="88"/>
      <c r="T475" s="71"/>
      <c r="U475" s="37"/>
      <c r="V475" s="36">
        <f t="shared" si="10"/>
        <v>0</v>
      </c>
    </row>
    <row r="476" spans="1:22" ht="30" customHeight="1" x14ac:dyDescent="0.25">
      <c r="A476" s="97" t="str">
        <f>IF(B476="","",MAX($A$2:A475)+1)</f>
        <v/>
      </c>
      <c r="B476" s="72"/>
      <c r="C476" s="72"/>
      <c r="D476" s="90"/>
      <c r="E476" s="73"/>
      <c r="F476" s="74"/>
      <c r="G476" s="74"/>
      <c r="H476" s="74"/>
      <c r="I476" s="86"/>
      <c r="J476" s="294"/>
      <c r="K476" s="99"/>
      <c r="L476" s="100"/>
      <c r="M476" s="75"/>
      <c r="N476" s="76"/>
      <c r="O476" s="76"/>
      <c r="P476" s="77"/>
      <c r="Q476" s="77"/>
      <c r="R476" s="77"/>
      <c r="S476" s="88"/>
      <c r="T476" s="71"/>
      <c r="U476" s="37"/>
      <c r="V476" s="36">
        <f t="shared" si="10"/>
        <v>0</v>
      </c>
    </row>
    <row r="477" spans="1:22" ht="30" customHeight="1" x14ac:dyDescent="0.25">
      <c r="A477" s="97" t="str">
        <f>IF(B477="","",MAX($A$2:A476)+1)</f>
        <v/>
      </c>
      <c r="B477" s="72"/>
      <c r="C477" s="72"/>
      <c r="D477" s="90"/>
      <c r="E477" s="73"/>
      <c r="F477" s="74"/>
      <c r="G477" s="74"/>
      <c r="H477" s="74"/>
      <c r="I477" s="86"/>
      <c r="J477" s="294"/>
      <c r="K477" s="99"/>
      <c r="L477" s="100"/>
      <c r="M477" s="75"/>
      <c r="N477" s="76"/>
      <c r="O477" s="76"/>
      <c r="P477" s="77"/>
      <c r="Q477" s="77"/>
      <c r="R477" s="77"/>
      <c r="S477" s="88"/>
      <c r="T477" s="71"/>
      <c r="U477" s="37"/>
      <c r="V477" s="36">
        <f t="shared" si="10"/>
        <v>0</v>
      </c>
    </row>
    <row r="478" spans="1:22" ht="30" customHeight="1" x14ac:dyDescent="0.25">
      <c r="A478" s="97" t="str">
        <f>IF(B478="","",MAX($A$2:A477)+1)</f>
        <v/>
      </c>
      <c r="B478" s="72"/>
      <c r="C478" s="72"/>
      <c r="D478" s="90"/>
      <c r="E478" s="73"/>
      <c r="F478" s="74"/>
      <c r="G478" s="74"/>
      <c r="H478" s="74"/>
      <c r="I478" s="86"/>
      <c r="J478" s="294"/>
      <c r="K478" s="99"/>
      <c r="L478" s="100"/>
      <c r="M478" s="75"/>
      <c r="N478" s="76"/>
      <c r="O478" s="76"/>
      <c r="P478" s="77"/>
      <c r="Q478" s="77"/>
      <c r="R478" s="77"/>
      <c r="S478" s="88"/>
      <c r="T478" s="71"/>
      <c r="U478" s="37"/>
      <c r="V478" s="36">
        <f t="shared" si="10"/>
        <v>0</v>
      </c>
    </row>
    <row r="479" spans="1:22" ht="30" customHeight="1" x14ac:dyDescent="0.25">
      <c r="A479" s="97" t="str">
        <f>IF(B479="","",MAX($A$2:A478)+1)</f>
        <v/>
      </c>
      <c r="B479" s="102"/>
      <c r="C479" s="102"/>
      <c r="D479" s="91"/>
      <c r="E479" s="118"/>
      <c r="F479" s="78"/>
      <c r="G479" s="78"/>
      <c r="H479" s="78"/>
      <c r="I479" s="119"/>
      <c r="J479" s="295"/>
      <c r="K479" s="120"/>
      <c r="L479" s="121"/>
      <c r="M479" s="122"/>
      <c r="N479" s="76"/>
      <c r="O479" s="76"/>
      <c r="P479" s="77"/>
      <c r="Q479" s="77"/>
      <c r="R479" s="77"/>
      <c r="S479" s="88"/>
      <c r="T479" s="71"/>
      <c r="U479" s="37"/>
      <c r="V479" s="36">
        <f t="shared" si="10"/>
        <v>0</v>
      </c>
    </row>
    <row r="480" spans="1:22" ht="30" customHeight="1" x14ac:dyDescent="0.25">
      <c r="A480" s="97" t="str">
        <f>IF(B480="","",MAX($A$2:A479)+1)</f>
        <v/>
      </c>
      <c r="B480" s="102"/>
      <c r="C480" s="102"/>
      <c r="D480" s="90"/>
      <c r="E480" s="73"/>
      <c r="F480" s="74"/>
      <c r="G480" s="74"/>
      <c r="H480" s="74"/>
      <c r="I480" s="86"/>
      <c r="J480" s="294"/>
      <c r="K480" s="99"/>
      <c r="L480" s="100"/>
      <c r="M480" s="75"/>
      <c r="N480" s="76"/>
      <c r="O480" s="76"/>
      <c r="P480" s="77"/>
      <c r="Q480" s="77"/>
      <c r="R480" s="77"/>
      <c r="S480" s="88"/>
      <c r="T480" s="71"/>
      <c r="U480" s="37"/>
      <c r="V480" s="36">
        <f t="shared" si="10"/>
        <v>0</v>
      </c>
    </row>
    <row r="481" spans="1:22" ht="30" customHeight="1" x14ac:dyDescent="0.25">
      <c r="A481" s="97" t="str">
        <f>IF(B481="","",MAX($A$2:A480)+1)</f>
        <v/>
      </c>
      <c r="B481" s="72"/>
      <c r="C481" s="72"/>
      <c r="D481" s="90"/>
      <c r="E481" s="73"/>
      <c r="F481" s="74"/>
      <c r="G481" s="74"/>
      <c r="H481" s="74"/>
      <c r="I481" s="86"/>
      <c r="J481" s="294"/>
      <c r="K481" s="99"/>
      <c r="L481" s="100"/>
      <c r="M481" s="75"/>
      <c r="N481" s="76"/>
      <c r="O481" s="76"/>
      <c r="P481" s="77"/>
      <c r="Q481" s="77"/>
      <c r="R481" s="77"/>
      <c r="S481" s="88"/>
      <c r="T481" s="71"/>
      <c r="U481" s="37"/>
      <c r="V481" s="36">
        <f t="shared" si="10"/>
        <v>0</v>
      </c>
    </row>
    <row r="482" spans="1:22" ht="30" customHeight="1" x14ac:dyDescent="0.25">
      <c r="A482" s="97" t="str">
        <f>IF(B482="","",MAX($A$2:A481)+1)</f>
        <v/>
      </c>
      <c r="B482" s="72"/>
      <c r="C482" s="72"/>
      <c r="D482" s="90"/>
      <c r="E482" s="73"/>
      <c r="F482" s="74"/>
      <c r="G482" s="74"/>
      <c r="H482" s="74"/>
      <c r="I482" s="86"/>
      <c r="J482" s="294"/>
      <c r="K482" s="99"/>
      <c r="L482" s="100"/>
      <c r="M482" s="75"/>
      <c r="N482" s="76"/>
      <c r="O482" s="76"/>
      <c r="P482" s="77"/>
      <c r="Q482" s="77"/>
      <c r="R482" s="77"/>
      <c r="S482" s="88"/>
      <c r="T482" s="71"/>
      <c r="U482" s="37"/>
      <c r="V482" s="36">
        <f t="shared" si="10"/>
        <v>0</v>
      </c>
    </row>
    <row r="483" spans="1:22" ht="30" customHeight="1" x14ac:dyDescent="0.25">
      <c r="A483" s="97" t="str">
        <f>IF(B483="","",MAX($A$2:A482)+1)</f>
        <v/>
      </c>
      <c r="B483" s="72"/>
      <c r="C483" s="72"/>
      <c r="D483" s="90"/>
      <c r="E483" s="73"/>
      <c r="F483" s="74"/>
      <c r="G483" s="74"/>
      <c r="H483" s="74"/>
      <c r="I483" s="86"/>
      <c r="J483" s="294"/>
      <c r="K483" s="99"/>
      <c r="L483" s="100"/>
      <c r="M483" s="75"/>
      <c r="N483" s="76"/>
      <c r="O483" s="76"/>
      <c r="P483" s="77"/>
      <c r="Q483" s="77"/>
      <c r="R483" s="77"/>
      <c r="S483" s="88"/>
      <c r="T483" s="71"/>
      <c r="U483" s="37"/>
      <c r="V483" s="36">
        <f t="shared" si="10"/>
        <v>0</v>
      </c>
    </row>
    <row r="484" spans="1:22" ht="30" customHeight="1" x14ac:dyDescent="0.25">
      <c r="A484" s="97" t="str">
        <f>IF(B484="","",MAX($A$2:A483)+1)</f>
        <v/>
      </c>
      <c r="B484" s="102"/>
      <c r="C484" s="102"/>
      <c r="D484" s="91"/>
      <c r="E484" s="118"/>
      <c r="F484" s="78"/>
      <c r="G484" s="78"/>
      <c r="H484" s="78"/>
      <c r="I484" s="119"/>
      <c r="J484" s="295"/>
      <c r="K484" s="120"/>
      <c r="L484" s="121"/>
      <c r="M484" s="122"/>
      <c r="N484" s="76"/>
      <c r="O484" s="76"/>
      <c r="P484" s="77"/>
      <c r="Q484" s="77"/>
      <c r="R484" s="77"/>
      <c r="S484" s="88"/>
      <c r="T484" s="71"/>
      <c r="U484" s="37"/>
      <c r="V484" s="36">
        <f t="shared" si="10"/>
        <v>0</v>
      </c>
    </row>
    <row r="485" spans="1:22" ht="30" customHeight="1" x14ac:dyDescent="0.25">
      <c r="A485" s="97" t="str">
        <f>IF(B485="","",MAX($A$2:A484)+1)</f>
        <v/>
      </c>
      <c r="B485" s="72"/>
      <c r="C485" s="72"/>
      <c r="D485" s="90"/>
      <c r="E485" s="73"/>
      <c r="F485" s="74"/>
      <c r="G485" s="74"/>
      <c r="H485" s="74"/>
      <c r="I485" s="86"/>
      <c r="J485" s="294"/>
      <c r="K485" s="99"/>
      <c r="L485" s="100"/>
      <c r="M485" s="75"/>
      <c r="N485" s="76"/>
      <c r="O485" s="76"/>
      <c r="P485" s="77"/>
      <c r="Q485" s="77"/>
      <c r="R485" s="77"/>
      <c r="S485" s="88"/>
      <c r="T485" s="71"/>
      <c r="U485" s="37"/>
      <c r="V485" s="36">
        <f t="shared" si="10"/>
        <v>0</v>
      </c>
    </row>
    <row r="486" spans="1:22" ht="30" customHeight="1" x14ac:dyDescent="0.25">
      <c r="A486" s="97" t="str">
        <f>IF(B486="","",MAX($A$2:A485)+1)</f>
        <v/>
      </c>
      <c r="B486" s="72"/>
      <c r="C486" s="72"/>
      <c r="D486" s="90"/>
      <c r="E486" s="73"/>
      <c r="F486" s="74"/>
      <c r="G486" s="74"/>
      <c r="H486" s="74"/>
      <c r="I486" s="86"/>
      <c r="J486" s="294"/>
      <c r="K486" s="99"/>
      <c r="L486" s="100"/>
      <c r="M486" s="75"/>
      <c r="N486" s="76"/>
      <c r="O486" s="76"/>
      <c r="P486" s="77"/>
      <c r="Q486" s="77"/>
      <c r="R486" s="77"/>
      <c r="S486" s="88"/>
      <c r="T486" s="71"/>
      <c r="U486" s="37"/>
      <c r="V486" s="36">
        <f t="shared" si="10"/>
        <v>0</v>
      </c>
    </row>
    <row r="487" spans="1:22" ht="30" customHeight="1" x14ac:dyDescent="0.25">
      <c r="A487" s="97" t="str">
        <f>IF(B487="","",MAX($A$2:A486)+1)</f>
        <v/>
      </c>
      <c r="B487" s="72"/>
      <c r="C487" s="72"/>
      <c r="D487" s="90"/>
      <c r="E487" s="73"/>
      <c r="F487" s="74"/>
      <c r="G487" s="74"/>
      <c r="H487" s="74"/>
      <c r="I487" s="86"/>
      <c r="J487" s="294"/>
      <c r="K487" s="99"/>
      <c r="L487" s="100"/>
      <c r="M487" s="75"/>
      <c r="N487" s="76"/>
      <c r="O487" s="76"/>
      <c r="P487" s="77"/>
      <c r="Q487" s="77"/>
      <c r="R487" s="77"/>
      <c r="S487" s="88"/>
      <c r="T487" s="71"/>
      <c r="U487" s="37"/>
      <c r="V487" s="36">
        <f t="shared" si="10"/>
        <v>0</v>
      </c>
    </row>
    <row r="488" spans="1:22" ht="30" customHeight="1" x14ac:dyDescent="0.25">
      <c r="A488" s="97" t="str">
        <f>IF(B488="","",MAX($A$2:A487)+1)</f>
        <v/>
      </c>
      <c r="B488" s="72"/>
      <c r="C488" s="72"/>
      <c r="D488" s="90"/>
      <c r="E488" s="73"/>
      <c r="F488" s="74"/>
      <c r="G488" s="74"/>
      <c r="H488" s="74"/>
      <c r="I488" s="86"/>
      <c r="J488" s="294"/>
      <c r="K488" s="99"/>
      <c r="L488" s="100"/>
      <c r="M488" s="75"/>
      <c r="N488" s="76"/>
      <c r="O488" s="76"/>
      <c r="P488" s="77"/>
      <c r="Q488" s="77"/>
      <c r="R488" s="77"/>
      <c r="S488" s="88"/>
      <c r="T488" s="71"/>
      <c r="U488" s="37"/>
      <c r="V488" s="36">
        <f t="shared" si="10"/>
        <v>0</v>
      </c>
    </row>
    <row r="489" spans="1:22" ht="30" customHeight="1" x14ac:dyDescent="0.25">
      <c r="A489" s="97" t="str">
        <f>IF(B489="","",MAX($A$2:A488)+1)</f>
        <v/>
      </c>
      <c r="B489" s="72"/>
      <c r="C489" s="72"/>
      <c r="D489" s="90"/>
      <c r="E489" s="73"/>
      <c r="F489" s="74"/>
      <c r="G489" s="74"/>
      <c r="H489" s="74"/>
      <c r="I489" s="86"/>
      <c r="J489" s="294"/>
      <c r="K489" s="99"/>
      <c r="L489" s="100"/>
      <c r="M489" s="75"/>
      <c r="N489" s="76"/>
      <c r="O489" s="76"/>
      <c r="P489" s="77"/>
      <c r="Q489" s="77"/>
      <c r="R489" s="77"/>
      <c r="S489" s="88"/>
      <c r="T489" s="71"/>
      <c r="U489" s="37"/>
      <c r="V489" s="36">
        <f t="shared" si="10"/>
        <v>0</v>
      </c>
    </row>
    <row r="490" spans="1:22" ht="30" customHeight="1" x14ac:dyDescent="0.25">
      <c r="A490" s="97" t="str">
        <f>IF(B490="","",MAX($A$2:A489)+1)</f>
        <v/>
      </c>
      <c r="B490" s="72"/>
      <c r="C490" s="72"/>
      <c r="D490" s="90"/>
      <c r="E490" s="73"/>
      <c r="F490" s="74"/>
      <c r="G490" s="74"/>
      <c r="H490" s="74"/>
      <c r="I490" s="86"/>
      <c r="J490" s="294"/>
      <c r="K490" s="99"/>
      <c r="L490" s="100"/>
      <c r="M490" s="75"/>
      <c r="N490" s="76"/>
      <c r="O490" s="76"/>
      <c r="P490" s="77"/>
      <c r="Q490" s="77"/>
      <c r="R490" s="77"/>
      <c r="S490" s="88"/>
      <c r="T490" s="71"/>
      <c r="U490" s="37"/>
      <c r="V490" s="36">
        <f t="shared" si="10"/>
        <v>0</v>
      </c>
    </row>
    <row r="491" spans="1:22" ht="30" customHeight="1" x14ac:dyDescent="0.25">
      <c r="A491" s="97" t="str">
        <f>IF(B491="","",MAX($A$2:A490)+1)</f>
        <v/>
      </c>
      <c r="B491" s="72"/>
      <c r="C491" s="72"/>
      <c r="D491" s="90"/>
      <c r="E491" s="73"/>
      <c r="F491" s="74"/>
      <c r="G491" s="74"/>
      <c r="H491" s="74"/>
      <c r="I491" s="86"/>
      <c r="J491" s="294"/>
      <c r="K491" s="99"/>
      <c r="L491" s="100"/>
      <c r="M491" s="75"/>
      <c r="N491" s="76"/>
      <c r="O491" s="76"/>
      <c r="P491" s="77"/>
      <c r="Q491" s="77"/>
      <c r="R491" s="77"/>
      <c r="S491" s="88"/>
      <c r="T491" s="71"/>
      <c r="U491" s="37"/>
      <c r="V491" s="36">
        <f t="shared" si="10"/>
        <v>0</v>
      </c>
    </row>
    <row r="492" spans="1:22" ht="30" customHeight="1" x14ac:dyDescent="0.25">
      <c r="A492" s="97" t="str">
        <f>IF(B492="","",MAX($A$2:A491)+1)</f>
        <v/>
      </c>
      <c r="B492" s="72"/>
      <c r="C492" s="72"/>
      <c r="D492" s="90"/>
      <c r="E492" s="73"/>
      <c r="F492" s="74"/>
      <c r="G492" s="74"/>
      <c r="H492" s="74"/>
      <c r="I492" s="86"/>
      <c r="J492" s="294"/>
      <c r="K492" s="99"/>
      <c r="L492" s="100"/>
      <c r="M492" s="75"/>
      <c r="N492" s="76"/>
      <c r="O492" s="76"/>
      <c r="P492" s="77"/>
      <c r="Q492" s="77"/>
      <c r="R492" s="77"/>
      <c r="S492" s="88"/>
      <c r="T492" s="71"/>
      <c r="U492" s="37"/>
      <c r="V492" s="36">
        <f t="shared" si="10"/>
        <v>0</v>
      </c>
    </row>
    <row r="493" spans="1:22" ht="30" customHeight="1" x14ac:dyDescent="0.25">
      <c r="A493" s="97" t="str">
        <f>IF(B493="","",MAX($A$2:A492)+1)</f>
        <v/>
      </c>
      <c r="B493" s="72"/>
      <c r="C493" s="72"/>
      <c r="D493" s="90"/>
      <c r="E493" s="73"/>
      <c r="F493" s="74"/>
      <c r="G493" s="74"/>
      <c r="H493" s="74"/>
      <c r="I493" s="86"/>
      <c r="J493" s="294"/>
      <c r="K493" s="99"/>
      <c r="L493" s="100"/>
      <c r="M493" s="75"/>
      <c r="N493" s="76"/>
      <c r="O493" s="76"/>
      <c r="P493" s="77"/>
      <c r="Q493" s="77"/>
      <c r="R493" s="77"/>
      <c r="S493" s="88"/>
      <c r="T493" s="71"/>
      <c r="U493" s="37"/>
      <c r="V493" s="36">
        <f t="shared" si="10"/>
        <v>0</v>
      </c>
    </row>
    <row r="494" spans="1:22" ht="30" customHeight="1" x14ac:dyDescent="0.25">
      <c r="A494" s="97" t="str">
        <f>IF(B494="","",MAX($A$2:A493)+1)</f>
        <v/>
      </c>
      <c r="B494" s="72"/>
      <c r="C494" s="72"/>
      <c r="D494" s="90"/>
      <c r="E494" s="73"/>
      <c r="F494" s="74"/>
      <c r="G494" s="74"/>
      <c r="H494" s="74"/>
      <c r="I494" s="86"/>
      <c r="J494" s="294"/>
      <c r="K494" s="99"/>
      <c r="L494" s="100"/>
      <c r="M494" s="75"/>
      <c r="N494" s="76"/>
      <c r="O494" s="76"/>
      <c r="P494" s="77"/>
      <c r="Q494" s="77"/>
      <c r="R494" s="77"/>
      <c r="S494" s="88"/>
      <c r="T494" s="71"/>
      <c r="U494" s="37"/>
      <c r="V494" s="36">
        <f t="shared" si="10"/>
        <v>0</v>
      </c>
    </row>
    <row r="495" spans="1:22" ht="30" customHeight="1" x14ac:dyDescent="0.25">
      <c r="A495" s="97" t="str">
        <f>IF(B495="","",MAX($A$2:A494)+1)</f>
        <v/>
      </c>
      <c r="B495" s="72"/>
      <c r="C495" s="72"/>
      <c r="D495" s="90"/>
      <c r="E495" s="73"/>
      <c r="F495" s="74"/>
      <c r="G495" s="74"/>
      <c r="H495" s="74"/>
      <c r="I495" s="86"/>
      <c r="J495" s="294"/>
      <c r="K495" s="99"/>
      <c r="L495" s="100"/>
      <c r="M495" s="75"/>
      <c r="N495" s="76"/>
      <c r="O495" s="76"/>
      <c r="P495" s="77"/>
      <c r="Q495" s="77"/>
      <c r="R495" s="77"/>
      <c r="S495" s="88"/>
      <c r="T495" s="71"/>
      <c r="U495" s="37"/>
      <c r="V495" s="36">
        <f t="shared" si="10"/>
        <v>0</v>
      </c>
    </row>
    <row r="496" spans="1:22" ht="30" customHeight="1" x14ac:dyDescent="0.25">
      <c r="A496" s="97" t="str">
        <f>IF(B496="","",MAX($A$2:A495)+1)</f>
        <v/>
      </c>
      <c r="B496" s="72"/>
      <c r="C496" s="72"/>
      <c r="D496" s="90"/>
      <c r="E496" s="73"/>
      <c r="F496" s="74"/>
      <c r="G496" s="74"/>
      <c r="H496" s="74"/>
      <c r="I496" s="86"/>
      <c r="J496" s="294"/>
      <c r="K496" s="99"/>
      <c r="L496" s="100"/>
      <c r="M496" s="75"/>
      <c r="N496" s="76"/>
      <c r="O496" s="76"/>
      <c r="P496" s="77"/>
      <c r="Q496" s="77"/>
      <c r="R496" s="77"/>
      <c r="S496" s="88"/>
      <c r="T496" s="71"/>
      <c r="U496" s="37"/>
      <c r="V496" s="36">
        <f t="shared" si="10"/>
        <v>0</v>
      </c>
    </row>
    <row r="497" spans="1:22" ht="30" customHeight="1" x14ac:dyDescent="0.25">
      <c r="A497" s="97" t="str">
        <f>IF(B497="","",MAX($A$2:A496)+1)</f>
        <v/>
      </c>
      <c r="B497" s="72"/>
      <c r="C497" s="72"/>
      <c r="D497" s="90"/>
      <c r="E497" s="73"/>
      <c r="F497" s="74"/>
      <c r="G497" s="74"/>
      <c r="H497" s="74"/>
      <c r="I497" s="86"/>
      <c r="J497" s="294"/>
      <c r="K497" s="99"/>
      <c r="L497" s="100"/>
      <c r="M497" s="75"/>
      <c r="N497" s="76"/>
      <c r="O497" s="76"/>
      <c r="P497" s="77"/>
      <c r="Q497" s="77"/>
      <c r="R497" s="77"/>
      <c r="S497" s="88"/>
      <c r="T497" s="71"/>
      <c r="U497" s="37"/>
      <c r="V497" s="36">
        <f t="shared" si="10"/>
        <v>0</v>
      </c>
    </row>
    <row r="498" spans="1:22" ht="30" customHeight="1" x14ac:dyDescent="0.25">
      <c r="A498" s="97" t="str">
        <f>IF(B498="","",MAX($A$2:A497)+1)</f>
        <v/>
      </c>
      <c r="B498" s="72"/>
      <c r="C498" s="72"/>
      <c r="D498" s="90"/>
      <c r="E498" s="73"/>
      <c r="F498" s="74"/>
      <c r="G498" s="74"/>
      <c r="H498" s="74"/>
      <c r="I498" s="86"/>
      <c r="J498" s="294"/>
      <c r="K498" s="99"/>
      <c r="L498" s="100"/>
      <c r="M498" s="75"/>
      <c r="N498" s="76"/>
      <c r="O498" s="76"/>
      <c r="P498" s="77"/>
      <c r="Q498" s="77"/>
      <c r="R498" s="77"/>
      <c r="S498" s="88"/>
      <c r="T498" s="71"/>
      <c r="U498" s="37"/>
      <c r="V498" s="36">
        <f t="shared" si="10"/>
        <v>0</v>
      </c>
    </row>
    <row r="499" spans="1:22" ht="30" customHeight="1" x14ac:dyDescent="0.25">
      <c r="A499" s="97" t="str">
        <f>IF(B499="","",MAX($A$2:A498)+1)</f>
        <v/>
      </c>
      <c r="B499" s="72"/>
      <c r="C499" s="72"/>
      <c r="D499" s="92"/>
      <c r="E499" s="73"/>
      <c r="F499" s="74"/>
      <c r="G499" s="74"/>
      <c r="H499" s="74"/>
      <c r="I499" s="86"/>
      <c r="J499" s="294"/>
      <c r="K499" s="99"/>
      <c r="L499" s="100"/>
      <c r="M499" s="75"/>
      <c r="N499" s="76"/>
      <c r="O499" s="76"/>
      <c r="P499" s="77"/>
      <c r="Q499" s="77"/>
      <c r="R499" s="77"/>
      <c r="S499" s="88"/>
      <c r="T499" s="71"/>
      <c r="U499" s="37"/>
      <c r="V499" s="36">
        <f t="shared" si="10"/>
        <v>0</v>
      </c>
    </row>
    <row r="500" spans="1:22" ht="30" customHeight="1" x14ac:dyDescent="0.25">
      <c r="A500" s="97" t="str">
        <f>IF(B500="","",MAX($A$2:A499)+1)</f>
        <v/>
      </c>
      <c r="B500" s="102"/>
      <c r="C500" s="102"/>
      <c r="D500" s="91"/>
      <c r="E500" s="118"/>
      <c r="F500" s="78"/>
      <c r="G500" s="78"/>
      <c r="H500" s="78"/>
      <c r="I500" s="119"/>
      <c r="J500" s="295"/>
      <c r="K500" s="120"/>
      <c r="L500" s="121"/>
      <c r="M500" s="122"/>
      <c r="N500" s="76"/>
      <c r="O500" s="76"/>
      <c r="P500" s="77"/>
      <c r="Q500" s="77"/>
      <c r="R500" s="77"/>
      <c r="S500" s="88"/>
      <c r="T500" s="71"/>
      <c r="U500" s="37"/>
      <c r="V500" s="36">
        <f t="shared" si="10"/>
        <v>0</v>
      </c>
    </row>
    <row r="501" spans="1:22" ht="30" customHeight="1" x14ac:dyDescent="0.25">
      <c r="A501" s="97" t="str">
        <f>IF(B501="","",MAX($A$2:A500)+1)</f>
        <v/>
      </c>
      <c r="B501" s="72"/>
      <c r="C501" s="72"/>
      <c r="D501" s="90"/>
      <c r="E501" s="73"/>
      <c r="F501" s="74"/>
      <c r="G501" s="74"/>
      <c r="H501" s="74"/>
      <c r="I501" s="86"/>
      <c r="J501" s="294"/>
      <c r="K501" s="99"/>
      <c r="L501" s="100"/>
      <c r="M501" s="75"/>
      <c r="N501" s="76"/>
      <c r="O501" s="76"/>
      <c r="P501" s="77"/>
      <c r="Q501" s="77"/>
      <c r="R501" s="77"/>
      <c r="S501" s="88"/>
      <c r="T501" s="71"/>
      <c r="U501" s="37"/>
      <c r="V501" s="36">
        <f t="shared" si="10"/>
        <v>0</v>
      </c>
    </row>
    <row r="502" spans="1:22" ht="30" customHeight="1" x14ac:dyDescent="0.25">
      <c r="A502" s="97" t="str">
        <f>IF(B502="","",MAX($A$2:A501)+1)</f>
        <v/>
      </c>
      <c r="B502" s="102"/>
      <c r="C502" s="72"/>
      <c r="D502" s="90"/>
      <c r="E502" s="73"/>
      <c r="F502" s="74"/>
      <c r="G502" s="74"/>
      <c r="H502" s="74"/>
      <c r="I502" s="86"/>
      <c r="J502" s="294"/>
      <c r="K502" s="99"/>
      <c r="L502" s="100"/>
      <c r="M502" s="75"/>
      <c r="N502" s="76"/>
      <c r="O502" s="76"/>
      <c r="P502" s="77"/>
      <c r="Q502" s="77"/>
      <c r="R502" s="77"/>
      <c r="S502" s="88"/>
      <c r="T502" s="71"/>
      <c r="U502" s="37"/>
      <c r="V502" s="36">
        <f t="shared" si="10"/>
        <v>0</v>
      </c>
    </row>
    <row r="503" spans="1:22" ht="30" customHeight="1" x14ac:dyDescent="0.25">
      <c r="A503" s="97" t="str">
        <f>IF(B503="","",MAX($A$2:A502)+1)</f>
        <v/>
      </c>
      <c r="B503" s="72"/>
      <c r="C503" s="72"/>
      <c r="D503" s="90"/>
      <c r="E503" s="73"/>
      <c r="F503" s="74"/>
      <c r="G503" s="74"/>
      <c r="H503" s="74"/>
      <c r="I503" s="86"/>
      <c r="J503" s="294"/>
      <c r="K503" s="99"/>
      <c r="L503" s="100"/>
      <c r="M503" s="75"/>
      <c r="N503" s="76"/>
      <c r="O503" s="76"/>
      <c r="P503" s="77"/>
      <c r="Q503" s="77"/>
      <c r="R503" s="77"/>
      <c r="S503" s="88"/>
      <c r="T503" s="71"/>
      <c r="U503" s="37"/>
      <c r="V503" s="36">
        <f t="shared" si="10"/>
        <v>0</v>
      </c>
    </row>
    <row r="504" spans="1:22" ht="30" customHeight="1" x14ac:dyDescent="0.25">
      <c r="A504" s="97" t="str">
        <f>IF(B504="","",MAX($A$2:A503)+1)</f>
        <v/>
      </c>
      <c r="B504" s="102"/>
      <c r="C504" s="102"/>
      <c r="D504" s="91"/>
      <c r="E504" s="118"/>
      <c r="F504" s="78"/>
      <c r="G504" s="78"/>
      <c r="H504" s="78"/>
      <c r="I504" s="119"/>
      <c r="J504" s="295"/>
      <c r="K504" s="120"/>
      <c r="L504" s="121"/>
      <c r="M504" s="122"/>
      <c r="N504" s="76"/>
      <c r="O504" s="76"/>
      <c r="P504" s="77"/>
      <c r="Q504" s="77"/>
      <c r="R504" s="77"/>
      <c r="S504" s="88"/>
      <c r="T504" s="71"/>
      <c r="U504" s="37"/>
      <c r="V504" s="36">
        <f t="shared" si="10"/>
        <v>0</v>
      </c>
    </row>
    <row r="505" spans="1:22" ht="30" customHeight="1" x14ac:dyDescent="0.25">
      <c r="A505" s="97" t="str">
        <f>IF(B505="","",MAX($A$2:A504)+1)</f>
        <v/>
      </c>
      <c r="B505" s="72"/>
      <c r="C505" s="72"/>
      <c r="D505" s="90"/>
      <c r="E505" s="73"/>
      <c r="F505" s="74"/>
      <c r="G505" s="74"/>
      <c r="H505" s="74"/>
      <c r="I505" s="86"/>
      <c r="J505" s="294"/>
      <c r="K505" s="99"/>
      <c r="L505" s="100"/>
      <c r="M505" s="75"/>
      <c r="N505" s="76"/>
      <c r="O505" s="76"/>
      <c r="P505" s="77"/>
      <c r="Q505" s="77"/>
      <c r="R505" s="77"/>
      <c r="S505" s="88"/>
      <c r="T505" s="71"/>
      <c r="U505" s="37"/>
      <c r="V505" s="36">
        <f t="shared" si="10"/>
        <v>0</v>
      </c>
    </row>
    <row r="506" spans="1:22" ht="30" customHeight="1" x14ac:dyDescent="0.25">
      <c r="A506" s="97" t="str">
        <f>IF(B506="","",MAX($A$2:A505)+1)</f>
        <v/>
      </c>
      <c r="B506" s="102"/>
      <c r="C506" s="102"/>
      <c r="D506" s="90"/>
      <c r="E506" s="73"/>
      <c r="F506" s="74"/>
      <c r="G506" s="74"/>
      <c r="H506" s="74"/>
      <c r="I506" s="86"/>
      <c r="J506" s="294"/>
      <c r="K506" s="99"/>
      <c r="L506" s="100"/>
      <c r="M506" s="75"/>
      <c r="N506" s="76"/>
      <c r="O506" s="76"/>
      <c r="P506" s="77"/>
      <c r="Q506" s="77"/>
      <c r="R506" s="77"/>
      <c r="S506" s="88"/>
      <c r="T506" s="71"/>
      <c r="U506" s="37"/>
      <c r="V506" s="36">
        <f t="shared" si="10"/>
        <v>0</v>
      </c>
    </row>
    <row r="507" spans="1:22" ht="30" customHeight="1" x14ac:dyDescent="0.25">
      <c r="A507" s="97" t="str">
        <f>IF(B507="","",MAX($A$2:A506)+1)</f>
        <v/>
      </c>
      <c r="B507" s="102"/>
      <c r="C507" s="102"/>
      <c r="D507" s="90"/>
      <c r="E507" s="73"/>
      <c r="F507" s="74"/>
      <c r="G507" s="74"/>
      <c r="H507" s="74"/>
      <c r="I507" s="86"/>
      <c r="J507" s="294"/>
      <c r="K507" s="99"/>
      <c r="L507" s="100"/>
      <c r="M507" s="75"/>
      <c r="N507" s="76"/>
      <c r="O507" s="76"/>
      <c r="P507" s="77"/>
      <c r="Q507" s="77"/>
      <c r="R507" s="77"/>
      <c r="S507" s="88"/>
      <c r="T507" s="71"/>
      <c r="U507" s="37"/>
      <c r="V507" s="36">
        <f t="shared" si="10"/>
        <v>0</v>
      </c>
    </row>
    <row r="508" spans="1:22" ht="30" customHeight="1" x14ac:dyDescent="0.25">
      <c r="A508" s="97" t="str">
        <f>IF(B508="","",MAX($A$2:A507)+1)</f>
        <v/>
      </c>
      <c r="B508" s="72"/>
      <c r="C508" s="72"/>
      <c r="D508" s="90"/>
      <c r="E508" s="73"/>
      <c r="F508" s="74"/>
      <c r="G508" s="74"/>
      <c r="H508" s="74"/>
      <c r="I508" s="86"/>
      <c r="J508" s="294"/>
      <c r="K508" s="99"/>
      <c r="L508" s="100"/>
      <c r="M508" s="75"/>
      <c r="N508" s="76"/>
      <c r="O508" s="76"/>
      <c r="P508" s="77"/>
      <c r="Q508" s="77"/>
      <c r="R508" s="77"/>
      <c r="S508" s="88"/>
      <c r="T508" s="71"/>
      <c r="U508" s="37"/>
      <c r="V508" s="36">
        <f t="shared" si="10"/>
        <v>0</v>
      </c>
    </row>
    <row r="509" spans="1:22" ht="30" customHeight="1" x14ac:dyDescent="0.25">
      <c r="A509" s="97" t="str">
        <f>IF(B509="","",MAX($A$2:A508)+1)</f>
        <v/>
      </c>
      <c r="B509" s="72"/>
      <c r="C509" s="72"/>
      <c r="D509" s="90"/>
      <c r="E509" s="73"/>
      <c r="F509" s="74"/>
      <c r="G509" s="74"/>
      <c r="H509" s="74"/>
      <c r="I509" s="86"/>
      <c r="J509" s="294"/>
      <c r="K509" s="99"/>
      <c r="L509" s="100"/>
      <c r="M509" s="75"/>
      <c r="N509" s="76"/>
      <c r="O509" s="76"/>
      <c r="P509" s="77"/>
      <c r="Q509" s="77"/>
      <c r="R509" s="77"/>
      <c r="S509" s="88"/>
      <c r="T509" s="71"/>
      <c r="U509" s="37"/>
      <c r="V509" s="36">
        <f t="shared" si="10"/>
        <v>0</v>
      </c>
    </row>
    <row r="510" spans="1:22" ht="30" customHeight="1" x14ac:dyDescent="0.25">
      <c r="A510" s="97" t="str">
        <f>IF(B510="","",MAX($A$2:A509)+1)</f>
        <v/>
      </c>
      <c r="B510" s="72"/>
      <c r="C510" s="72"/>
      <c r="D510" s="90"/>
      <c r="E510" s="73"/>
      <c r="F510" s="74"/>
      <c r="G510" s="74"/>
      <c r="H510" s="74"/>
      <c r="I510" s="86"/>
      <c r="J510" s="294"/>
      <c r="K510" s="99"/>
      <c r="L510" s="100"/>
      <c r="M510" s="75"/>
      <c r="N510" s="76"/>
      <c r="O510" s="76"/>
      <c r="P510" s="77"/>
      <c r="Q510" s="77"/>
      <c r="R510" s="77"/>
      <c r="S510" s="88"/>
      <c r="T510" s="71"/>
      <c r="U510" s="37"/>
      <c r="V510" s="36">
        <f t="shared" si="10"/>
        <v>0</v>
      </c>
    </row>
    <row r="511" spans="1:22" ht="30" customHeight="1" x14ac:dyDescent="0.25">
      <c r="A511" s="97" t="str">
        <f>IF(B511="","",MAX($A$2:A510)+1)</f>
        <v/>
      </c>
      <c r="B511" s="72"/>
      <c r="C511" s="72"/>
      <c r="D511" s="90"/>
      <c r="E511" s="73"/>
      <c r="F511" s="74"/>
      <c r="G511" s="74"/>
      <c r="H511" s="74"/>
      <c r="I511" s="86"/>
      <c r="J511" s="294"/>
      <c r="K511" s="99"/>
      <c r="L511" s="100"/>
      <c r="M511" s="75"/>
      <c r="N511" s="76"/>
      <c r="O511" s="76"/>
      <c r="P511" s="77"/>
      <c r="Q511" s="77"/>
      <c r="R511" s="77"/>
      <c r="S511" s="88"/>
      <c r="T511" s="71"/>
      <c r="U511" s="37"/>
      <c r="V511" s="36">
        <f t="shared" si="10"/>
        <v>0</v>
      </c>
    </row>
    <row r="512" spans="1:22" ht="30" customHeight="1" x14ac:dyDescent="0.25">
      <c r="A512" s="97" t="str">
        <f>IF(B512="","",MAX($A$2:A511)+1)</f>
        <v/>
      </c>
      <c r="B512" s="72"/>
      <c r="C512" s="72"/>
      <c r="D512" s="90"/>
      <c r="E512" s="73"/>
      <c r="F512" s="74"/>
      <c r="G512" s="74"/>
      <c r="H512" s="74"/>
      <c r="I512" s="86"/>
      <c r="J512" s="294"/>
      <c r="K512" s="99"/>
      <c r="L512" s="100"/>
      <c r="M512" s="75"/>
      <c r="N512" s="76"/>
      <c r="O512" s="76"/>
      <c r="P512" s="77"/>
      <c r="Q512" s="77"/>
      <c r="R512" s="77"/>
      <c r="S512" s="88"/>
      <c r="T512" s="71"/>
      <c r="U512" s="37"/>
      <c r="V512" s="36">
        <f t="shared" si="10"/>
        <v>0</v>
      </c>
    </row>
    <row r="513" spans="1:22" ht="30" customHeight="1" x14ac:dyDescent="0.25">
      <c r="A513" s="97" t="str">
        <f>IF(B513="","",MAX($A$2:A512)+1)</f>
        <v/>
      </c>
      <c r="B513" s="72"/>
      <c r="C513" s="72"/>
      <c r="D513" s="90"/>
      <c r="E513" s="73"/>
      <c r="F513" s="74"/>
      <c r="G513" s="74"/>
      <c r="H513" s="74"/>
      <c r="I513" s="86"/>
      <c r="J513" s="294"/>
      <c r="K513" s="99"/>
      <c r="L513" s="100"/>
      <c r="M513" s="75"/>
      <c r="N513" s="76"/>
      <c r="O513" s="76"/>
      <c r="P513" s="77"/>
      <c r="Q513" s="77"/>
      <c r="R513" s="77"/>
      <c r="S513" s="88"/>
      <c r="T513" s="71"/>
      <c r="U513" s="37"/>
      <c r="V513" s="36">
        <f t="shared" si="10"/>
        <v>0</v>
      </c>
    </row>
    <row r="514" spans="1:22" ht="30" customHeight="1" x14ac:dyDescent="0.25">
      <c r="A514" s="97" t="str">
        <f>IF(B514="","",MAX($A$2:A513)+1)</f>
        <v/>
      </c>
      <c r="B514" s="72"/>
      <c r="C514" s="72"/>
      <c r="D514" s="90"/>
      <c r="E514" s="73"/>
      <c r="F514" s="74"/>
      <c r="G514" s="74"/>
      <c r="H514" s="74"/>
      <c r="I514" s="86"/>
      <c r="J514" s="294"/>
      <c r="K514" s="99"/>
      <c r="L514" s="100"/>
      <c r="M514" s="75"/>
      <c r="N514" s="76"/>
      <c r="O514" s="76"/>
      <c r="P514" s="77"/>
      <c r="Q514" s="77"/>
      <c r="R514" s="77"/>
      <c r="S514" s="88"/>
      <c r="T514" s="71"/>
      <c r="U514" s="37"/>
      <c r="V514" s="36">
        <f t="shared" si="10"/>
        <v>0</v>
      </c>
    </row>
    <row r="515" spans="1:22" ht="30" customHeight="1" x14ac:dyDescent="0.25">
      <c r="A515" s="97" t="str">
        <f>IF(B515="","",MAX($A$2:A514)+1)</f>
        <v/>
      </c>
      <c r="B515" s="72"/>
      <c r="C515" s="72"/>
      <c r="D515" s="90"/>
      <c r="E515" s="73"/>
      <c r="F515" s="74"/>
      <c r="G515" s="74"/>
      <c r="H515" s="74"/>
      <c r="I515" s="86"/>
      <c r="J515" s="294"/>
      <c r="K515" s="99"/>
      <c r="L515" s="100"/>
      <c r="M515" s="75"/>
      <c r="N515" s="76"/>
      <c r="O515" s="76"/>
      <c r="P515" s="77"/>
      <c r="Q515" s="77"/>
      <c r="R515" s="77"/>
      <c r="S515" s="88"/>
      <c r="T515" s="71"/>
      <c r="U515" s="37"/>
      <c r="V515" s="36">
        <f t="shared" si="10"/>
        <v>0</v>
      </c>
    </row>
    <row r="516" spans="1:22" ht="30" customHeight="1" x14ac:dyDescent="0.25">
      <c r="A516" s="97" t="str">
        <f>IF(B516="","",MAX($A$2:A515)+1)</f>
        <v/>
      </c>
      <c r="B516" s="72"/>
      <c r="C516" s="72"/>
      <c r="D516" s="90"/>
      <c r="E516" s="73"/>
      <c r="F516" s="74"/>
      <c r="G516" s="74"/>
      <c r="H516" s="74"/>
      <c r="I516" s="86"/>
      <c r="J516" s="294"/>
      <c r="K516" s="99"/>
      <c r="L516" s="100"/>
      <c r="M516" s="75"/>
      <c r="N516" s="76"/>
      <c r="O516" s="76"/>
      <c r="P516" s="77"/>
      <c r="Q516" s="77"/>
      <c r="R516" s="77"/>
      <c r="S516" s="88"/>
      <c r="T516" s="71"/>
      <c r="U516" s="37"/>
      <c r="V516" s="36">
        <f t="shared" si="10"/>
        <v>0</v>
      </c>
    </row>
    <row r="517" spans="1:22" ht="30" customHeight="1" x14ac:dyDescent="0.25">
      <c r="A517" s="97" t="str">
        <f>IF(B517="","",MAX($A$2:A516)+1)</f>
        <v/>
      </c>
      <c r="B517" s="72"/>
      <c r="C517" s="72"/>
      <c r="D517" s="90"/>
      <c r="E517" s="73"/>
      <c r="F517" s="74"/>
      <c r="G517" s="74"/>
      <c r="H517" s="74"/>
      <c r="I517" s="86"/>
      <c r="J517" s="294"/>
      <c r="K517" s="99"/>
      <c r="L517" s="100"/>
      <c r="M517" s="75"/>
      <c r="N517" s="76"/>
      <c r="O517" s="76"/>
      <c r="P517" s="77"/>
      <c r="Q517" s="77"/>
      <c r="R517" s="77"/>
      <c r="S517" s="88"/>
      <c r="T517" s="71"/>
      <c r="U517" s="37"/>
      <c r="V517" s="36">
        <f t="shared" si="10"/>
        <v>0</v>
      </c>
    </row>
    <row r="518" spans="1:22" ht="30" customHeight="1" x14ac:dyDescent="0.25">
      <c r="A518" s="97" t="str">
        <f>IF(B518="","",MAX($A$2:A517)+1)</f>
        <v/>
      </c>
      <c r="B518" s="72"/>
      <c r="C518" s="72"/>
      <c r="D518" s="90"/>
      <c r="E518" s="73"/>
      <c r="F518" s="74"/>
      <c r="G518" s="74"/>
      <c r="H518" s="74"/>
      <c r="I518" s="86"/>
      <c r="J518" s="294"/>
      <c r="K518" s="99"/>
      <c r="L518" s="100"/>
      <c r="M518" s="75"/>
      <c r="N518" s="76"/>
      <c r="O518" s="76"/>
      <c r="P518" s="77"/>
      <c r="Q518" s="77"/>
      <c r="R518" s="77"/>
      <c r="S518" s="88"/>
      <c r="T518" s="71"/>
      <c r="U518" s="37"/>
      <c r="V518" s="36">
        <f t="shared" si="10"/>
        <v>0</v>
      </c>
    </row>
    <row r="519" spans="1:22" ht="30" customHeight="1" x14ac:dyDescent="0.25">
      <c r="A519" s="97" t="str">
        <f>IF(B519="","",MAX($A$2:A518)+1)</f>
        <v/>
      </c>
      <c r="B519" s="72"/>
      <c r="C519" s="72"/>
      <c r="D519" s="90"/>
      <c r="E519" s="73"/>
      <c r="F519" s="74"/>
      <c r="G519" s="74"/>
      <c r="H519" s="74"/>
      <c r="I519" s="86"/>
      <c r="J519" s="294"/>
      <c r="K519" s="99"/>
      <c r="L519" s="100"/>
      <c r="M519" s="75"/>
      <c r="N519" s="76"/>
      <c r="O519" s="76"/>
      <c r="P519" s="77"/>
      <c r="Q519" s="77"/>
      <c r="R519" s="77"/>
      <c r="S519" s="88"/>
      <c r="T519" s="71"/>
      <c r="U519" s="37"/>
      <c r="V519" s="36">
        <f t="shared" si="10"/>
        <v>0</v>
      </c>
    </row>
    <row r="520" spans="1:22" ht="30" customHeight="1" x14ac:dyDescent="0.25">
      <c r="A520" s="97" t="str">
        <f>IF(B520="","",MAX($A$2:A519)+1)</f>
        <v/>
      </c>
      <c r="B520" s="102"/>
      <c r="C520" s="102"/>
      <c r="D520" s="91"/>
      <c r="E520" s="118"/>
      <c r="F520" s="78"/>
      <c r="G520" s="78"/>
      <c r="H520" s="78"/>
      <c r="I520" s="119"/>
      <c r="J520" s="295"/>
      <c r="K520" s="120"/>
      <c r="L520" s="121"/>
      <c r="M520" s="122"/>
      <c r="N520" s="76"/>
      <c r="O520" s="76"/>
      <c r="P520" s="77"/>
      <c r="Q520" s="77"/>
      <c r="R520" s="77"/>
      <c r="S520" s="88"/>
      <c r="T520" s="71"/>
      <c r="U520" s="37"/>
      <c r="V520" s="36">
        <f t="shared" si="10"/>
        <v>0</v>
      </c>
    </row>
    <row r="521" spans="1:22" ht="30" customHeight="1" x14ac:dyDescent="0.25">
      <c r="A521" s="97" t="str">
        <f>IF(B521="","",MAX($A$2:A520)+1)</f>
        <v/>
      </c>
      <c r="B521" s="72"/>
      <c r="C521" s="72"/>
      <c r="D521" s="95"/>
      <c r="E521" s="73"/>
      <c r="F521" s="74"/>
      <c r="G521" s="74"/>
      <c r="H521" s="74"/>
      <c r="I521" s="86"/>
      <c r="J521" s="294"/>
      <c r="K521" s="99"/>
      <c r="L521" s="100"/>
      <c r="M521" s="75"/>
      <c r="N521" s="76"/>
      <c r="O521" s="76"/>
      <c r="P521" s="77"/>
      <c r="Q521" s="77"/>
      <c r="R521" s="77"/>
      <c r="S521" s="88"/>
      <c r="T521" s="71"/>
      <c r="U521" s="37"/>
      <c r="V521" s="36">
        <f t="shared" si="10"/>
        <v>0</v>
      </c>
    </row>
    <row r="522" spans="1:22" ht="30" customHeight="1" x14ac:dyDescent="0.25">
      <c r="A522" s="97" t="str">
        <f>IF(B522="","",MAX($A$2:A521)+1)</f>
        <v/>
      </c>
      <c r="B522" s="72"/>
      <c r="C522" s="72"/>
      <c r="D522" s="90"/>
      <c r="E522" s="73"/>
      <c r="F522" s="74"/>
      <c r="G522" s="74"/>
      <c r="H522" s="74"/>
      <c r="I522" s="86"/>
      <c r="J522" s="294"/>
      <c r="K522" s="99"/>
      <c r="L522" s="100"/>
      <c r="M522" s="75"/>
      <c r="N522" s="76"/>
      <c r="O522" s="76"/>
      <c r="P522" s="77"/>
      <c r="Q522" s="77"/>
      <c r="R522" s="77"/>
      <c r="S522" s="88"/>
      <c r="T522" s="71"/>
      <c r="U522" s="37"/>
      <c r="V522" s="36">
        <f t="shared" si="10"/>
        <v>0</v>
      </c>
    </row>
    <row r="523" spans="1:22" ht="30" customHeight="1" x14ac:dyDescent="0.25">
      <c r="A523" s="97" t="str">
        <f>IF(B523="","",MAX($A$2:A522)+1)</f>
        <v/>
      </c>
      <c r="B523" s="72"/>
      <c r="C523" s="72"/>
      <c r="D523" s="90"/>
      <c r="E523" s="73"/>
      <c r="F523" s="74"/>
      <c r="G523" s="74"/>
      <c r="H523" s="74"/>
      <c r="I523" s="86"/>
      <c r="J523" s="294"/>
      <c r="K523" s="99"/>
      <c r="L523" s="100"/>
      <c r="M523" s="75"/>
      <c r="N523" s="76"/>
      <c r="O523" s="76"/>
      <c r="P523" s="77"/>
      <c r="Q523" s="77"/>
      <c r="R523" s="77"/>
      <c r="S523" s="88"/>
      <c r="T523" s="71"/>
      <c r="U523" s="37"/>
      <c r="V523" s="36">
        <f t="shared" si="10"/>
        <v>0</v>
      </c>
    </row>
    <row r="524" spans="1:22" ht="30" customHeight="1" x14ac:dyDescent="0.25">
      <c r="A524" s="97" t="str">
        <f>IF(B524="","",MAX($A$2:A523)+1)</f>
        <v/>
      </c>
      <c r="B524" s="72"/>
      <c r="C524" s="72"/>
      <c r="D524" s="92"/>
      <c r="E524" s="73"/>
      <c r="F524" s="74"/>
      <c r="G524" s="74"/>
      <c r="H524" s="74"/>
      <c r="I524" s="86"/>
      <c r="J524" s="294"/>
      <c r="K524" s="99"/>
      <c r="L524" s="100"/>
      <c r="M524" s="75"/>
      <c r="N524" s="76"/>
      <c r="O524" s="76"/>
      <c r="P524" s="77"/>
      <c r="Q524" s="77"/>
      <c r="R524" s="77"/>
      <c r="S524" s="88"/>
      <c r="T524" s="71"/>
      <c r="U524" s="37"/>
      <c r="V524" s="36">
        <f t="shared" si="10"/>
        <v>0</v>
      </c>
    </row>
    <row r="525" spans="1:22" ht="30" customHeight="1" x14ac:dyDescent="0.25">
      <c r="A525" s="97" t="str">
        <f>IF(B525="","",MAX($A$2:A524)+1)</f>
        <v/>
      </c>
      <c r="B525" s="72"/>
      <c r="C525" s="72"/>
      <c r="D525" s="90"/>
      <c r="E525" s="73"/>
      <c r="F525" s="74"/>
      <c r="G525" s="74"/>
      <c r="H525" s="74"/>
      <c r="I525" s="86"/>
      <c r="J525" s="294"/>
      <c r="K525" s="99"/>
      <c r="L525" s="100"/>
      <c r="M525" s="75"/>
      <c r="N525" s="76"/>
      <c r="O525" s="76"/>
      <c r="P525" s="77"/>
      <c r="Q525" s="77"/>
      <c r="R525" s="77"/>
      <c r="S525" s="88"/>
      <c r="T525" s="71"/>
      <c r="U525" s="37"/>
      <c r="V525" s="36">
        <f t="shared" si="10"/>
        <v>0</v>
      </c>
    </row>
    <row r="526" spans="1:22" ht="30" customHeight="1" x14ac:dyDescent="0.25">
      <c r="A526" s="97" t="str">
        <f>IF(B526="","",MAX($A$2:A525)+1)</f>
        <v/>
      </c>
      <c r="B526" s="72"/>
      <c r="C526" s="72"/>
      <c r="D526" s="90"/>
      <c r="E526" s="73"/>
      <c r="F526" s="74"/>
      <c r="G526" s="74"/>
      <c r="H526" s="74"/>
      <c r="I526" s="86"/>
      <c r="J526" s="294"/>
      <c r="K526" s="99"/>
      <c r="L526" s="100"/>
      <c r="M526" s="75"/>
      <c r="N526" s="76"/>
      <c r="O526" s="76"/>
      <c r="P526" s="77"/>
      <c r="Q526" s="77"/>
      <c r="R526" s="77"/>
      <c r="S526" s="88"/>
      <c r="T526" s="71"/>
      <c r="U526" s="37"/>
      <c r="V526" s="36">
        <f t="shared" si="10"/>
        <v>0</v>
      </c>
    </row>
    <row r="527" spans="1:22" ht="30" customHeight="1" x14ac:dyDescent="0.25">
      <c r="A527" s="97" t="str">
        <f>IF(B527="","",MAX($A$2:A526)+1)</f>
        <v/>
      </c>
      <c r="B527" s="72"/>
      <c r="C527" s="72"/>
      <c r="D527" s="90"/>
      <c r="E527" s="73"/>
      <c r="F527" s="74"/>
      <c r="G527" s="74"/>
      <c r="H527" s="74"/>
      <c r="I527" s="86"/>
      <c r="J527" s="294"/>
      <c r="K527" s="99"/>
      <c r="L527" s="100"/>
      <c r="M527" s="75"/>
      <c r="N527" s="76"/>
      <c r="O527" s="76"/>
      <c r="P527" s="77"/>
      <c r="Q527" s="77"/>
      <c r="R527" s="77"/>
      <c r="S527" s="88"/>
      <c r="T527" s="71"/>
      <c r="U527" s="37"/>
      <c r="V527" s="36">
        <f t="shared" si="10"/>
        <v>0</v>
      </c>
    </row>
    <row r="528" spans="1:22" ht="30" customHeight="1" x14ac:dyDescent="0.25">
      <c r="A528" s="97" t="str">
        <f>IF(B528="","",MAX($A$2:A527)+1)</f>
        <v/>
      </c>
      <c r="B528" s="72"/>
      <c r="C528" s="72"/>
      <c r="D528" s="90"/>
      <c r="E528" s="73"/>
      <c r="F528" s="74"/>
      <c r="G528" s="74"/>
      <c r="H528" s="74"/>
      <c r="I528" s="86"/>
      <c r="J528" s="294"/>
      <c r="K528" s="99"/>
      <c r="L528" s="100"/>
      <c r="M528" s="75"/>
      <c r="N528" s="76"/>
      <c r="O528" s="76"/>
      <c r="P528" s="77"/>
      <c r="Q528" s="77"/>
      <c r="R528" s="77"/>
      <c r="S528" s="88"/>
      <c r="T528" s="71"/>
      <c r="U528" s="37"/>
      <c r="V528" s="36">
        <f t="shared" si="10"/>
        <v>0</v>
      </c>
    </row>
    <row r="529" spans="1:22" ht="30" customHeight="1" x14ac:dyDescent="0.25">
      <c r="A529" s="97" t="str">
        <f>IF(B529="","",MAX($A$2:A528)+1)</f>
        <v/>
      </c>
      <c r="B529" s="72"/>
      <c r="C529" s="72"/>
      <c r="D529" s="90"/>
      <c r="E529" s="73"/>
      <c r="F529" s="74"/>
      <c r="G529" s="74"/>
      <c r="H529" s="74"/>
      <c r="I529" s="86"/>
      <c r="J529" s="294"/>
      <c r="K529" s="99"/>
      <c r="L529" s="100"/>
      <c r="M529" s="75"/>
      <c r="N529" s="76"/>
      <c r="O529" s="76"/>
      <c r="P529" s="77"/>
      <c r="Q529" s="77"/>
      <c r="R529" s="77"/>
      <c r="S529" s="88"/>
      <c r="T529" s="71"/>
      <c r="U529" s="37"/>
      <c r="V529" s="36">
        <f t="shared" si="10"/>
        <v>0</v>
      </c>
    </row>
    <row r="530" spans="1:22" ht="30" customHeight="1" x14ac:dyDescent="0.25">
      <c r="A530" s="97" t="str">
        <f>IF(B530="","",MAX($A$2:A529)+1)</f>
        <v/>
      </c>
      <c r="B530" s="102"/>
      <c r="C530" s="102"/>
      <c r="D530" s="91"/>
      <c r="E530" s="118"/>
      <c r="F530" s="78"/>
      <c r="G530" s="78"/>
      <c r="H530" s="78"/>
      <c r="I530" s="119"/>
      <c r="J530" s="295"/>
      <c r="K530" s="120"/>
      <c r="L530" s="121"/>
      <c r="M530" s="122"/>
      <c r="N530" s="76"/>
      <c r="O530" s="76"/>
      <c r="P530" s="77"/>
      <c r="Q530" s="77"/>
      <c r="R530" s="77"/>
      <c r="S530" s="88"/>
      <c r="T530" s="71"/>
      <c r="U530" s="37"/>
      <c r="V530" s="36">
        <f t="shared" si="10"/>
        <v>0</v>
      </c>
    </row>
    <row r="531" spans="1:22" ht="30" customHeight="1" x14ac:dyDescent="0.25">
      <c r="A531" s="97" t="str">
        <f>IF(B531="","",MAX($A$2:A530)+1)</f>
        <v/>
      </c>
      <c r="B531" s="102"/>
      <c r="C531" s="72"/>
      <c r="D531" s="93"/>
      <c r="E531" s="73"/>
      <c r="F531" s="74"/>
      <c r="G531" s="74"/>
      <c r="H531" s="74"/>
      <c r="I531" s="86"/>
      <c r="J531" s="294"/>
      <c r="K531" s="99"/>
      <c r="L531" s="100"/>
      <c r="M531" s="75"/>
      <c r="N531" s="76"/>
      <c r="O531" s="76"/>
      <c r="P531" s="77"/>
      <c r="Q531" s="77"/>
      <c r="R531" s="77"/>
      <c r="S531" s="88"/>
      <c r="T531" s="71"/>
      <c r="U531" s="37"/>
      <c r="V531" s="36">
        <f t="shared" si="10"/>
        <v>0</v>
      </c>
    </row>
    <row r="532" spans="1:22" ht="30" customHeight="1" x14ac:dyDescent="0.25">
      <c r="A532" s="97" t="str">
        <f>IF(B532="","",MAX($A$2:A531)+1)</f>
        <v/>
      </c>
      <c r="B532" s="72"/>
      <c r="C532" s="72"/>
      <c r="D532" s="90"/>
      <c r="E532" s="73"/>
      <c r="F532" s="74"/>
      <c r="G532" s="74"/>
      <c r="H532" s="74"/>
      <c r="I532" s="86"/>
      <c r="J532" s="294"/>
      <c r="K532" s="99"/>
      <c r="L532" s="100"/>
      <c r="M532" s="75"/>
      <c r="N532" s="76"/>
      <c r="O532" s="76"/>
      <c r="P532" s="77"/>
      <c r="Q532" s="77"/>
      <c r="R532" s="77"/>
      <c r="S532" s="88"/>
      <c r="T532" s="71"/>
      <c r="U532" s="37"/>
      <c r="V532" s="36">
        <f t="shared" si="10"/>
        <v>0</v>
      </c>
    </row>
    <row r="533" spans="1:22" ht="30" customHeight="1" x14ac:dyDescent="0.25">
      <c r="A533" s="97" t="str">
        <f>IF(B533="","",MAX($A$2:A532)+1)</f>
        <v/>
      </c>
      <c r="B533" s="102"/>
      <c r="C533" s="102"/>
      <c r="D533" s="91"/>
      <c r="E533" s="118"/>
      <c r="F533" s="78"/>
      <c r="G533" s="78"/>
      <c r="H533" s="78"/>
      <c r="I533" s="119"/>
      <c r="J533" s="295"/>
      <c r="K533" s="120"/>
      <c r="L533" s="121"/>
      <c r="M533" s="122"/>
      <c r="N533" s="76"/>
      <c r="O533" s="76"/>
      <c r="P533" s="77"/>
      <c r="Q533" s="77"/>
      <c r="R533" s="77"/>
      <c r="S533" s="88"/>
      <c r="T533" s="71"/>
      <c r="U533" s="37"/>
      <c r="V533" s="36">
        <f t="shared" ref="V533:V596" si="11">COUNTIF($B$2:$B$501,B533)</f>
        <v>0</v>
      </c>
    </row>
    <row r="534" spans="1:22" ht="30" customHeight="1" x14ac:dyDescent="0.25">
      <c r="A534" s="97" t="str">
        <f>IF(B534="","",MAX($A$2:A533)+1)</f>
        <v/>
      </c>
      <c r="B534" s="72"/>
      <c r="C534" s="72"/>
      <c r="D534" s="90"/>
      <c r="E534" s="73"/>
      <c r="F534" s="74"/>
      <c r="G534" s="74"/>
      <c r="H534" s="74"/>
      <c r="I534" s="86"/>
      <c r="J534" s="294"/>
      <c r="K534" s="99"/>
      <c r="L534" s="100"/>
      <c r="M534" s="75"/>
      <c r="N534" s="76"/>
      <c r="O534" s="76"/>
      <c r="P534" s="77"/>
      <c r="Q534" s="77"/>
      <c r="R534" s="77"/>
      <c r="S534" s="88"/>
      <c r="T534" s="71"/>
      <c r="U534" s="37"/>
      <c r="V534" s="36">
        <f t="shared" si="11"/>
        <v>0</v>
      </c>
    </row>
    <row r="535" spans="1:22" ht="30" customHeight="1" x14ac:dyDescent="0.25">
      <c r="A535" s="97" t="str">
        <f>IF(B535="","",MAX($A$2:A534)+1)</f>
        <v/>
      </c>
      <c r="B535" s="72"/>
      <c r="C535" s="72"/>
      <c r="D535" s="90"/>
      <c r="E535" s="73"/>
      <c r="F535" s="74"/>
      <c r="G535" s="74"/>
      <c r="H535" s="74"/>
      <c r="I535" s="86"/>
      <c r="J535" s="294"/>
      <c r="K535" s="99"/>
      <c r="L535" s="100"/>
      <c r="M535" s="75"/>
      <c r="N535" s="76"/>
      <c r="O535" s="76"/>
      <c r="P535" s="77"/>
      <c r="Q535" s="77"/>
      <c r="R535" s="77"/>
      <c r="S535" s="88"/>
      <c r="T535" s="71"/>
      <c r="U535" s="37"/>
      <c r="V535" s="36">
        <f t="shared" si="11"/>
        <v>0</v>
      </c>
    </row>
    <row r="536" spans="1:22" ht="30" customHeight="1" x14ac:dyDescent="0.25">
      <c r="A536" s="97" t="str">
        <f>IF(B536="","",MAX($A$2:A535)+1)</f>
        <v/>
      </c>
      <c r="B536" s="72"/>
      <c r="C536" s="72"/>
      <c r="D536" s="90"/>
      <c r="E536" s="73"/>
      <c r="F536" s="74"/>
      <c r="G536" s="74"/>
      <c r="H536" s="74"/>
      <c r="I536" s="86"/>
      <c r="J536" s="294"/>
      <c r="K536" s="99"/>
      <c r="L536" s="100"/>
      <c r="M536" s="75"/>
      <c r="N536" s="76"/>
      <c r="O536" s="76"/>
      <c r="P536" s="77"/>
      <c r="Q536" s="77"/>
      <c r="R536" s="77"/>
      <c r="S536" s="88"/>
      <c r="T536" s="71"/>
      <c r="U536" s="37"/>
      <c r="V536" s="36">
        <f t="shared" si="11"/>
        <v>0</v>
      </c>
    </row>
    <row r="537" spans="1:22" ht="30" customHeight="1" x14ac:dyDescent="0.25">
      <c r="A537" s="97" t="str">
        <f>IF(B537="","",MAX($A$2:A536)+1)</f>
        <v/>
      </c>
      <c r="B537" s="72"/>
      <c r="C537" s="72"/>
      <c r="D537" s="90"/>
      <c r="E537" s="73"/>
      <c r="F537" s="74"/>
      <c r="G537" s="74"/>
      <c r="H537" s="74"/>
      <c r="I537" s="86"/>
      <c r="J537" s="294"/>
      <c r="K537" s="99"/>
      <c r="L537" s="100"/>
      <c r="M537" s="75"/>
      <c r="N537" s="76"/>
      <c r="O537" s="76"/>
      <c r="P537" s="77"/>
      <c r="Q537" s="77"/>
      <c r="R537" s="77"/>
      <c r="S537" s="88"/>
      <c r="T537" s="71"/>
      <c r="U537" s="37"/>
      <c r="V537" s="36">
        <f t="shared" si="11"/>
        <v>0</v>
      </c>
    </row>
    <row r="538" spans="1:22" ht="30" customHeight="1" x14ac:dyDescent="0.25">
      <c r="A538" s="97" t="str">
        <f>IF(B538="","",MAX($A$2:A537)+1)</f>
        <v/>
      </c>
      <c r="B538" s="72"/>
      <c r="C538" s="72"/>
      <c r="D538" s="90"/>
      <c r="E538" s="73"/>
      <c r="F538" s="74"/>
      <c r="G538" s="74"/>
      <c r="H538" s="74"/>
      <c r="I538" s="86"/>
      <c r="J538" s="294"/>
      <c r="K538" s="99"/>
      <c r="L538" s="100"/>
      <c r="M538" s="75"/>
      <c r="N538" s="76"/>
      <c r="O538" s="76"/>
      <c r="P538" s="77"/>
      <c r="Q538" s="77"/>
      <c r="R538" s="77"/>
      <c r="S538" s="88"/>
      <c r="T538" s="71"/>
      <c r="U538" s="37"/>
      <c r="V538" s="36">
        <f t="shared" si="11"/>
        <v>0</v>
      </c>
    </row>
    <row r="539" spans="1:22" ht="30" customHeight="1" x14ac:dyDescent="0.25">
      <c r="A539" s="97" t="str">
        <f>IF(B539="","",MAX($A$2:A538)+1)</f>
        <v/>
      </c>
      <c r="B539" s="72"/>
      <c r="C539" s="72"/>
      <c r="D539" s="90"/>
      <c r="E539" s="73"/>
      <c r="F539" s="74"/>
      <c r="G539" s="74"/>
      <c r="H539" s="74"/>
      <c r="I539" s="86"/>
      <c r="J539" s="294"/>
      <c r="K539" s="99"/>
      <c r="L539" s="100"/>
      <c r="M539" s="75"/>
      <c r="N539" s="76"/>
      <c r="O539" s="76"/>
      <c r="P539" s="77"/>
      <c r="Q539" s="77"/>
      <c r="R539" s="77"/>
      <c r="S539" s="88"/>
      <c r="T539" s="71"/>
      <c r="U539" s="37"/>
      <c r="V539" s="36">
        <f t="shared" si="11"/>
        <v>0</v>
      </c>
    </row>
    <row r="540" spans="1:22" ht="30" customHeight="1" x14ac:dyDescent="0.25">
      <c r="A540" s="97" t="str">
        <f>IF(B540="","",MAX($A$2:A539)+1)</f>
        <v/>
      </c>
      <c r="B540" s="72"/>
      <c r="C540" s="72"/>
      <c r="D540" s="90"/>
      <c r="E540" s="73"/>
      <c r="F540" s="74"/>
      <c r="G540" s="74"/>
      <c r="H540" s="74"/>
      <c r="I540" s="86"/>
      <c r="J540" s="294"/>
      <c r="K540" s="99"/>
      <c r="L540" s="100"/>
      <c r="M540" s="75"/>
      <c r="N540" s="76"/>
      <c r="O540" s="76"/>
      <c r="P540" s="77"/>
      <c r="Q540" s="77"/>
      <c r="R540" s="77"/>
      <c r="S540" s="88"/>
      <c r="T540" s="71"/>
      <c r="U540" s="37"/>
      <c r="V540" s="36">
        <f t="shared" si="11"/>
        <v>0</v>
      </c>
    </row>
    <row r="541" spans="1:22" ht="30" customHeight="1" x14ac:dyDescent="0.25">
      <c r="A541" s="97" t="str">
        <f>IF(B541="","",MAX($A$2:A540)+1)</f>
        <v/>
      </c>
      <c r="B541" s="102"/>
      <c r="C541" s="102"/>
      <c r="D541" s="90"/>
      <c r="E541" s="73"/>
      <c r="F541" s="74"/>
      <c r="G541" s="74"/>
      <c r="H541" s="74"/>
      <c r="I541" s="86"/>
      <c r="J541" s="294"/>
      <c r="K541" s="99"/>
      <c r="L541" s="100"/>
      <c r="M541" s="75"/>
      <c r="N541" s="76"/>
      <c r="O541" s="76"/>
      <c r="P541" s="77"/>
      <c r="Q541" s="77"/>
      <c r="R541" s="77"/>
      <c r="S541" s="88"/>
      <c r="T541" s="71"/>
      <c r="U541" s="37"/>
      <c r="V541" s="36">
        <f t="shared" si="11"/>
        <v>0</v>
      </c>
    </row>
    <row r="542" spans="1:22" ht="29.25" customHeight="1" x14ac:dyDescent="0.25">
      <c r="A542" s="97" t="str">
        <f>IF(B542="","",MAX($A$2:A541)+1)</f>
        <v/>
      </c>
      <c r="B542" s="72"/>
      <c r="C542" s="72"/>
      <c r="D542" s="93"/>
      <c r="E542" s="73"/>
      <c r="F542" s="74"/>
      <c r="G542" s="101"/>
      <c r="H542" s="74"/>
      <c r="I542" s="86"/>
      <c r="J542" s="294"/>
      <c r="K542" s="99"/>
      <c r="L542" s="100"/>
      <c r="M542" s="75"/>
      <c r="N542" s="76"/>
      <c r="O542" s="76"/>
      <c r="P542" s="77"/>
      <c r="Q542" s="77"/>
      <c r="R542" s="77"/>
      <c r="S542" s="88"/>
      <c r="T542" s="71"/>
      <c r="U542" s="37"/>
      <c r="V542" s="36">
        <f t="shared" si="11"/>
        <v>0</v>
      </c>
    </row>
    <row r="543" spans="1:22" ht="30" customHeight="1" x14ac:dyDescent="0.25">
      <c r="A543" s="97" t="str">
        <f>IF(B543="","",MAX($A$2:A542)+1)</f>
        <v/>
      </c>
      <c r="B543" s="72"/>
      <c r="C543" s="72"/>
      <c r="D543" s="90"/>
      <c r="E543" s="73"/>
      <c r="F543" s="74"/>
      <c r="G543" s="74"/>
      <c r="H543" s="74"/>
      <c r="I543" s="86"/>
      <c r="J543" s="294"/>
      <c r="K543" s="99"/>
      <c r="L543" s="100"/>
      <c r="M543" s="75"/>
      <c r="N543" s="76"/>
      <c r="O543" s="76"/>
      <c r="P543" s="77"/>
      <c r="Q543" s="77"/>
      <c r="R543" s="77"/>
      <c r="S543" s="88"/>
      <c r="T543" s="71"/>
      <c r="U543" s="37"/>
      <c r="V543" s="36">
        <f t="shared" si="11"/>
        <v>0</v>
      </c>
    </row>
    <row r="544" spans="1:22" ht="30" customHeight="1" x14ac:dyDescent="0.25">
      <c r="A544" s="97" t="str">
        <f>IF(B544="","",MAX($A$2:A543)+1)</f>
        <v/>
      </c>
      <c r="B544" s="102"/>
      <c r="C544" s="102"/>
      <c r="D544" s="90"/>
      <c r="E544" s="73"/>
      <c r="F544" s="74"/>
      <c r="G544" s="74"/>
      <c r="H544" s="74"/>
      <c r="I544" s="86"/>
      <c r="J544" s="294"/>
      <c r="K544" s="99"/>
      <c r="L544" s="100"/>
      <c r="M544" s="75"/>
      <c r="N544" s="76"/>
      <c r="O544" s="76"/>
      <c r="P544" s="77"/>
      <c r="Q544" s="77"/>
      <c r="R544" s="77"/>
      <c r="S544" s="88"/>
      <c r="T544" s="71"/>
      <c r="U544" s="37"/>
      <c r="V544" s="36">
        <f t="shared" si="11"/>
        <v>0</v>
      </c>
    </row>
    <row r="545" spans="1:22" ht="30" customHeight="1" x14ac:dyDescent="0.25">
      <c r="A545" s="97" t="str">
        <f>IF(B545="","",MAX($A$2:A544)+1)</f>
        <v/>
      </c>
      <c r="B545" s="72"/>
      <c r="C545" s="72"/>
      <c r="D545" s="91"/>
      <c r="E545" s="73"/>
      <c r="F545" s="74"/>
      <c r="G545" s="74"/>
      <c r="H545" s="74"/>
      <c r="I545" s="86"/>
      <c r="J545" s="294"/>
      <c r="K545" s="99"/>
      <c r="L545" s="100"/>
      <c r="M545" s="75"/>
      <c r="N545" s="76"/>
      <c r="O545" s="76"/>
      <c r="P545" s="77"/>
      <c r="Q545" s="77"/>
      <c r="R545" s="77"/>
      <c r="S545" s="88"/>
      <c r="T545" s="71"/>
      <c r="U545" s="37"/>
      <c r="V545" s="36">
        <f t="shared" si="11"/>
        <v>0</v>
      </c>
    </row>
    <row r="546" spans="1:22" ht="30" customHeight="1" x14ac:dyDescent="0.25">
      <c r="A546" s="97" t="str">
        <f>IF(B546="","",MAX($A$2:A545)+1)</f>
        <v/>
      </c>
      <c r="B546" s="72"/>
      <c r="C546" s="72"/>
      <c r="D546" s="90"/>
      <c r="E546" s="73"/>
      <c r="F546" s="74"/>
      <c r="G546" s="74"/>
      <c r="H546" s="74"/>
      <c r="I546" s="86"/>
      <c r="J546" s="294"/>
      <c r="K546" s="99"/>
      <c r="L546" s="100"/>
      <c r="M546" s="75"/>
      <c r="N546" s="76"/>
      <c r="O546" s="76"/>
      <c r="P546" s="77"/>
      <c r="Q546" s="77"/>
      <c r="R546" s="77"/>
      <c r="S546" s="88"/>
      <c r="T546" s="71"/>
      <c r="U546" s="37"/>
      <c r="V546" s="36">
        <f t="shared" si="11"/>
        <v>0</v>
      </c>
    </row>
    <row r="547" spans="1:22" ht="30" customHeight="1" x14ac:dyDescent="0.25">
      <c r="A547" s="97" t="str">
        <f>IF(B547="","",MAX($A$2:A546)+1)</f>
        <v/>
      </c>
      <c r="B547" s="72"/>
      <c r="C547" s="72"/>
      <c r="D547" s="90"/>
      <c r="E547" s="73"/>
      <c r="F547" s="74"/>
      <c r="G547" s="74"/>
      <c r="H547" s="74"/>
      <c r="I547" s="86"/>
      <c r="J547" s="294"/>
      <c r="K547" s="99"/>
      <c r="L547" s="100"/>
      <c r="M547" s="75"/>
      <c r="N547" s="76"/>
      <c r="O547" s="76"/>
      <c r="P547" s="77"/>
      <c r="Q547" s="77"/>
      <c r="R547" s="77"/>
      <c r="S547" s="88"/>
      <c r="T547" s="71"/>
      <c r="U547" s="37"/>
      <c r="V547" s="36">
        <f t="shared" si="11"/>
        <v>0</v>
      </c>
    </row>
    <row r="548" spans="1:22" ht="30" customHeight="1" x14ac:dyDescent="0.25">
      <c r="A548" s="97" t="str">
        <f>IF(B548="","",MAX($A$2:A547)+1)</f>
        <v/>
      </c>
      <c r="B548" s="72"/>
      <c r="C548" s="72"/>
      <c r="D548" s="90"/>
      <c r="E548" s="73"/>
      <c r="F548" s="74"/>
      <c r="G548" s="74"/>
      <c r="H548" s="74"/>
      <c r="I548" s="86"/>
      <c r="J548" s="294"/>
      <c r="K548" s="99"/>
      <c r="L548" s="100"/>
      <c r="M548" s="75"/>
      <c r="N548" s="76"/>
      <c r="O548" s="76"/>
      <c r="P548" s="77"/>
      <c r="Q548" s="77"/>
      <c r="R548" s="77"/>
      <c r="S548" s="88"/>
      <c r="T548" s="71"/>
      <c r="U548" s="37"/>
      <c r="V548" s="36">
        <f t="shared" si="11"/>
        <v>0</v>
      </c>
    </row>
    <row r="549" spans="1:22" ht="30" customHeight="1" x14ac:dyDescent="0.25">
      <c r="A549" s="97" t="str">
        <f>IF(B549="","",MAX($A$2:A548)+1)</f>
        <v/>
      </c>
      <c r="B549" s="72"/>
      <c r="C549" s="72"/>
      <c r="D549" s="90"/>
      <c r="E549" s="73"/>
      <c r="F549" s="74"/>
      <c r="G549" s="74"/>
      <c r="H549" s="74"/>
      <c r="I549" s="86"/>
      <c r="J549" s="294"/>
      <c r="K549" s="99"/>
      <c r="L549" s="100"/>
      <c r="M549" s="75"/>
      <c r="N549" s="76"/>
      <c r="O549" s="76"/>
      <c r="P549" s="77"/>
      <c r="Q549" s="77"/>
      <c r="R549" s="77"/>
      <c r="S549" s="88"/>
      <c r="T549" s="71"/>
      <c r="U549" s="37"/>
      <c r="V549" s="36">
        <f t="shared" si="11"/>
        <v>0</v>
      </c>
    </row>
    <row r="550" spans="1:22" ht="30" customHeight="1" x14ac:dyDescent="0.25">
      <c r="A550" s="97" t="str">
        <f>IF(B550="","",MAX($A$2:A549)+1)</f>
        <v/>
      </c>
      <c r="B550" s="72"/>
      <c r="C550" s="72"/>
      <c r="D550" s="90"/>
      <c r="E550" s="73"/>
      <c r="F550" s="74"/>
      <c r="G550" s="74"/>
      <c r="H550" s="74"/>
      <c r="I550" s="86"/>
      <c r="J550" s="294"/>
      <c r="K550" s="99"/>
      <c r="L550" s="100"/>
      <c r="M550" s="75"/>
      <c r="N550" s="76"/>
      <c r="O550" s="76"/>
      <c r="P550" s="77"/>
      <c r="Q550" s="77"/>
      <c r="R550" s="77"/>
      <c r="S550" s="88"/>
      <c r="T550" s="71"/>
      <c r="U550" s="37"/>
      <c r="V550" s="36">
        <f t="shared" si="11"/>
        <v>0</v>
      </c>
    </row>
    <row r="551" spans="1:22" ht="30" customHeight="1" x14ac:dyDescent="0.25">
      <c r="A551" s="97" t="str">
        <f>IF(B551="","",MAX($A$2:A550)+1)</f>
        <v/>
      </c>
      <c r="B551" s="72"/>
      <c r="C551" s="72"/>
      <c r="D551" s="90"/>
      <c r="E551" s="73"/>
      <c r="F551" s="74"/>
      <c r="G551" s="74"/>
      <c r="H551" s="74"/>
      <c r="I551" s="86"/>
      <c r="J551" s="294"/>
      <c r="K551" s="99"/>
      <c r="L551" s="100"/>
      <c r="M551" s="75"/>
      <c r="N551" s="76"/>
      <c r="O551" s="76"/>
      <c r="P551" s="77"/>
      <c r="Q551" s="77"/>
      <c r="R551" s="77"/>
      <c r="S551" s="88"/>
      <c r="T551" s="71"/>
      <c r="U551" s="37"/>
      <c r="V551" s="36">
        <f t="shared" si="11"/>
        <v>0</v>
      </c>
    </row>
    <row r="552" spans="1:22" ht="30" customHeight="1" x14ac:dyDescent="0.25">
      <c r="A552" s="97" t="str">
        <f>IF(B552="","",MAX($A$2:A551)+1)</f>
        <v/>
      </c>
      <c r="B552" s="72"/>
      <c r="C552" s="72"/>
      <c r="D552" s="90"/>
      <c r="E552" s="73"/>
      <c r="F552" s="74"/>
      <c r="G552" s="74"/>
      <c r="H552" s="74"/>
      <c r="I552" s="86"/>
      <c r="J552" s="294"/>
      <c r="K552" s="99"/>
      <c r="L552" s="100"/>
      <c r="M552" s="75"/>
      <c r="N552" s="76"/>
      <c r="O552" s="76"/>
      <c r="P552" s="77"/>
      <c r="Q552" s="77"/>
      <c r="R552" s="77"/>
      <c r="S552" s="88"/>
      <c r="T552" s="71"/>
      <c r="U552" s="37"/>
      <c r="V552" s="36">
        <f t="shared" si="11"/>
        <v>0</v>
      </c>
    </row>
    <row r="553" spans="1:22" ht="30" customHeight="1" x14ac:dyDescent="0.25">
      <c r="A553" s="97" t="str">
        <f>IF(B553="","",MAX($A$2:A552)+1)</f>
        <v/>
      </c>
      <c r="B553" s="72"/>
      <c r="C553" s="72"/>
      <c r="D553" s="90"/>
      <c r="E553" s="73"/>
      <c r="F553" s="74"/>
      <c r="G553" s="74"/>
      <c r="H553" s="74"/>
      <c r="I553" s="86"/>
      <c r="J553" s="294"/>
      <c r="K553" s="99"/>
      <c r="L553" s="100"/>
      <c r="M553" s="75"/>
      <c r="N553" s="76"/>
      <c r="O553" s="76"/>
      <c r="P553" s="77"/>
      <c r="Q553" s="77"/>
      <c r="R553" s="77"/>
      <c r="S553" s="88"/>
      <c r="T553" s="71"/>
      <c r="U553" s="37"/>
      <c r="V553" s="36">
        <f t="shared" si="11"/>
        <v>0</v>
      </c>
    </row>
    <row r="554" spans="1:22" ht="30" customHeight="1" x14ac:dyDescent="0.25">
      <c r="A554" s="97" t="str">
        <f>IF(B554="","",MAX($A$2:A553)+1)</f>
        <v/>
      </c>
      <c r="B554" s="72"/>
      <c r="C554" s="72"/>
      <c r="D554" s="90"/>
      <c r="E554" s="73"/>
      <c r="F554" s="74"/>
      <c r="G554" s="74"/>
      <c r="H554" s="74"/>
      <c r="I554" s="86"/>
      <c r="J554" s="294"/>
      <c r="K554" s="99"/>
      <c r="L554" s="100"/>
      <c r="M554" s="75"/>
      <c r="N554" s="76"/>
      <c r="O554" s="76"/>
      <c r="P554" s="77"/>
      <c r="Q554" s="77"/>
      <c r="R554" s="77"/>
      <c r="S554" s="88"/>
      <c r="T554" s="71"/>
      <c r="U554" s="37"/>
      <c r="V554" s="36">
        <f t="shared" si="11"/>
        <v>0</v>
      </c>
    </row>
    <row r="555" spans="1:22" ht="30" customHeight="1" x14ac:dyDescent="0.25">
      <c r="A555" s="97" t="str">
        <f>IF(B555="","",MAX($A$2:A554)+1)</f>
        <v/>
      </c>
      <c r="B555" s="72"/>
      <c r="C555" s="72"/>
      <c r="D555" s="90"/>
      <c r="E555" s="73"/>
      <c r="F555" s="74"/>
      <c r="G555" s="74"/>
      <c r="H555" s="74"/>
      <c r="I555" s="86"/>
      <c r="J555" s="294"/>
      <c r="K555" s="99"/>
      <c r="L555" s="100"/>
      <c r="M555" s="75"/>
      <c r="N555" s="76"/>
      <c r="O555" s="76"/>
      <c r="P555" s="77"/>
      <c r="Q555" s="77"/>
      <c r="R555" s="77"/>
      <c r="S555" s="88"/>
      <c r="T555" s="71"/>
      <c r="U555" s="37"/>
      <c r="V555" s="36">
        <f t="shared" si="11"/>
        <v>0</v>
      </c>
    </row>
    <row r="556" spans="1:22" ht="30" customHeight="1" x14ac:dyDescent="0.25">
      <c r="A556" s="97" t="str">
        <f>IF(B556="","",MAX($A$2:A555)+1)</f>
        <v/>
      </c>
      <c r="B556" s="72"/>
      <c r="C556" s="72"/>
      <c r="D556" s="90"/>
      <c r="E556" s="73"/>
      <c r="F556" s="74"/>
      <c r="G556" s="74"/>
      <c r="H556" s="74"/>
      <c r="I556" s="86"/>
      <c r="J556" s="294"/>
      <c r="K556" s="99"/>
      <c r="L556" s="100"/>
      <c r="M556" s="75"/>
      <c r="N556" s="76"/>
      <c r="O556" s="76"/>
      <c r="P556" s="77"/>
      <c r="Q556" s="77"/>
      <c r="R556" s="77"/>
      <c r="S556" s="88"/>
      <c r="T556" s="71"/>
      <c r="U556" s="37"/>
      <c r="V556" s="36">
        <f t="shared" si="11"/>
        <v>0</v>
      </c>
    </row>
    <row r="557" spans="1:22" ht="30" customHeight="1" x14ac:dyDescent="0.25">
      <c r="A557" s="97" t="str">
        <f>IF(B557="","",MAX($A$2:A556)+1)</f>
        <v/>
      </c>
      <c r="B557" s="102"/>
      <c r="C557" s="102"/>
      <c r="D557" s="90"/>
      <c r="E557" s="73"/>
      <c r="F557" s="74"/>
      <c r="G557" s="74"/>
      <c r="H557" s="74"/>
      <c r="I557" s="86"/>
      <c r="J557" s="294"/>
      <c r="K557" s="99"/>
      <c r="L557" s="100"/>
      <c r="M557" s="75"/>
      <c r="N557" s="76"/>
      <c r="O557" s="76"/>
      <c r="P557" s="77"/>
      <c r="Q557" s="77"/>
      <c r="R557" s="77"/>
      <c r="S557" s="88"/>
      <c r="T557" s="71"/>
      <c r="U557" s="37"/>
      <c r="V557" s="36">
        <f t="shared" si="11"/>
        <v>0</v>
      </c>
    </row>
    <row r="558" spans="1:22" ht="30" customHeight="1" x14ac:dyDescent="0.25">
      <c r="A558" s="97" t="str">
        <f>IF(B558="","",MAX($A$2:A557)+1)</f>
        <v/>
      </c>
      <c r="B558" s="72"/>
      <c r="C558" s="72"/>
      <c r="D558" s="90"/>
      <c r="E558" s="73"/>
      <c r="F558" s="74"/>
      <c r="G558" s="74"/>
      <c r="H558" s="74"/>
      <c r="I558" s="86"/>
      <c r="J558" s="294"/>
      <c r="K558" s="99"/>
      <c r="L558" s="100"/>
      <c r="M558" s="75"/>
      <c r="N558" s="76"/>
      <c r="O558" s="76"/>
      <c r="P558" s="77"/>
      <c r="Q558" s="77"/>
      <c r="R558" s="77"/>
      <c r="S558" s="88"/>
      <c r="T558" s="71"/>
      <c r="U558" s="37"/>
      <c r="V558" s="36">
        <f t="shared" si="11"/>
        <v>0</v>
      </c>
    </row>
    <row r="559" spans="1:22" ht="30" customHeight="1" x14ac:dyDescent="0.25">
      <c r="A559" s="97" t="str">
        <f>IF(B559="","",MAX($A$2:A558)+1)</f>
        <v/>
      </c>
      <c r="B559" s="72"/>
      <c r="C559" s="72"/>
      <c r="D559" s="90"/>
      <c r="E559" s="73"/>
      <c r="F559" s="74"/>
      <c r="G559" s="74"/>
      <c r="H559" s="74"/>
      <c r="I559" s="86"/>
      <c r="J559" s="294"/>
      <c r="K559" s="99"/>
      <c r="L559" s="100"/>
      <c r="M559" s="75"/>
      <c r="N559" s="76"/>
      <c r="O559" s="76"/>
      <c r="P559" s="77"/>
      <c r="Q559" s="77"/>
      <c r="R559" s="77"/>
      <c r="S559" s="88"/>
      <c r="T559" s="71"/>
      <c r="U559" s="37"/>
      <c r="V559" s="36">
        <f t="shared" si="11"/>
        <v>0</v>
      </c>
    </row>
    <row r="560" spans="1:22" ht="30" customHeight="1" x14ac:dyDescent="0.25">
      <c r="A560" s="97" t="str">
        <f>IF(B560="","",MAX($A$2:A559)+1)</f>
        <v/>
      </c>
      <c r="B560" s="72"/>
      <c r="C560" s="72"/>
      <c r="D560" s="90"/>
      <c r="E560" s="73"/>
      <c r="F560" s="74"/>
      <c r="G560" s="74"/>
      <c r="H560" s="74"/>
      <c r="I560" s="86"/>
      <c r="J560" s="294"/>
      <c r="K560" s="99"/>
      <c r="L560" s="100"/>
      <c r="M560" s="75"/>
      <c r="N560" s="76"/>
      <c r="O560" s="76"/>
      <c r="P560" s="77"/>
      <c r="Q560" s="77"/>
      <c r="R560" s="77"/>
      <c r="S560" s="88"/>
      <c r="T560" s="71"/>
      <c r="U560" s="37"/>
      <c r="V560" s="36">
        <f t="shared" si="11"/>
        <v>0</v>
      </c>
    </row>
    <row r="561" spans="1:22" ht="30" customHeight="1" x14ac:dyDescent="0.25">
      <c r="A561" s="97" t="str">
        <f>IF(B561="","",MAX($A$2:A560)+1)</f>
        <v/>
      </c>
      <c r="B561" s="72"/>
      <c r="C561" s="72"/>
      <c r="D561" s="90"/>
      <c r="E561" s="73"/>
      <c r="F561" s="74"/>
      <c r="G561" s="74"/>
      <c r="H561" s="74"/>
      <c r="I561" s="86"/>
      <c r="J561" s="294"/>
      <c r="K561" s="99"/>
      <c r="L561" s="100"/>
      <c r="M561" s="75"/>
      <c r="N561" s="76"/>
      <c r="O561" s="76"/>
      <c r="P561" s="77"/>
      <c r="Q561" s="77"/>
      <c r="R561" s="77"/>
      <c r="S561" s="88"/>
      <c r="T561" s="71"/>
      <c r="U561" s="37"/>
      <c r="V561" s="36">
        <f t="shared" si="11"/>
        <v>0</v>
      </c>
    </row>
    <row r="562" spans="1:22" ht="30" customHeight="1" x14ac:dyDescent="0.25">
      <c r="A562" s="97" t="str">
        <f>IF(B562="","",MAX($A$2:A561)+1)</f>
        <v/>
      </c>
      <c r="B562" s="72"/>
      <c r="C562" s="72"/>
      <c r="D562" s="90"/>
      <c r="E562" s="73"/>
      <c r="F562" s="74"/>
      <c r="G562" s="74"/>
      <c r="H562" s="74"/>
      <c r="I562" s="86"/>
      <c r="J562" s="294"/>
      <c r="K562" s="99"/>
      <c r="L562" s="100"/>
      <c r="M562" s="75"/>
      <c r="N562" s="76"/>
      <c r="O562" s="76"/>
      <c r="P562" s="77"/>
      <c r="Q562" s="77"/>
      <c r="R562" s="77"/>
      <c r="S562" s="88"/>
      <c r="T562" s="71"/>
      <c r="U562" s="37"/>
      <c r="V562" s="36">
        <f t="shared" si="11"/>
        <v>0</v>
      </c>
    </row>
    <row r="563" spans="1:22" ht="30" customHeight="1" x14ac:dyDescent="0.25">
      <c r="A563" s="97" t="str">
        <f>IF(B563="","",MAX($A$2:A562)+1)</f>
        <v/>
      </c>
      <c r="B563" s="102"/>
      <c r="C563" s="102"/>
      <c r="D563" s="91"/>
      <c r="E563" s="118"/>
      <c r="F563" s="78"/>
      <c r="G563" s="78"/>
      <c r="H563" s="78"/>
      <c r="I563" s="119"/>
      <c r="J563" s="295"/>
      <c r="K563" s="120"/>
      <c r="L563" s="121"/>
      <c r="M563" s="122"/>
      <c r="N563" s="76"/>
      <c r="O563" s="76"/>
      <c r="P563" s="77"/>
      <c r="Q563" s="77"/>
      <c r="R563" s="77"/>
      <c r="S563" s="88"/>
      <c r="T563" s="71"/>
      <c r="U563" s="37"/>
      <c r="V563" s="36">
        <f t="shared" si="11"/>
        <v>0</v>
      </c>
    </row>
    <row r="564" spans="1:22" ht="30" customHeight="1" x14ac:dyDescent="0.25">
      <c r="A564" s="97" t="str">
        <f>IF(B564="","",MAX($A$2:A563)+1)</f>
        <v/>
      </c>
      <c r="B564" s="72"/>
      <c r="C564" s="72"/>
      <c r="D564" s="90"/>
      <c r="E564" s="73"/>
      <c r="F564" s="74"/>
      <c r="G564" s="74"/>
      <c r="H564" s="74"/>
      <c r="I564" s="86"/>
      <c r="J564" s="294"/>
      <c r="K564" s="99"/>
      <c r="L564" s="100"/>
      <c r="M564" s="75"/>
      <c r="N564" s="76"/>
      <c r="O564" s="76"/>
      <c r="P564" s="77"/>
      <c r="Q564" s="77"/>
      <c r="R564" s="77"/>
      <c r="S564" s="88"/>
      <c r="T564" s="71"/>
      <c r="U564" s="37"/>
      <c r="V564" s="36">
        <f t="shared" si="11"/>
        <v>0</v>
      </c>
    </row>
    <row r="565" spans="1:22" ht="30" customHeight="1" x14ac:dyDescent="0.25">
      <c r="A565" s="97" t="str">
        <f>IF(B565="","",MAX($A$2:A564)+1)</f>
        <v/>
      </c>
      <c r="B565" s="72"/>
      <c r="C565" s="72"/>
      <c r="D565" s="90"/>
      <c r="E565" s="73"/>
      <c r="F565" s="74"/>
      <c r="G565" s="74"/>
      <c r="H565" s="74"/>
      <c r="I565" s="86"/>
      <c r="J565" s="294"/>
      <c r="K565" s="99"/>
      <c r="L565" s="100"/>
      <c r="M565" s="75"/>
      <c r="N565" s="76"/>
      <c r="O565" s="76"/>
      <c r="P565" s="77"/>
      <c r="Q565" s="77"/>
      <c r="R565" s="77"/>
      <c r="S565" s="88"/>
      <c r="T565" s="71"/>
      <c r="U565" s="37"/>
      <c r="V565" s="36">
        <f t="shared" si="11"/>
        <v>0</v>
      </c>
    </row>
    <row r="566" spans="1:22" ht="30" customHeight="1" x14ac:dyDescent="0.25">
      <c r="A566" s="97" t="str">
        <f>IF(B566="","",MAX($A$2:A565)+1)</f>
        <v/>
      </c>
      <c r="B566" s="72"/>
      <c r="C566" s="72"/>
      <c r="D566" s="90"/>
      <c r="E566" s="73"/>
      <c r="F566" s="74"/>
      <c r="G566" s="74"/>
      <c r="H566" s="74"/>
      <c r="I566" s="86"/>
      <c r="J566" s="294"/>
      <c r="K566" s="99"/>
      <c r="L566" s="100"/>
      <c r="M566" s="75"/>
      <c r="N566" s="76"/>
      <c r="O566" s="76"/>
      <c r="P566" s="77"/>
      <c r="Q566" s="77"/>
      <c r="R566" s="77"/>
      <c r="S566" s="88"/>
      <c r="T566" s="71"/>
      <c r="U566" s="37"/>
      <c r="V566" s="36">
        <f t="shared" si="11"/>
        <v>0</v>
      </c>
    </row>
    <row r="567" spans="1:22" ht="30" customHeight="1" x14ac:dyDescent="0.25">
      <c r="A567" s="97" t="str">
        <f>IF(B567="","",MAX($A$2:A566)+1)</f>
        <v/>
      </c>
      <c r="B567" s="72"/>
      <c r="C567" s="72"/>
      <c r="D567" s="91"/>
      <c r="E567" s="73"/>
      <c r="F567" s="74"/>
      <c r="G567" s="74"/>
      <c r="H567" s="74"/>
      <c r="I567" s="86"/>
      <c r="J567" s="294"/>
      <c r="K567" s="99"/>
      <c r="L567" s="100"/>
      <c r="M567" s="75"/>
      <c r="N567" s="76"/>
      <c r="O567" s="76"/>
      <c r="P567" s="77"/>
      <c r="Q567" s="77"/>
      <c r="R567" s="77"/>
      <c r="S567" s="88"/>
      <c r="T567" s="71"/>
      <c r="U567" s="37"/>
      <c r="V567" s="36">
        <f t="shared" si="11"/>
        <v>0</v>
      </c>
    </row>
    <row r="568" spans="1:22" ht="30" customHeight="1" x14ac:dyDescent="0.25">
      <c r="A568" s="97" t="str">
        <f>IF(B568="","",MAX($A$2:A567)+1)</f>
        <v/>
      </c>
      <c r="B568" s="72"/>
      <c r="C568" s="72"/>
      <c r="D568" s="90"/>
      <c r="E568" s="73"/>
      <c r="F568" s="74"/>
      <c r="G568" s="74"/>
      <c r="H568" s="74"/>
      <c r="I568" s="86"/>
      <c r="J568" s="294"/>
      <c r="K568" s="99"/>
      <c r="L568" s="100"/>
      <c r="M568" s="75"/>
      <c r="N568" s="76"/>
      <c r="O568" s="76"/>
      <c r="P568" s="77"/>
      <c r="Q568" s="77"/>
      <c r="R568" s="77"/>
      <c r="S568" s="88"/>
      <c r="T568" s="71"/>
      <c r="U568" s="37"/>
      <c r="V568" s="36">
        <f t="shared" si="11"/>
        <v>0</v>
      </c>
    </row>
    <row r="569" spans="1:22" ht="30" customHeight="1" x14ac:dyDescent="0.25">
      <c r="A569" s="97" t="str">
        <f>IF(B569="","",MAX($A$2:A568)+1)</f>
        <v/>
      </c>
      <c r="B569" s="72"/>
      <c r="C569" s="72"/>
      <c r="D569" s="90"/>
      <c r="E569" s="73"/>
      <c r="F569" s="74"/>
      <c r="G569" s="74"/>
      <c r="H569" s="74"/>
      <c r="I569" s="86"/>
      <c r="J569" s="294"/>
      <c r="K569" s="99"/>
      <c r="L569" s="100"/>
      <c r="M569" s="75"/>
      <c r="N569" s="76"/>
      <c r="O569" s="76"/>
      <c r="P569" s="77"/>
      <c r="Q569" s="77"/>
      <c r="R569" s="77"/>
      <c r="S569" s="88"/>
      <c r="T569" s="71"/>
      <c r="U569" s="37"/>
      <c r="V569" s="36">
        <f t="shared" si="11"/>
        <v>0</v>
      </c>
    </row>
    <row r="570" spans="1:22" ht="30" customHeight="1" x14ac:dyDescent="0.25">
      <c r="A570" s="97" t="str">
        <f>IF(B570="","",MAX($A$2:A569)+1)</f>
        <v/>
      </c>
      <c r="B570" s="72"/>
      <c r="C570" s="72"/>
      <c r="D570" s="90"/>
      <c r="E570" s="73"/>
      <c r="F570" s="74"/>
      <c r="G570" s="74"/>
      <c r="H570" s="74"/>
      <c r="I570" s="86"/>
      <c r="J570" s="294"/>
      <c r="K570" s="99"/>
      <c r="L570" s="100"/>
      <c r="M570" s="75"/>
      <c r="N570" s="76"/>
      <c r="O570" s="76"/>
      <c r="P570" s="77"/>
      <c r="Q570" s="77"/>
      <c r="R570" s="77"/>
      <c r="S570" s="88"/>
      <c r="T570" s="71"/>
      <c r="U570" s="37"/>
      <c r="V570" s="36">
        <f t="shared" si="11"/>
        <v>0</v>
      </c>
    </row>
    <row r="571" spans="1:22" ht="30" customHeight="1" x14ac:dyDescent="0.25">
      <c r="A571" s="97" t="str">
        <f>IF(B571="","",MAX($A$2:A570)+1)</f>
        <v/>
      </c>
      <c r="B571" s="72"/>
      <c r="C571" s="72"/>
      <c r="D571" s="90"/>
      <c r="E571" s="73"/>
      <c r="F571" s="74"/>
      <c r="G571" s="74"/>
      <c r="H571" s="74"/>
      <c r="I571" s="86"/>
      <c r="J571" s="294"/>
      <c r="K571" s="99"/>
      <c r="L571" s="100"/>
      <c r="M571" s="75"/>
      <c r="N571" s="76"/>
      <c r="O571" s="76"/>
      <c r="P571" s="77"/>
      <c r="Q571" s="77"/>
      <c r="R571" s="77"/>
      <c r="S571" s="88"/>
      <c r="T571" s="71"/>
      <c r="U571" s="37"/>
      <c r="V571" s="36">
        <f t="shared" si="11"/>
        <v>0</v>
      </c>
    </row>
    <row r="572" spans="1:22" ht="30" customHeight="1" x14ac:dyDescent="0.25">
      <c r="A572" s="97" t="str">
        <f>IF(B572="","",MAX($A$2:A571)+1)</f>
        <v/>
      </c>
      <c r="B572" s="72"/>
      <c r="C572" s="72"/>
      <c r="D572" s="90"/>
      <c r="E572" s="73"/>
      <c r="F572" s="74"/>
      <c r="G572" s="74"/>
      <c r="H572" s="74"/>
      <c r="I572" s="86"/>
      <c r="J572" s="294"/>
      <c r="K572" s="99"/>
      <c r="L572" s="100"/>
      <c r="M572" s="75"/>
      <c r="N572" s="76"/>
      <c r="O572" s="76"/>
      <c r="P572" s="77"/>
      <c r="Q572" s="77"/>
      <c r="R572" s="77"/>
      <c r="S572" s="88"/>
      <c r="T572" s="71"/>
      <c r="U572" s="37"/>
      <c r="V572" s="36">
        <f t="shared" si="11"/>
        <v>0</v>
      </c>
    </row>
    <row r="573" spans="1:22" ht="30" customHeight="1" x14ac:dyDescent="0.25">
      <c r="A573" s="97" t="str">
        <f>IF(B573="","",MAX($A$2:A572)+1)</f>
        <v/>
      </c>
      <c r="B573" s="72"/>
      <c r="C573" s="72"/>
      <c r="D573" s="90"/>
      <c r="E573" s="73"/>
      <c r="F573" s="74"/>
      <c r="G573" s="74"/>
      <c r="H573" s="74"/>
      <c r="I573" s="86"/>
      <c r="J573" s="294"/>
      <c r="K573" s="99"/>
      <c r="L573" s="100"/>
      <c r="M573" s="75"/>
      <c r="N573" s="76"/>
      <c r="O573" s="76"/>
      <c r="P573" s="77"/>
      <c r="Q573" s="77"/>
      <c r="R573" s="77"/>
      <c r="S573" s="88"/>
      <c r="T573" s="71"/>
      <c r="U573" s="37"/>
      <c r="V573" s="36">
        <f t="shared" si="11"/>
        <v>0</v>
      </c>
    </row>
    <row r="574" spans="1:22" ht="30" customHeight="1" x14ac:dyDescent="0.25">
      <c r="A574" s="97" t="str">
        <f>IF(B574="","",MAX($A$2:A573)+1)</f>
        <v/>
      </c>
      <c r="B574" s="72"/>
      <c r="C574" s="72"/>
      <c r="D574" s="90"/>
      <c r="E574" s="73"/>
      <c r="F574" s="74"/>
      <c r="G574" s="74"/>
      <c r="H574" s="74"/>
      <c r="I574" s="86"/>
      <c r="J574" s="294"/>
      <c r="K574" s="99"/>
      <c r="L574" s="100"/>
      <c r="M574" s="75"/>
      <c r="N574" s="76"/>
      <c r="O574" s="76"/>
      <c r="P574" s="77"/>
      <c r="Q574" s="77"/>
      <c r="R574" s="77"/>
      <c r="S574" s="88"/>
      <c r="T574" s="71"/>
      <c r="U574" s="37"/>
      <c r="V574" s="36">
        <f t="shared" si="11"/>
        <v>0</v>
      </c>
    </row>
    <row r="575" spans="1:22" ht="30" customHeight="1" x14ac:dyDescent="0.25">
      <c r="A575" s="97" t="str">
        <f>IF(B575="","",MAX($A$2:A574)+1)</f>
        <v/>
      </c>
      <c r="B575" s="72"/>
      <c r="C575" s="72"/>
      <c r="D575" s="91"/>
      <c r="E575" s="73"/>
      <c r="F575" s="74"/>
      <c r="G575" s="74"/>
      <c r="H575" s="74"/>
      <c r="I575" s="86"/>
      <c r="J575" s="294"/>
      <c r="K575" s="99"/>
      <c r="L575" s="100"/>
      <c r="M575" s="75"/>
      <c r="N575" s="76"/>
      <c r="O575" s="76"/>
      <c r="P575" s="77"/>
      <c r="Q575" s="77"/>
      <c r="R575" s="77"/>
      <c r="S575" s="88"/>
      <c r="T575" s="71"/>
      <c r="U575" s="37"/>
      <c r="V575" s="36">
        <f t="shared" si="11"/>
        <v>0</v>
      </c>
    </row>
    <row r="576" spans="1:22" ht="30" customHeight="1" x14ac:dyDescent="0.25">
      <c r="A576" s="97" t="str">
        <f>IF(B576="","",MAX($A$2:A575)+1)</f>
        <v/>
      </c>
      <c r="B576" s="72"/>
      <c r="C576" s="72"/>
      <c r="D576" s="90"/>
      <c r="E576" s="73"/>
      <c r="F576" s="74"/>
      <c r="G576" s="74"/>
      <c r="H576" s="74"/>
      <c r="I576" s="86"/>
      <c r="J576" s="294"/>
      <c r="K576" s="99"/>
      <c r="L576" s="100"/>
      <c r="M576" s="75"/>
      <c r="N576" s="76"/>
      <c r="O576" s="76"/>
      <c r="P576" s="77"/>
      <c r="Q576" s="77"/>
      <c r="R576" s="77"/>
      <c r="S576" s="88"/>
      <c r="T576" s="71"/>
      <c r="U576" s="37"/>
      <c r="V576" s="36">
        <f t="shared" si="11"/>
        <v>0</v>
      </c>
    </row>
    <row r="577" spans="1:22" ht="30" customHeight="1" x14ac:dyDescent="0.25">
      <c r="A577" s="97" t="str">
        <f>IF(B577="","",MAX($A$2:A576)+1)</f>
        <v/>
      </c>
      <c r="B577" s="72"/>
      <c r="C577" s="72"/>
      <c r="D577" s="90"/>
      <c r="E577" s="73"/>
      <c r="F577" s="74"/>
      <c r="G577" s="74"/>
      <c r="H577" s="74"/>
      <c r="I577" s="86"/>
      <c r="J577" s="294"/>
      <c r="K577" s="99"/>
      <c r="L577" s="100"/>
      <c r="M577" s="75"/>
      <c r="N577" s="76"/>
      <c r="O577" s="76"/>
      <c r="P577" s="77"/>
      <c r="Q577" s="77"/>
      <c r="R577" s="77"/>
      <c r="S577" s="88"/>
      <c r="T577" s="71"/>
      <c r="U577" s="37"/>
      <c r="V577" s="36">
        <f t="shared" si="11"/>
        <v>0</v>
      </c>
    </row>
    <row r="578" spans="1:22" ht="30" customHeight="1" x14ac:dyDescent="0.25">
      <c r="A578" s="97" t="str">
        <f>IF(B578="","",MAX($A$2:A577)+1)</f>
        <v/>
      </c>
      <c r="B578" s="72"/>
      <c r="C578" s="72"/>
      <c r="D578" s="90"/>
      <c r="E578" s="73"/>
      <c r="F578" s="74"/>
      <c r="G578" s="74"/>
      <c r="H578" s="74"/>
      <c r="I578" s="86"/>
      <c r="J578" s="294"/>
      <c r="K578" s="99"/>
      <c r="L578" s="100"/>
      <c r="M578" s="75"/>
      <c r="N578" s="76"/>
      <c r="O578" s="76"/>
      <c r="P578" s="77"/>
      <c r="Q578" s="77"/>
      <c r="R578" s="77"/>
      <c r="S578" s="88"/>
      <c r="T578" s="71"/>
      <c r="U578" s="37"/>
      <c r="V578" s="36">
        <f t="shared" si="11"/>
        <v>0</v>
      </c>
    </row>
    <row r="579" spans="1:22" ht="30" customHeight="1" x14ac:dyDescent="0.25">
      <c r="A579" s="97" t="str">
        <f>IF(B579="","",MAX($A$2:A578)+1)</f>
        <v/>
      </c>
      <c r="B579" s="72"/>
      <c r="C579" s="72"/>
      <c r="D579" s="90"/>
      <c r="E579" s="73"/>
      <c r="F579" s="74"/>
      <c r="G579" s="74"/>
      <c r="H579" s="74"/>
      <c r="I579" s="86"/>
      <c r="J579" s="294"/>
      <c r="K579" s="99"/>
      <c r="L579" s="100"/>
      <c r="M579" s="75"/>
      <c r="N579" s="76"/>
      <c r="O579" s="76"/>
      <c r="P579" s="77"/>
      <c r="Q579" s="77"/>
      <c r="R579" s="77"/>
      <c r="S579" s="88"/>
      <c r="T579" s="71"/>
      <c r="U579" s="37"/>
      <c r="V579" s="36">
        <f t="shared" si="11"/>
        <v>0</v>
      </c>
    </row>
    <row r="580" spans="1:22" ht="30" customHeight="1" x14ac:dyDescent="0.25">
      <c r="A580" s="97" t="str">
        <f>IF(B580="","",MAX($A$2:A579)+1)</f>
        <v/>
      </c>
      <c r="B580" s="72"/>
      <c r="C580" s="72"/>
      <c r="D580" s="90"/>
      <c r="E580" s="73"/>
      <c r="F580" s="74"/>
      <c r="G580" s="74"/>
      <c r="H580" s="74"/>
      <c r="I580" s="86"/>
      <c r="J580" s="294"/>
      <c r="K580" s="99"/>
      <c r="L580" s="100"/>
      <c r="M580" s="75"/>
      <c r="N580" s="76"/>
      <c r="O580" s="76"/>
      <c r="P580" s="77"/>
      <c r="Q580" s="77"/>
      <c r="R580" s="77"/>
      <c r="S580" s="88"/>
      <c r="T580" s="71"/>
      <c r="U580" s="37"/>
      <c r="V580" s="36">
        <f t="shared" si="11"/>
        <v>0</v>
      </c>
    </row>
    <row r="581" spans="1:22" ht="30" customHeight="1" x14ac:dyDescent="0.25">
      <c r="A581" s="97" t="str">
        <f>IF(B581="","",MAX($A$2:A580)+1)</f>
        <v/>
      </c>
      <c r="B581" s="72"/>
      <c r="C581" s="72"/>
      <c r="D581" s="90"/>
      <c r="E581" s="73"/>
      <c r="F581" s="74"/>
      <c r="G581" s="74"/>
      <c r="H581" s="74"/>
      <c r="I581" s="86"/>
      <c r="J581" s="294"/>
      <c r="K581" s="99"/>
      <c r="L581" s="100"/>
      <c r="M581" s="75"/>
      <c r="N581" s="76"/>
      <c r="O581" s="76"/>
      <c r="P581" s="77"/>
      <c r="Q581" s="77"/>
      <c r="R581" s="77"/>
      <c r="S581" s="88"/>
      <c r="T581" s="71"/>
      <c r="U581" s="37"/>
      <c r="V581" s="36">
        <f t="shared" si="11"/>
        <v>0</v>
      </c>
    </row>
    <row r="582" spans="1:22" ht="30" customHeight="1" x14ac:dyDescent="0.25">
      <c r="A582" s="97" t="str">
        <f>IF(B582="","",MAX($A$2:A581)+1)</f>
        <v/>
      </c>
      <c r="B582" s="72"/>
      <c r="C582" s="72"/>
      <c r="D582" s="90"/>
      <c r="E582" s="73"/>
      <c r="F582" s="74"/>
      <c r="G582" s="74"/>
      <c r="H582" s="74"/>
      <c r="I582" s="86"/>
      <c r="J582" s="294"/>
      <c r="K582" s="99"/>
      <c r="L582" s="100"/>
      <c r="M582" s="75"/>
      <c r="N582" s="76"/>
      <c r="O582" s="76"/>
      <c r="P582" s="77"/>
      <c r="Q582" s="77"/>
      <c r="R582" s="77"/>
      <c r="S582" s="88"/>
      <c r="T582" s="71"/>
      <c r="U582" s="37"/>
      <c r="V582" s="36">
        <f t="shared" si="11"/>
        <v>0</v>
      </c>
    </row>
    <row r="583" spans="1:22" ht="30" customHeight="1" x14ac:dyDescent="0.25">
      <c r="A583" s="97" t="str">
        <f>IF(B583="","",MAX($A$2:A582)+1)</f>
        <v/>
      </c>
      <c r="B583" s="72"/>
      <c r="C583" s="72"/>
      <c r="D583" s="90"/>
      <c r="E583" s="73"/>
      <c r="F583" s="74"/>
      <c r="G583" s="74"/>
      <c r="H583" s="74"/>
      <c r="I583" s="86"/>
      <c r="J583" s="294"/>
      <c r="K583" s="99"/>
      <c r="L583" s="100"/>
      <c r="M583" s="75"/>
      <c r="N583" s="76"/>
      <c r="O583" s="76"/>
      <c r="P583" s="77"/>
      <c r="Q583" s="77"/>
      <c r="R583" s="77"/>
      <c r="S583" s="88"/>
      <c r="T583" s="71"/>
      <c r="U583" s="37"/>
      <c r="V583" s="36">
        <f t="shared" si="11"/>
        <v>0</v>
      </c>
    </row>
    <row r="584" spans="1:22" ht="30" customHeight="1" x14ac:dyDescent="0.25">
      <c r="A584" s="97" t="str">
        <f>IF(B584="","",MAX($A$2:A583)+1)</f>
        <v/>
      </c>
      <c r="B584" s="72"/>
      <c r="C584" s="72"/>
      <c r="D584" s="90"/>
      <c r="E584" s="73"/>
      <c r="F584" s="74"/>
      <c r="G584" s="74"/>
      <c r="H584" s="74"/>
      <c r="I584" s="86"/>
      <c r="J584" s="294"/>
      <c r="K584" s="99"/>
      <c r="L584" s="100"/>
      <c r="M584" s="75"/>
      <c r="N584" s="76"/>
      <c r="O584" s="76"/>
      <c r="P584" s="77"/>
      <c r="Q584" s="77"/>
      <c r="R584" s="77"/>
      <c r="S584" s="88"/>
      <c r="T584" s="71"/>
      <c r="U584" s="37"/>
      <c r="V584" s="36">
        <f t="shared" si="11"/>
        <v>0</v>
      </c>
    </row>
    <row r="585" spans="1:22" ht="30" customHeight="1" x14ac:dyDescent="0.25">
      <c r="A585" s="97" t="str">
        <f>IF(B585="","",MAX($A$2:A584)+1)</f>
        <v/>
      </c>
      <c r="B585" s="72"/>
      <c r="C585" s="72"/>
      <c r="D585" s="90"/>
      <c r="E585" s="73"/>
      <c r="F585" s="74"/>
      <c r="G585" s="74"/>
      <c r="H585" s="74"/>
      <c r="I585" s="86"/>
      <c r="J585" s="294"/>
      <c r="K585" s="99"/>
      <c r="L585" s="100"/>
      <c r="M585" s="75"/>
      <c r="N585" s="76"/>
      <c r="O585" s="76"/>
      <c r="P585" s="77"/>
      <c r="Q585" s="77"/>
      <c r="R585" s="77"/>
      <c r="S585" s="88"/>
      <c r="T585" s="71"/>
      <c r="U585" s="37"/>
      <c r="V585" s="36">
        <f t="shared" si="11"/>
        <v>0</v>
      </c>
    </row>
    <row r="586" spans="1:22" ht="30" customHeight="1" x14ac:dyDescent="0.25">
      <c r="A586" s="97" t="str">
        <f>IF(B586="","",MAX($A$2:A585)+1)</f>
        <v/>
      </c>
      <c r="B586" s="72"/>
      <c r="C586" s="72"/>
      <c r="D586" s="90"/>
      <c r="E586" s="73"/>
      <c r="F586" s="74"/>
      <c r="G586" s="74"/>
      <c r="H586" s="74"/>
      <c r="I586" s="86"/>
      <c r="J586" s="294"/>
      <c r="K586" s="99"/>
      <c r="L586" s="100"/>
      <c r="M586" s="75"/>
      <c r="N586" s="76"/>
      <c r="O586" s="76"/>
      <c r="P586" s="77"/>
      <c r="Q586" s="77"/>
      <c r="R586" s="77"/>
      <c r="S586" s="88"/>
      <c r="T586" s="71"/>
      <c r="U586" s="37"/>
      <c r="V586" s="36">
        <f t="shared" si="11"/>
        <v>0</v>
      </c>
    </row>
    <row r="587" spans="1:22" ht="30" customHeight="1" x14ac:dyDescent="0.25">
      <c r="A587" s="97" t="str">
        <f>IF(B587="","",MAX($A$2:A586)+1)</f>
        <v/>
      </c>
      <c r="B587" s="72"/>
      <c r="C587" s="72"/>
      <c r="D587" s="90"/>
      <c r="E587" s="73"/>
      <c r="F587" s="74"/>
      <c r="G587" s="74"/>
      <c r="H587" s="74"/>
      <c r="I587" s="86"/>
      <c r="J587" s="294"/>
      <c r="K587" s="99"/>
      <c r="L587" s="100"/>
      <c r="M587" s="75"/>
      <c r="N587" s="76"/>
      <c r="O587" s="76"/>
      <c r="P587" s="77"/>
      <c r="Q587" s="77"/>
      <c r="R587" s="77"/>
      <c r="S587" s="88"/>
      <c r="T587" s="71"/>
      <c r="U587" s="37"/>
      <c r="V587" s="36">
        <f t="shared" si="11"/>
        <v>0</v>
      </c>
    </row>
    <row r="588" spans="1:22" ht="30" customHeight="1" x14ac:dyDescent="0.25">
      <c r="A588" s="97" t="str">
        <f>IF(B588="","",MAX($A$2:A587)+1)</f>
        <v/>
      </c>
      <c r="B588" s="102"/>
      <c r="C588" s="102"/>
      <c r="D588" s="91"/>
      <c r="E588" s="118"/>
      <c r="F588" s="78"/>
      <c r="G588" s="78"/>
      <c r="H588" s="78"/>
      <c r="I588" s="119"/>
      <c r="J588" s="295"/>
      <c r="K588" s="120"/>
      <c r="L588" s="121"/>
      <c r="M588" s="122"/>
      <c r="N588" s="76"/>
      <c r="O588" s="76"/>
      <c r="P588" s="77"/>
      <c r="Q588" s="77"/>
      <c r="R588" s="77"/>
      <c r="S588" s="88"/>
      <c r="T588" s="71"/>
      <c r="U588" s="37"/>
      <c r="V588" s="36">
        <f t="shared" si="11"/>
        <v>0</v>
      </c>
    </row>
    <row r="589" spans="1:22" ht="30" customHeight="1" x14ac:dyDescent="0.25">
      <c r="A589" s="97" t="str">
        <f>IF(B589="","",MAX($A$2:A588)+1)</f>
        <v/>
      </c>
      <c r="B589" s="72"/>
      <c r="C589" s="72"/>
      <c r="D589" s="90"/>
      <c r="E589" s="73"/>
      <c r="F589" s="74"/>
      <c r="G589" s="74"/>
      <c r="H589" s="74"/>
      <c r="I589" s="86"/>
      <c r="J589" s="294"/>
      <c r="K589" s="99"/>
      <c r="L589" s="100"/>
      <c r="M589" s="75"/>
      <c r="N589" s="76"/>
      <c r="O589" s="76"/>
      <c r="P589" s="77"/>
      <c r="Q589" s="77"/>
      <c r="R589" s="77"/>
      <c r="S589" s="88"/>
      <c r="T589" s="71"/>
      <c r="U589" s="37"/>
      <c r="V589" s="36">
        <f t="shared" si="11"/>
        <v>0</v>
      </c>
    </row>
    <row r="590" spans="1:22" ht="30" customHeight="1" x14ac:dyDescent="0.25">
      <c r="A590" s="97" t="str">
        <f>IF(B590="","",MAX($A$2:A589)+1)</f>
        <v/>
      </c>
      <c r="B590" s="102"/>
      <c r="C590" s="102"/>
      <c r="D590" s="91"/>
      <c r="E590" s="118"/>
      <c r="F590" s="78"/>
      <c r="G590" s="78"/>
      <c r="H590" s="78"/>
      <c r="I590" s="119"/>
      <c r="J590" s="295"/>
      <c r="K590" s="120"/>
      <c r="L590" s="121"/>
      <c r="M590" s="122"/>
      <c r="N590" s="76"/>
      <c r="O590" s="76"/>
      <c r="P590" s="77"/>
      <c r="Q590" s="77"/>
      <c r="R590" s="77"/>
      <c r="S590" s="88"/>
      <c r="T590" s="71"/>
      <c r="U590" s="37"/>
      <c r="V590" s="36">
        <f t="shared" si="11"/>
        <v>0</v>
      </c>
    </row>
    <row r="591" spans="1:22" ht="30" customHeight="1" x14ac:dyDescent="0.25">
      <c r="A591" s="97" t="str">
        <f>IF(B591="","",MAX($A$2:A590)+1)</f>
        <v/>
      </c>
      <c r="B591" s="72"/>
      <c r="C591" s="72"/>
      <c r="D591" s="90"/>
      <c r="E591" s="73"/>
      <c r="F591" s="74"/>
      <c r="G591" s="74"/>
      <c r="H591" s="74"/>
      <c r="I591" s="86"/>
      <c r="J591" s="294"/>
      <c r="K591" s="99"/>
      <c r="L591" s="100"/>
      <c r="M591" s="75"/>
      <c r="N591" s="76"/>
      <c r="O591" s="76"/>
      <c r="P591" s="77"/>
      <c r="Q591" s="77"/>
      <c r="R591" s="77"/>
      <c r="S591" s="88"/>
      <c r="T591" s="71"/>
      <c r="U591" s="37"/>
      <c r="V591" s="36">
        <f t="shared" si="11"/>
        <v>0</v>
      </c>
    </row>
    <row r="592" spans="1:22" ht="30" customHeight="1" x14ac:dyDescent="0.25">
      <c r="A592" s="97" t="str">
        <f>IF(B592="","",MAX($A$2:A591)+1)</f>
        <v/>
      </c>
      <c r="B592" s="72"/>
      <c r="C592" s="72"/>
      <c r="D592" s="90"/>
      <c r="E592" s="73"/>
      <c r="F592" s="74"/>
      <c r="G592" s="74"/>
      <c r="H592" s="74"/>
      <c r="I592" s="86"/>
      <c r="J592" s="294"/>
      <c r="K592" s="99"/>
      <c r="L592" s="100"/>
      <c r="M592" s="75"/>
      <c r="N592" s="76"/>
      <c r="O592" s="76"/>
      <c r="P592" s="77"/>
      <c r="Q592" s="77"/>
      <c r="R592" s="77"/>
      <c r="S592" s="88"/>
      <c r="T592" s="71"/>
      <c r="U592" s="37"/>
      <c r="V592" s="36">
        <f t="shared" si="11"/>
        <v>0</v>
      </c>
    </row>
    <row r="593" spans="1:22" ht="30" customHeight="1" x14ac:dyDescent="0.25">
      <c r="A593" s="97" t="str">
        <f>IF(B593="","",MAX($A$2:A592)+1)</f>
        <v/>
      </c>
      <c r="B593" s="72"/>
      <c r="C593" s="72"/>
      <c r="D593" s="90"/>
      <c r="E593" s="73"/>
      <c r="F593" s="74"/>
      <c r="G593" s="74"/>
      <c r="H593" s="74"/>
      <c r="I593" s="86"/>
      <c r="J593" s="294"/>
      <c r="K593" s="99"/>
      <c r="L593" s="100"/>
      <c r="M593" s="75"/>
      <c r="N593" s="76"/>
      <c r="O593" s="76"/>
      <c r="P593" s="77"/>
      <c r="Q593" s="77"/>
      <c r="R593" s="77"/>
      <c r="S593" s="88"/>
      <c r="T593" s="71"/>
      <c r="U593" s="37"/>
      <c r="V593" s="36">
        <f t="shared" si="11"/>
        <v>0</v>
      </c>
    </row>
    <row r="594" spans="1:22" ht="30" customHeight="1" x14ac:dyDescent="0.25">
      <c r="A594" s="97" t="str">
        <f>IF(B594="","",MAX($A$2:A593)+1)</f>
        <v/>
      </c>
      <c r="B594" s="72"/>
      <c r="C594" s="72"/>
      <c r="D594" s="90"/>
      <c r="E594" s="73"/>
      <c r="F594" s="74"/>
      <c r="G594" s="74"/>
      <c r="H594" s="74"/>
      <c r="I594" s="86"/>
      <c r="J594" s="294"/>
      <c r="K594" s="99"/>
      <c r="L594" s="100"/>
      <c r="M594" s="75"/>
      <c r="N594" s="76"/>
      <c r="O594" s="76"/>
      <c r="P594" s="77"/>
      <c r="Q594" s="77"/>
      <c r="R594" s="77"/>
      <c r="S594" s="88"/>
      <c r="T594" s="71"/>
      <c r="U594" s="37"/>
      <c r="V594" s="36">
        <f t="shared" si="11"/>
        <v>0</v>
      </c>
    </row>
    <row r="595" spans="1:22" ht="30" customHeight="1" x14ac:dyDescent="0.25">
      <c r="A595" s="97" t="str">
        <f>IF(B595="","",MAX($A$2:A594)+1)</f>
        <v/>
      </c>
      <c r="B595" s="72"/>
      <c r="C595" s="72"/>
      <c r="D595" s="90"/>
      <c r="E595" s="73"/>
      <c r="F595" s="74"/>
      <c r="G595" s="74"/>
      <c r="H595" s="74"/>
      <c r="I595" s="86"/>
      <c r="J595" s="294"/>
      <c r="K595" s="99"/>
      <c r="L595" s="100"/>
      <c r="M595" s="75"/>
      <c r="N595" s="76"/>
      <c r="O595" s="76"/>
      <c r="P595" s="77"/>
      <c r="Q595" s="77"/>
      <c r="R595" s="77"/>
      <c r="S595" s="88"/>
      <c r="T595" s="71"/>
      <c r="U595" s="37"/>
      <c r="V595" s="36">
        <f t="shared" si="11"/>
        <v>0</v>
      </c>
    </row>
    <row r="596" spans="1:22" ht="30" customHeight="1" x14ac:dyDescent="0.25">
      <c r="A596" s="97" t="str">
        <f>IF(B596="","",MAX($A$2:A595)+1)</f>
        <v/>
      </c>
      <c r="B596" s="72"/>
      <c r="C596" s="72"/>
      <c r="D596" s="90"/>
      <c r="E596" s="73"/>
      <c r="F596" s="74"/>
      <c r="G596" s="74"/>
      <c r="H596" s="74"/>
      <c r="I596" s="86"/>
      <c r="J596" s="294"/>
      <c r="K596" s="99"/>
      <c r="L596" s="100"/>
      <c r="M596" s="75"/>
      <c r="N596" s="76"/>
      <c r="O596" s="76"/>
      <c r="P596" s="77"/>
      <c r="Q596" s="77"/>
      <c r="R596" s="77"/>
      <c r="S596" s="88"/>
      <c r="T596" s="71"/>
      <c r="U596" s="37"/>
      <c r="V596" s="36">
        <f t="shared" si="11"/>
        <v>0</v>
      </c>
    </row>
    <row r="597" spans="1:22" ht="30" customHeight="1" x14ac:dyDescent="0.25">
      <c r="A597" s="97" t="str">
        <f>IF(B597="","",MAX($A$2:A596)+1)</f>
        <v/>
      </c>
      <c r="B597" s="72"/>
      <c r="C597" s="72"/>
      <c r="D597" s="90"/>
      <c r="E597" s="73"/>
      <c r="F597" s="74"/>
      <c r="G597" s="74"/>
      <c r="H597" s="74"/>
      <c r="I597" s="86"/>
      <c r="J597" s="294"/>
      <c r="K597" s="99"/>
      <c r="L597" s="100"/>
      <c r="M597" s="75"/>
      <c r="N597" s="76"/>
      <c r="O597" s="76"/>
      <c r="P597" s="77"/>
      <c r="Q597" s="77"/>
      <c r="R597" s="77"/>
      <c r="S597" s="88"/>
      <c r="T597" s="71"/>
      <c r="U597" s="37"/>
      <c r="V597" s="36">
        <f t="shared" ref="V597:V651" si="12">COUNTIF($B$2:$B$501,B597)</f>
        <v>0</v>
      </c>
    </row>
    <row r="598" spans="1:22" ht="30" customHeight="1" x14ac:dyDescent="0.25">
      <c r="A598" s="97" t="str">
        <f>IF(B598="","",MAX($A$2:A597)+1)</f>
        <v/>
      </c>
      <c r="B598" s="72"/>
      <c r="C598" s="72"/>
      <c r="D598" s="90"/>
      <c r="E598" s="73"/>
      <c r="F598" s="74"/>
      <c r="G598" s="74"/>
      <c r="H598" s="74"/>
      <c r="I598" s="86"/>
      <c r="J598" s="294"/>
      <c r="K598" s="99"/>
      <c r="L598" s="100"/>
      <c r="M598" s="75"/>
      <c r="N598" s="76"/>
      <c r="O598" s="76"/>
      <c r="P598" s="77"/>
      <c r="Q598" s="77"/>
      <c r="R598" s="77"/>
      <c r="S598" s="88"/>
      <c r="T598" s="71"/>
      <c r="U598" s="37"/>
      <c r="V598" s="36">
        <f t="shared" si="12"/>
        <v>0</v>
      </c>
    </row>
    <row r="599" spans="1:22" ht="30" customHeight="1" x14ac:dyDescent="0.25">
      <c r="A599" s="97" t="str">
        <f>IF(B599="","",MAX($A$2:A598)+1)</f>
        <v/>
      </c>
      <c r="B599" s="72"/>
      <c r="C599" s="72"/>
      <c r="D599" s="90"/>
      <c r="E599" s="73"/>
      <c r="F599" s="74"/>
      <c r="G599" s="74"/>
      <c r="H599" s="74"/>
      <c r="I599" s="86"/>
      <c r="J599" s="294"/>
      <c r="K599" s="99"/>
      <c r="L599" s="100"/>
      <c r="M599" s="75"/>
      <c r="N599" s="76"/>
      <c r="O599" s="76"/>
      <c r="P599" s="77"/>
      <c r="Q599" s="77"/>
      <c r="R599" s="77"/>
      <c r="S599" s="88"/>
      <c r="T599" s="71"/>
      <c r="U599" s="37"/>
      <c r="V599" s="36">
        <f t="shared" si="12"/>
        <v>0</v>
      </c>
    </row>
    <row r="600" spans="1:22" ht="30" customHeight="1" x14ac:dyDescent="0.25">
      <c r="A600" s="97" t="str">
        <f>IF(B600="","",MAX($A$2:A599)+1)</f>
        <v/>
      </c>
      <c r="B600" s="72"/>
      <c r="C600" s="72"/>
      <c r="D600" s="90"/>
      <c r="E600" s="73"/>
      <c r="F600" s="74"/>
      <c r="G600" s="74"/>
      <c r="H600" s="74"/>
      <c r="I600" s="86"/>
      <c r="J600" s="294"/>
      <c r="K600" s="99"/>
      <c r="L600" s="100"/>
      <c r="M600" s="75"/>
      <c r="N600" s="76"/>
      <c r="O600" s="76"/>
      <c r="P600" s="77"/>
      <c r="Q600" s="77"/>
      <c r="R600" s="77"/>
      <c r="S600" s="88"/>
      <c r="T600" s="71"/>
      <c r="U600" s="37"/>
      <c r="V600" s="36">
        <f t="shared" si="12"/>
        <v>0</v>
      </c>
    </row>
    <row r="601" spans="1:22" ht="30" customHeight="1" x14ac:dyDescent="0.25">
      <c r="A601" s="97" t="str">
        <f>IF(B601="","",MAX($A$2:A600)+1)</f>
        <v/>
      </c>
      <c r="B601" s="72"/>
      <c r="C601" s="72"/>
      <c r="D601" s="90"/>
      <c r="E601" s="73"/>
      <c r="F601" s="74"/>
      <c r="G601" s="74"/>
      <c r="H601" s="74"/>
      <c r="I601" s="86"/>
      <c r="J601" s="294"/>
      <c r="K601" s="99"/>
      <c r="L601" s="100"/>
      <c r="M601" s="75"/>
      <c r="N601" s="76"/>
      <c r="O601" s="76"/>
      <c r="P601" s="77"/>
      <c r="Q601" s="77"/>
      <c r="R601" s="77"/>
      <c r="S601" s="88"/>
      <c r="T601" s="71"/>
      <c r="U601" s="37"/>
      <c r="V601" s="36">
        <f t="shared" si="12"/>
        <v>0</v>
      </c>
    </row>
    <row r="602" spans="1:22" ht="30" customHeight="1" x14ac:dyDescent="0.25">
      <c r="A602" s="97" t="str">
        <f>IF(B602="","",MAX($A$2:A601)+1)</f>
        <v/>
      </c>
      <c r="B602" s="72"/>
      <c r="C602" s="72"/>
      <c r="D602" s="90"/>
      <c r="E602" s="73"/>
      <c r="F602" s="74"/>
      <c r="G602" s="74"/>
      <c r="H602" s="74"/>
      <c r="I602" s="86"/>
      <c r="J602" s="294"/>
      <c r="K602" s="99"/>
      <c r="L602" s="100"/>
      <c r="M602" s="75"/>
      <c r="N602" s="76"/>
      <c r="O602" s="76"/>
      <c r="P602" s="77"/>
      <c r="Q602" s="77"/>
      <c r="R602" s="77"/>
      <c r="S602" s="88"/>
      <c r="T602" s="71"/>
      <c r="U602" s="37"/>
      <c r="V602" s="36">
        <f t="shared" si="12"/>
        <v>0</v>
      </c>
    </row>
    <row r="603" spans="1:22" ht="30" customHeight="1" x14ac:dyDescent="0.25">
      <c r="A603" s="97" t="str">
        <f>IF(B603="","",MAX($A$2:A602)+1)</f>
        <v/>
      </c>
      <c r="B603" s="72"/>
      <c r="C603" s="72"/>
      <c r="D603" s="90"/>
      <c r="E603" s="73"/>
      <c r="F603" s="74"/>
      <c r="G603" s="74"/>
      <c r="H603" s="74"/>
      <c r="I603" s="86"/>
      <c r="J603" s="294"/>
      <c r="K603" s="99"/>
      <c r="L603" s="100"/>
      <c r="M603" s="75"/>
      <c r="N603" s="76"/>
      <c r="O603" s="76"/>
      <c r="P603" s="77"/>
      <c r="Q603" s="77"/>
      <c r="R603" s="77"/>
      <c r="S603" s="88"/>
      <c r="T603" s="71"/>
      <c r="U603" s="37"/>
      <c r="V603" s="36">
        <f t="shared" si="12"/>
        <v>0</v>
      </c>
    </row>
    <row r="604" spans="1:22" ht="30" customHeight="1" x14ac:dyDescent="0.25">
      <c r="A604" s="97" t="str">
        <f>IF(B604="","",MAX($A$2:A603)+1)</f>
        <v/>
      </c>
      <c r="B604" s="72"/>
      <c r="C604" s="72"/>
      <c r="D604" s="90"/>
      <c r="E604" s="73"/>
      <c r="F604" s="74"/>
      <c r="G604" s="74"/>
      <c r="H604" s="74"/>
      <c r="I604" s="86"/>
      <c r="J604" s="294"/>
      <c r="K604" s="99"/>
      <c r="L604" s="100"/>
      <c r="M604" s="75"/>
      <c r="N604" s="76"/>
      <c r="O604" s="76"/>
      <c r="P604" s="77"/>
      <c r="Q604" s="77"/>
      <c r="R604" s="77"/>
      <c r="S604" s="88"/>
      <c r="T604" s="71"/>
      <c r="U604" s="37"/>
      <c r="V604" s="36">
        <f t="shared" si="12"/>
        <v>0</v>
      </c>
    </row>
    <row r="605" spans="1:22" ht="30" customHeight="1" x14ac:dyDescent="0.25">
      <c r="A605" s="97" t="str">
        <f>IF(B605="","",MAX($A$2:A604)+1)</f>
        <v/>
      </c>
      <c r="B605" s="72"/>
      <c r="C605" s="72"/>
      <c r="D605" s="90"/>
      <c r="E605" s="73"/>
      <c r="F605" s="74"/>
      <c r="G605" s="74"/>
      <c r="H605" s="74"/>
      <c r="I605" s="86"/>
      <c r="J605" s="294"/>
      <c r="K605" s="99"/>
      <c r="L605" s="100"/>
      <c r="M605" s="75"/>
      <c r="N605" s="76"/>
      <c r="O605" s="76"/>
      <c r="P605" s="77"/>
      <c r="Q605" s="77"/>
      <c r="R605" s="77"/>
      <c r="S605" s="88"/>
      <c r="T605" s="71"/>
      <c r="U605" s="37"/>
      <c r="V605" s="36">
        <f t="shared" si="12"/>
        <v>0</v>
      </c>
    </row>
    <row r="606" spans="1:22" ht="30" customHeight="1" x14ac:dyDescent="0.25">
      <c r="A606" s="97" t="str">
        <f>IF(B606="","",MAX($A$2:A605)+1)</f>
        <v/>
      </c>
      <c r="B606" s="72"/>
      <c r="C606" s="72"/>
      <c r="D606" s="90"/>
      <c r="E606" s="73"/>
      <c r="F606" s="74"/>
      <c r="G606" s="74"/>
      <c r="H606" s="74"/>
      <c r="I606" s="86"/>
      <c r="J606" s="294"/>
      <c r="K606" s="99"/>
      <c r="L606" s="100"/>
      <c r="M606" s="75"/>
      <c r="N606" s="76"/>
      <c r="O606" s="76"/>
      <c r="P606" s="77"/>
      <c r="Q606" s="77"/>
      <c r="R606" s="77"/>
      <c r="S606" s="88"/>
      <c r="T606" s="71"/>
      <c r="U606" s="37"/>
      <c r="V606" s="36">
        <f t="shared" si="12"/>
        <v>0</v>
      </c>
    </row>
    <row r="607" spans="1:22" ht="30" customHeight="1" x14ac:dyDescent="0.25">
      <c r="A607" s="97" t="str">
        <f>IF(B607="","",MAX($A$2:A606)+1)</f>
        <v/>
      </c>
      <c r="B607" s="72"/>
      <c r="C607" s="72"/>
      <c r="D607" s="90"/>
      <c r="E607" s="73"/>
      <c r="F607" s="74"/>
      <c r="G607" s="74"/>
      <c r="H607" s="74"/>
      <c r="I607" s="86"/>
      <c r="J607" s="294"/>
      <c r="K607" s="99"/>
      <c r="L607" s="100"/>
      <c r="M607" s="75"/>
      <c r="N607" s="76"/>
      <c r="O607" s="76"/>
      <c r="P607" s="77"/>
      <c r="Q607" s="77"/>
      <c r="R607" s="77"/>
      <c r="S607" s="88"/>
      <c r="T607" s="71"/>
      <c r="U607" s="37"/>
      <c r="V607" s="36">
        <f t="shared" si="12"/>
        <v>0</v>
      </c>
    </row>
    <row r="608" spans="1:22" ht="30" customHeight="1" x14ac:dyDescent="0.25">
      <c r="A608" s="97" t="str">
        <f>IF(B608="","",MAX($A$2:A607)+1)</f>
        <v/>
      </c>
      <c r="B608" s="72"/>
      <c r="C608" s="72"/>
      <c r="D608" s="90"/>
      <c r="E608" s="73"/>
      <c r="F608" s="74"/>
      <c r="G608" s="74"/>
      <c r="H608" s="74"/>
      <c r="I608" s="86"/>
      <c r="J608" s="294"/>
      <c r="K608" s="99"/>
      <c r="L608" s="100"/>
      <c r="M608" s="75"/>
      <c r="N608" s="76"/>
      <c r="O608" s="76"/>
      <c r="P608" s="77"/>
      <c r="Q608" s="77"/>
      <c r="R608" s="77"/>
      <c r="S608" s="88" t="str">
        <f>IF(B608="","",ROUND(VERİLER!$C$7*0.15*P608/100,2))</f>
        <v/>
      </c>
      <c r="T608" s="71"/>
      <c r="U608" s="37"/>
      <c r="V608" s="36">
        <f t="shared" si="12"/>
        <v>0</v>
      </c>
    </row>
    <row r="609" spans="1:22" ht="30" customHeight="1" x14ac:dyDescent="0.25">
      <c r="A609" s="97" t="str">
        <f>IF(B609="","",MAX($A$2:A608)+1)</f>
        <v/>
      </c>
      <c r="B609" s="72"/>
      <c r="C609" s="72"/>
      <c r="D609" s="90"/>
      <c r="E609" s="73"/>
      <c r="F609" s="74"/>
      <c r="G609" s="74"/>
      <c r="H609" s="74"/>
      <c r="I609" s="86"/>
      <c r="J609" s="294"/>
      <c r="K609" s="99"/>
      <c r="L609" s="100"/>
      <c r="M609" s="75"/>
      <c r="N609" s="76"/>
      <c r="O609" s="76"/>
      <c r="P609" s="77"/>
      <c r="Q609" s="77"/>
      <c r="R609" s="77"/>
      <c r="S609" s="88" t="str">
        <f>IF(B609="","",ROUND(VERİLER!$C$7*0.15*P609/100,2))</f>
        <v/>
      </c>
      <c r="T609" s="71"/>
      <c r="U609" s="37"/>
      <c r="V609" s="36">
        <f t="shared" si="12"/>
        <v>0</v>
      </c>
    </row>
    <row r="610" spans="1:22" ht="30" customHeight="1" x14ac:dyDescent="0.25">
      <c r="A610" s="97" t="str">
        <f>IF(B610="","",MAX($A$2:A609)+1)</f>
        <v/>
      </c>
      <c r="B610" s="72"/>
      <c r="C610" s="72"/>
      <c r="D610" s="90"/>
      <c r="E610" s="73"/>
      <c r="F610" s="74"/>
      <c r="G610" s="74"/>
      <c r="H610" s="74"/>
      <c r="I610" s="86"/>
      <c r="J610" s="294"/>
      <c r="K610" s="99"/>
      <c r="L610" s="100"/>
      <c r="M610" s="75"/>
      <c r="N610" s="76"/>
      <c r="O610" s="76"/>
      <c r="P610" s="77"/>
      <c r="Q610" s="77"/>
      <c r="R610" s="77"/>
      <c r="S610" s="88" t="str">
        <f>IF(B610="","",ROUND(VERİLER!$C$7*0.15*P610/100,2))</f>
        <v/>
      </c>
      <c r="T610" s="71"/>
      <c r="U610" s="37"/>
      <c r="V610" s="36">
        <f t="shared" si="12"/>
        <v>0</v>
      </c>
    </row>
    <row r="611" spans="1:22" ht="30" customHeight="1" x14ac:dyDescent="0.25">
      <c r="A611" s="97" t="str">
        <f>IF(B611="","",MAX($A$2:A610)+1)</f>
        <v/>
      </c>
      <c r="B611" s="72"/>
      <c r="C611" s="72"/>
      <c r="D611" s="90"/>
      <c r="E611" s="73"/>
      <c r="F611" s="74"/>
      <c r="G611" s="74"/>
      <c r="H611" s="74"/>
      <c r="I611" s="86"/>
      <c r="J611" s="294"/>
      <c r="K611" s="99"/>
      <c r="L611" s="100"/>
      <c r="M611" s="75"/>
      <c r="N611" s="76"/>
      <c r="O611" s="76"/>
      <c r="P611" s="77"/>
      <c r="Q611" s="77"/>
      <c r="R611" s="77"/>
      <c r="S611" s="88" t="str">
        <f>IF(B611="","",ROUND(VERİLER!$C$7*0.15*P611/100,2))</f>
        <v/>
      </c>
      <c r="T611" s="71"/>
      <c r="U611" s="37"/>
      <c r="V611" s="36">
        <f t="shared" si="12"/>
        <v>0</v>
      </c>
    </row>
    <row r="612" spans="1:22" ht="30" customHeight="1" x14ac:dyDescent="0.25">
      <c r="A612" s="97" t="str">
        <f>IF(B612="","",MAX($A$2:A611)+1)</f>
        <v/>
      </c>
      <c r="B612" s="72"/>
      <c r="C612" s="72"/>
      <c r="D612" s="90"/>
      <c r="E612" s="73"/>
      <c r="F612" s="74"/>
      <c r="G612" s="74"/>
      <c r="H612" s="74"/>
      <c r="I612" s="86"/>
      <c r="J612" s="294"/>
      <c r="K612" s="99"/>
      <c r="L612" s="100"/>
      <c r="M612" s="75"/>
      <c r="N612" s="76"/>
      <c r="O612" s="76"/>
      <c r="P612" s="77"/>
      <c r="Q612" s="77"/>
      <c r="R612" s="77"/>
      <c r="S612" s="88" t="str">
        <f>IF(B612="","",ROUND(VERİLER!$C$7*0.15*P612/100,2))</f>
        <v/>
      </c>
      <c r="T612" s="71"/>
      <c r="U612" s="37"/>
      <c r="V612" s="36">
        <f t="shared" si="12"/>
        <v>0</v>
      </c>
    </row>
    <row r="613" spans="1:22" ht="30" customHeight="1" x14ac:dyDescent="0.25">
      <c r="A613" s="97" t="str">
        <f>IF(B613="","",MAX($A$2:A612)+1)</f>
        <v/>
      </c>
      <c r="B613" s="72"/>
      <c r="C613" s="72"/>
      <c r="D613" s="90"/>
      <c r="E613" s="73"/>
      <c r="F613" s="74"/>
      <c r="G613" s="74"/>
      <c r="H613" s="74"/>
      <c r="I613" s="86"/>
      <c r="J613" s="294"/>
      <c r="K613" s="99"/>
      <c r="L613" s="100"/>
      <c r="M613" s="75"/>
      <c r="N613" s="76"/>
      <c r="O613" s="76"/>
      <c r="P613" s="77"/>
      <c r="Q613" s="77"/>
      <c r="R613" s="77"/>
      <c r="S613" s="88" t="str">
        <f>IF(B613="","",ROUND(VERİLER!$C$7*0.15*P613/100,2))</f>
        <v/>
      </c>
      <c r="T613" s="71"/>
      <c r="U613" s="37"/>
      <c r="V613" s="36">
        <f t="shared" si="12"/>
        <v>0</v>
      </c>
    </row>
    <row r="614" spans="1:22" ht="30" customHeight="1" x14ac:dyDescent="0.25">
      <c r="A614" s="97" t="str">
        <f>IF(B614="","",MAX($A$2:A613)+1)</f>
        <v/>
      </c>
      <c r="B614" s="72"/>
      <c r="C614" s="72"/>
      <c r="D614" s="90"/>
      <c r="E614" s="73"/>
      <c r="F614" s="74"/>
      <c r="G614" s="74"/>
      <c r="H614" s="74"/>
      <c r="I614" s="86"/>
      <c r="J614" s="294"/>
      <c r="K614" s="99"/>
      <c r="L614" s="100"/>
      <c r="M614" s="75"/>
      <c r="N614" s="76"/>
      <c r="O614" s="76"/>
      <c r="P614" s="77"/>
      <c r="Q614" s="77"/>
      <c r="R614" s="77"/>
      <c r="S614" s="88" t="str">
        <f>IF(B614="","",ROUND(VERİLER!$C$7*0.15*P614/100,2))</f>
        <v/>
      </c>
      <c r="T614" s="71"/>
      <c r="U614" s="37"/>
      <c r="V614" s="36">
        <f t="shared" si="12"/>
        <v>0</v>
      </c>
    </row>
    <row r="615" spans="1:22" ht="30" customHeight="1" x14ac:dyDescent="0.25">
      <c r="A615" s="97" t="str">
        <f>IF(B615="","",MAX($A$2:A614)+1)</f>
        <v/>
      </c>
      <c r="B615" s="72"/>
      <c r="C615" s="72"/>
      <c r="D615" s="90"/>
      <c r="E615" s="73"/>
      <c r="F615" s="74"/>
      <c r="G615" s="74"/>
      <c r="H615" s="74"/>
      <c r="I615" s="86"/>
      <c r="J615" s="294"/>
      <c r="K615" s="99"/>
      <c r="L615" s="100"/>
      <c r="M615" s="75"/>
      <c r="N615" s="76"/>
      <c r="O615" s="76"/>
      <c r="P615" s="77"/>
      <c r="Q615" s="77"/>
      <c r="R615" s="77"/>
      <c r="S615" s="88" t="str">
        <f>IF(B615="","",ROUND(VERİLER!$C$7*0.15*P615/100,2))</f>
        <v/>
      </c>
      <c r="T615" s="71"/>
      <c r="U615" s="37"/>
      <c r="V615" s="36">
        <f t="shared" si="12"/>
        <v>0</v>
      </c>
    </row>
    <row r="616" spans="1:22" ht="30" customHeight="1" x14ac:dyDescent="0.25">
      <c r="A616" s="97" t="str">
        <f>IF(B616="","",MAX($A$2:A615)+1)</f>
        <v/>
      </c>
      <c r="B616" s="72"/>
      <c r="C616" s="72"/>
      <c r="D616" s="90"/>
      <c r="E616" s="73"/>
      <c r="F616" s="74"/>
      <c r="G616" s="74"/>
      <c r="H616" s="74"/>
      <c r="I616" s="86"/>
      <c r="J616" s="294"/>
      <c r="K616" s="99"/>
      <c r="L616" s="100"/>
      <c r="M616" s="75"/>
      <c r="N616" s="76"/>
      <c r="O616" s="76"/>
      <c r="P616" s="77"/>
      <c r="Q616" s="77"/>
      <c r="R616" s="77"/>
      <c r="S616" s="88" t="str">
        <f>IF(B616="","",ROUND(VERİLER!$C$7*0.15*P616/100,2))</f>
        <v/>
      </c>
      <c r="T616" s="71"/>
      <c r="U616" s="37"/>
      <c r="V616" s="36">
        <f t="shared" si="12"/>
        <v>0</v>
      </c>
    </row>
    <row r="617" spans="1:22" ht="30" customHeight="1" x14ac:dyDescent="0.25">
      <c r="A617" s="97" t="str">
        <f>IF(B617="","",MAX($A$2:A616)+1)</f>
        <v/>
      </c>
      <c r="B617" s="72"/>
      <c r="C617" s="72"/>
      <c r="D617" s="90"/>
      <c r="E617" s="73"/>
      <c r="F617" s="74"/>
      <c r="G617" s="74"/>
      <c r="H617" s="74"/>
      <c r="I617" s="86"/>
      <c r="J617" s="294"/>
      <c r="K617" s="99"/>
      <c r="L617" s="100"/>
      <c r="M617" s="75"/>
      <c r="N617" s="76"/>
      <c r="O617" s="76"/>
      <c r="P617" s="77"/>
      <c r="Q617" s="77"/>
      <c r="R617" s="77"/>
      <c r="S617" s="88" t="str">
        <f>IF(B617="","",ROUND(VERİLER!$C$7*0.15*P617/100,2))</f>
        <v/>
      </c>
      <c r="T617" s="71"/>
      <c r="U617" s="37"/>
      <c r="V617" s="36">
        <f t="shared" si="12"/>
        <v>0</v>
      </c>
    </row>
    <row r="618" spans="1:22" ht="30" customHeight="1" x14ac:dyDescent="0.25">
      <c r="A618" s="97" t="str">
        <f>IF(B618="","",MAX($A$2:A617)+1)</f>
        <v/>
      </c>
      <c r="B618" s="72"/>
      <c r="C618" s="72"/>
      <c r="D618" s="90"/>
      <c r="E618" s="73"/>
      <c r="F618" s="74"/>
      <c r="G618" s="74"/>
      <c r="H618" s="74"/>
      <c r="I618" s="86"/>
      <c r="J618" s="294"/>
      <c r="K618" s="99"/>
      <c r="L618" s="100"/>
      <c r="M618" s="75"/>
      <c r="N618" s="76"/>
      <c r="O618" s="76"/>
      <c r="P618" s="77"/>
      <c r="Q618" s="77"/>
      <c r="R618" s="77"/>
      <c r="S618" s="88" t="str">
        <f>IF(B618="","",ROUND(VERİLER!$C$7*0.15*P618/100,2))</f>
        <v/>
      </c>
      <c r="T618" s="71"/>
      <c r="U618" s="37"/>
      <c r="V618" s="36">
        <f t="shared" si="12"/>
        <v>0</v>
      </c>
    </row>
    <row r="619" spans="1:22" ht="30" customHeight="1" x14ac:dyDescent="0.25">
      <c r="A619" s="97" t="str">
        <f>IF(B619="","",MAX($A$2:A618)+1)</f>
        <v/>
      </c>
      <c r="B619" s="72"/>
      <c r="C619" s="72"/>
      <c r="D619" s="90"/>
      <c r="E619" s="73"/>
      <c r="F619" s="74"/>
      <c r="G619" s="74"/>
      <c r="H619" s="74"/>
      <c r="I619" s="86"/>
      <c r="J619" s="294"/>
      <c r="K619" s="99"/>
      <c r="L619" s="100"/>
      <c r="M619" s="75"/>
      <c r="N619" s="76"/>
      <c r="O619" s="76"/>
      <c r="P619" s="77"/>
      <c r="Q619" s="77"/>
      <c r="R619" s="77"/>
      <c r="S619" s="88" t="str">
        <f>IF(B619="","",ROUND(VERİLER!$C$7*0.15*P619/100,2))</f>
        <v/>
      </c>
      <c r="T619" s="71"/>
      <c r="U619" s="37"/>
      <c r="V619" s="36">
        <f t="shared" si="12"/>
        <v>0</v>
      </c>
    </row>
    <row r="620" spans="1:22" ht="30" customHeight="1" x14ac:dyDescent="0.25">
      <c r="A620" s="97" t="str">
        <f>IF(B620="","",MAX($A$2:A619)+1)</f>
        <v/>
      </c>
      <c r="B620" s="72"/>
      <c r="C620" s="72"/>
      <c r="D620" s="90"/>
      <c r="E620" s="73"/>
      <c r="F620" s="74"/>
      <c r="G620" s="74"/>
      <c r="H620" s="74"/>
      <c r="I620" s="86"/>
      <c r="J620" s="294"/>
      <c r="K620" s="99"/>
      <c r="L620" s="100"/>
      <c r="M620" s="75"/>
      <c r="N620" s="76"/>
      <c r="O620" s="76"/>
      <c r="P620" s="77"/>
      <c r="Q620" s="77"/>
      <c r="R620" s="77"/>
      <c r="S620" s="88" t="str">
        <f>IF(B620="","",ROUND(VERİLER!$C$7*0.15*P620/100,2))</f>
        <v/>
      </c>
      <c r="T620" s="71"/>
      <c r="U620" s="37"/>
      <c r="V620" s="36">
        <f t="shared" si="12"/>
        <v>0</v>
      </c>
    </row>
    <row r="621" spans="1:22" ht="30" customHeight="1" x14ac:dyDescent="0.25">
      <c r="A621" s="97" t="str">
        <f>IF(B621="","",MAX($A$2:A620)+1)</f>
        <v/>
      </c>
      <c r="B621" s="72"/>
      <c r="C621" s="72"/>
      <c r="D621" s="90"/>
      <c r="E621" s="73"/>
      <c r="F621" s="74"/>
      <c r="G621" s="74"/>
      <c r="H621" s="74"/>
      <c r="I621" s="86"/>
      <c r="J621" s="294"/>
      <c r="K621" s="99"/>
      <c r="L621" s="100"/>
      <c r="M621" s="75"/>
      <c r="N621" s="76"/>
      <c r="O621" s="76"/>
      <c r="P621" s="77"/>
      <c r="Q621" s="77"/>
      <c r="R621" s="77"/>
      <c r="S621" s="88" t="str">
        <f>IF(B621="","",ROUND(VERİLER!$C$7*0.15*P621/100,2))</f>
        <v/>
      </c>
      <c r="T621" s="71"/>
      <c r="U621" s="37"/>
      <c r="V621" s="36">
        <f t="shared" si="12"/>
        <v>0</v>
      </c>
    </row>
    <row r="622" spans="1:22" ht="30" customHeight="1" x14ac:dyDescent="0.25">
      <c r="A622" s="97" t="str">
        <f>IF(B622="","",MAX($A$2:A621)+1)</f>
        <v/>
      </c>
      <c r="B622" s="72"/>
      <c r="C622" s="72"/>
      <c r="D622" s="90"/>
      <c r="E622" s="73"/>
      <c r="F622" s="74"/>
      <c r="G622" s="74"/>
      <c r="H622" s="74"/>
      <c r="I622" s="86"/>
      <c r="J622" s="294"/>
      <c r="K622" s="99"/>
      <c r="L622" s="100"/>
      <c r="M622" s="75"/>
      <c r="N622" s="76"/>
      <c r="O622" s="76"/>
      <c r="P622" s="77"/>
      <c r="Q622" s="77"/>
      <c r="R622" s="77"/>
      <c r="S622" s="88" t="str">
        <f>IF(B622="","",ROUND(VERİLER!$C$7*0.15*P622/100,2))</f>
        <v/>
      </c>
      <c r="T622" s="71"/>
      <c r="U622" s="37"/>
      <c r="V622" s="36">
        <f t="shared" si="12"/>
        <v>0</v>
      </c>
    </row>
    <row r="623" spans="1:22" ht="30" customHeight="1" x14ac:dyDescent="0.25">
      <c r="A623" s="97" t="str">
        <f>IF(B623="","",MAX($A$2:A622)+1)</f>
        <v/>
      </c>
      <c r="B623" s="72"/>
      <c r="C623" s="72"/>
      <c r="D623" s="90"/>
      <c r="E623" s="73"/>
      <c r="F623" s="74"/>
      <c r="G623" s="74"/>
      <c r="H623" s="74"/>
      <c r="I623" s="86"/>
      <c r="J623" s="294"/>
      <c r="K623" s="99"/>
      <c r="L623" s="100"/>
      <c r="M623" s="75"/>
      <c r="N623" s="76"/>
      <c r="O623" s="76"/>
      <c r="P623" s="77"/>
      <c r="Q623" s="77"/>
      <c r="R623" s="77"/>
      <c r="S623" s="88" t="str">
        <f>IF(B623="","",ROUND(VERİLER!$C$7*0.15*P623/100,2))</f>
        <v/>
      </c>
      <c r="T623" s="71"/>
      <c r="U623" s="37"/>
      <c r="V623" s="36">
        <f t="shared" si="12"/>
        <v>0</v>
      </c>
    </row>
    <row r="624" spans="1:22" ht="30" customHeight="1" x14ac:dyDescent="0.25">
      <c r="A624" s="97" t="str">
        <f>IF(B624="","",MAX($A$2:A623)+1)</f>
        <v/>
      </c>
      <c r="B624" s="72"/>
      <c r="C624" s="72"/>
      <c r="D624" s="90"/>
      <c r="E624" s="73"/>
      <c r="F624" s="74"/>
      <c r="G624" s="74"/>
      <c r="H624" s="74"/>
      <c r="I624" s="86"/>
      <c r="J624" s="294"/>
      <c r="K624" s="99"/>
      <c r="L624" s="100"/>
      <c r="M624" s="75"/>
      <c r="N624" s="76"/>
      <c r="O624" s="76"/>
      <c r="P624" s="77"/>
      <c r="Q624" s="77"/>
      <c r="R624" s="77"/>
      <c r="S624" s="88" t="str">
        <f>IF(B624="","",ROUND(VERİLER!$C$7*0.15*P624/100,2))</f>
        <v/>
      </c>
      <c r="T624" s="71"/>
      <c r="U624" s="37"/>
      <c r="V624" s="36">
        <f t="shared" si="12"/>
        <v>0</v>
      </c>
    </row>
    <row r="625" spans="1:22" ht="30" customHeight="1" x14ac:dyDescent="0.25">
      <c r="A625" s="97" t="str">
        <f>IF(B625="","",MAX($A$2:A624)+1)</f>
        <v/>
      </c>
      <c r="B625" s="72"/>
      <c r="C625" s="72"/>
      <c r="D625" s="90"/>
      <c r="E625" s="73"/>
      <c r="F625" s="74"/>
      <c r="G625" s="74"/>
      <c r="H625" s="74"/>
      <c r="I625" s="86"/>
      <c r="J625" s="294"/>
      <c r="K625" s="99"/>
      <c r="L625" s="100"/>
      <c r="M625" s="75"/>
      <c r="N625" s="76"/>
      <c r="O625" s="76"/>
      <c r="P625" s="77"/>
      <c r="Q625" s="77"/>
      <c r="R625" s="77"/>
      <c r="S625" s="88" t="str">
        <f>IF(B625="","",ROUND(VERİLER!$C$7*0.15*P625/100,2))</f>
        <v/>
      </c>
      <c r="T625" s="71"/>
      <c r="U625" s="37"/>
      <c r="V625" s="36">
        <f t="shared" si="12"/>
        <v>0</v>
      </c>
    </row>
    <row r="626" spans="1:22" ht="30" customHeight="1" x14ac:dyDescent="0.25">
      <c r="A626" s="97" t="str">
        <f>IF(B626="","",MAX($A$2:A625)+1)</f>
        <v/>
      </c>
      <c r="B626" s="72"/>
      <c r="C626" s="72"/>
      <c r="D626" s="90"/>
      <c r="E626" s="73"/>
      <c r="F626" s="74"/>
      <c r="G626" s="74"/>
      <c r="H626" s="74"/>
      <c r="I626" s="86"/>
      <c r="J626" s="294"/>
      <c r="K626" s="99"/>
      <c r="L626" s="100"/>
      <c r="M626" s="75"/>
      <c r="N626" s="76"/>
      <c r="O626" s="76"/>
      <c r="P626" s="77"/>
      <c r="Q626" s="77"/>
      <c r="R626" s="77"/>
      <c r="S626" s="88" t="str">
        <f>IF(B626="","",ROUND(VERİLER!$C$7*0.15*P626/100,2))</f>
        <v/>
      </c>
      <c r="T626" s="71"/>
      <c r="U626" s="37"/>
      <c r="V626" s="36">
        <f t="shared" si="12"/>
        <v>0</v>
      </c>
    </row>
    <row r="627" spans="1:22" ht="30" customHeight="1" x14ac:dyDescent="0.25">
      <c r="A627" s="97" t="str">
        <f>IF(B627="","",MAX($A$2:A626)+1)</f>
        <v/>
      </c>
      <c r="B627" s="72"/>
      <c r="C627" s="72"/>
      <c r="D627" s="90"/>
      <c r="E627" s="73"/>
      <c r="F627" s="74"/>
      <c r="G627" s="74"/>
      <c r="H627" s="74"/>
      <c r="I627" s="86"/>
      <c r="J627" s="294"/>
      <c r="K627" s="99"/>
      <c r="L627" s="100"/>
      <c r="M627" s="75"/>
      <c r="N627" s="76"/>
      <c r="O627" s="76"/>
      <c r="P627" s="77"/>
      <c r="Q627" s="77"/>
      <c r="R627" s="77"/>
      <c r="S627" s="88" t="str">
        <f>IF(B627="","",ROUND(VERİLER!$C$7*0.15*P627/100,2))</f>
        <v/>
      </c>
      <c r="T627" s="71"/>
      <c r="U627" s="37"/>
      <c r="V627" s="36">
        <f t="shared" si="12"/>
        <v>0</v>
      </c>
    </row>
    <row r="628" spans="1:22" ht="30" customHeight="1" x14ac:dyDescent="0.25">
      <c r="A628" s="97" t="str">
        <f>IF(B628="","",MAX($A$2:A627)+1)</f>
        <v/>
      </c>
      <c r="B628" s="72"/>
      <c r="C628" s="72"/>
      <c r="D628" s="90"/>
      <c r="E628" s="73"/>
      <c r="F628" s="74"/>
      <c r="G628" s="74"/>
      <c r="H628" s="74"/>
      <c r="I628" s="86"/>
      <c r="J628" s="294"/>
      <c r="K628" s="99"/>
      <c r="L628" s="100"/>
      <c r="M628" s="75"/>
      <c r="N628" s="76"/>
      <c r="O628" s="76"/>
      <c r="P628" s="77"/>
      <c r="Q628" s="77"/>
      <c r="R628" s="77"/>
      <c r="S628" s="88" t="str">
        <f>IF(B628="","",ROUND(VERİLER!$C$7*0.15*P628/100,2))</f>
        <v/>
      </c>
      <c r="T628" s="71"/>
      <c r="U628" s="37"/>
      <c r="V628" s="36">
        <f t="shared" si="12"/>
        <v>0</v>
      </c>
    </row>
    <row r="629" spans="1:22" ht="30" customHeight="1" x14ac:dyDescent="0.25">
      <c r="A629" s="97" t="str">
        <f>IF(B629="","",MAX($A$2:A628)+1)</f>
        <v/>
      </c>
      <c r="B629" s="72"/>
      <c r="C629" s="72"/>
      <c r="D629" s="90"/>
      <c r="E629" s="73"/>
      <c r="F629" s="74"/>
      <c r="G629" s="74"/>
      <c r="H629" s="74"/>
      <c r="I629" s="86"/>
      <c r="J629" s="294"/>
      <c r="K629" s="99"/>
      <c r="L629" s="100"/>
      <c r="M629" s="75"/>
      <c r="N629" s="76"/>
      <c r="O629" s="76"/>
      <c r="P629" s="77"/>
      <c r="Q629" s="77"/>
      <c r="R629" s="77"/>
      <c r="S629" s="88" t="str">
        <f>IF(B629="","",ROUND(VERİLER!$C$7*0.15*P629/100,2))</f>
        <v/>
      </c>
      <c r="T629" s="71"/>
      <c r="U629" s="37"/>
      <c r="V629" s="36">
        <f t="shared" si="12"/>
        <v>0</v>
      </c>
    </row>
    <row r="630" spans="1:22" ht="30" customHeight="1" x14ac:dyDescent="0.25">
      <c r="A630" s="97" t="str">
        <f>IF(B630="","",MAX($A$2:A629)+1)</f>
        <v/>
      </c>
      <c r="B630" s="72"/>
      <c r="C630" s="72"/>
      <c r="D630" s="90"/>
      <c r="E630" s="73"/>
      <c r="F630" s="74"/>
      <c r="G630" s="74"/>
      <c r="H630" s="74"/>
      <c r="I630" s="86"/>
      <c r="J630" s="294"/>
      <c r="K630" s="99"/>
      <c r="L630" s="100"/>
      <c r="M630" s="75"/>
      <c r="N630" s="76"/>
      <c r="O630" s="76"/>
      <c r="P630" s="77"/>
      <c r="Q630" s="77"/>
      <c r="R630" s="77"/>
      <c r="S630" s="88" t="str">
        <f>IF(B630="","",ROUND(VERİLER!$C$7*0.15*P630/100,2))</f>
        <v/>
      </c>
      <c r="T630" s="71"/>
      <c r="U630" s="37"/>
      <c r="V630" s="36">
        <f t="shared" si="12"/>
        <v>0</v>
      </c>
    </row>
    <row r="631" spans="1:22" ht="30" customHeight="1" x14ac:dyDescent="0.25">
      <c r="A631" s="97" t="str">
        <f>IF(B631="","",MAX($A$2:A630)+1)</f>
        <v/>
      </c>
      <c r="B631" s="72"/>
      <c r="C631" s="72"/>
      <c r="D631" s="90"/>
      <c r="E631" s="73"/>
      <c r="F631" s="74"/>
      <c r="G631" s="74"/>
      <c r="H631" s="74"/>
      <c r="I631" s="86"/>
      <c r="J631" s="294"/>
      <c r="K631" s="99"/>
      <c r="L631" s="100"/>
      <c r="M631" s="75"/>
      <c r="N631" s="76"/>
      <c r="O631" s="76"/>
      <c r="P631" s="77"/>
      <c r="Q631" s="77"/>
      <c r="R631" s="77"/>
      <c r="S631" s="88" t="str">
        <f>IF(B631="","",ROUND(VERİLER!$C$7*0.15*P631/100,2))</f>
        <v/>
      </c>
      <c r="T631" s="71"/>
      <c r="U631" s="37"/>
      <c r="V631" s="36">
        <f t="shared" si="12"/>
        <v>0</v>
      </c>
    </row>
    <row r="632" spans="1:22" ht="30" customHeight="1" x14ac:dyDescent="0.25">
      <c r="A632" s="97" t="str">
        <f>IF(B632="","",MAX($A$2:A631)+1)</f>
        <v/>
      </c>
      <c r="B632" s="72"/>
      <c r="C632" s="72"/>
      <c r="D632" s="90"/>
      <c r="E632" s="73"/>
      <c r="F632" s="74"/>
      <c r="G632" s="74"/>
      <c r="H632" s="74"/>
      <c r="I632" s="86"/>
      <c r="J632" s="294"/>
      <c r="K632" s="99"/>
      <c r="L632" s="100"/>
      <c r="M632" s="75"/>
      <c r="N632" s="76"/>
      <c r="O632" s="76"/>
      <c r="P632" s="77"/>
      <c r="Q632" s="77"/>
      <c r="R632" s="77"/>
      <c r="S632" s="88" t="str">
        <f>IF(B632="","",ROUND(VERİLER!$C$7*0.15*P632/100,2))</f>
        <v/>
      </c>
      <c r="T632" s="71"/>
      <c r="U632" s="37"/>
      <c r="V632" s="36">
        <f t="shared" si="12"/>
        <v>0</v>
      </c>
    </row>
    <row r="633" spans="1:22" ht="30" customHeight="1" x14ac:dyDescent="0.25">
      <c r="A633" s="97" t="str">
        <f>IF(B633="","",MAX($A$2:A632)+1)</f>
        <v/>
      </c>
      <c r="B633" s="72"/>
      <c r="C633" s="72"/>
      <c r="D633" s="90"/>
      <c r="E633" s="73"/>
      <c r="F633" s="74"/>
      <c r="G633" s="74"/>
      <c r="H633" s="74"/>
      <c r="I633" s="86"/>
      <c r="J633" s="294"/>
      <c r="K633" s="99"/>
      <c r="L633" s="100"/>
      <c r="M633" s="75"/>
      <c r="N633" s="76"/>
      <c r="O633" s="76"/>
      <c r="P633" s="77"/>
      <c r="Q633" s="77"/>
      <c r="R633" s="77"/>
      <c r="S633" s="88" t="str">
        <f>IF(B633="","",ROUND(VERİLER!$C$7*0.15*P633/100,2))</f>
        <v/>
      </c>
      <c r="T633" s="71"/>
      <c r="U633" s="37"/>
      <c r="V633" s="36">
        <f t="shared" si="12"/>
        <v>0</v>
      </c>
    </row>
    <row r="634" spans="1:22" ht="30" customHeight="1" x14ac:dyDescent="0.25">
      <c r="A634" s="97" t="str">
        <f>IF(B634="","",MAX($A$2:A633)+1)</f>
        <v/>
      </c>
      <c r="B634" s="72"/>
      <c r="C634" s="72"/>
      <c r="D634" s="90"/>
      <c r="E634" s="73"/>
      <c r="F634" s="74"/>
      <c r="G634" s="74"/>
      <c r="H634" s="74"/>
      <c r="I634" s="86"/>
      <c r="J634" s="294"/>
      <c r="K634" s="99"/>
      <c r="L634" s="100"/>
      <c r="M634" s="75"/>
      <c r="N634" s="76"/>
      <c r="O634" s="76"/>
      <c r="P634" s="77"/>
      <c r="Q634" s="77"/>
      <c r="R634" s="77"/>
      <c r="S634" s="88" t="str">
        <f>IF(B634="","",ROUND(VERİLER!$C$7*0.15*P634/100,2))</f>
        <v/>
      </c>
      <c r="T634" s="71"/>
      <c r="U634" s="37"/>
      <c r="V634" s="36">
        <f t="shared" si="12"/>
        <v>0</v>
      </c>
    </row>
    <row r="635" spans="1:22" ht="30" customHeight="1" x14ac:dyDescent="0.25">
      <c r="A635" s="97" t="str">
        <f>IF(B635="","",MAX($A$2:A634)+1)</f>
        <v/>
      </c>
      <c r="B635" s="72"/>
      <c r="C635" s="72"/>
      <c r="D635" s="90"/>
      <c r="E635" s="73"/>
      <c r="F635" s="74"/>
      <c r="G635" s="74"/>
      <c r="H635" s="74"/>
      <c r="I635" s="86"/>
      <c r="J635" s="294"/>
      <c r="K635" s="99"/>
      <c r="L635" s="100"/>
      <c r="M635" s="75"/>
      <c r="N635" s="76"/>
      <c r="O635" s="76"/>
      <c r="P635" s="77"/>
      <c r="Q635" s="77"/>
      <c r="R635" s="77"/>
      <c r="S635" s="88" t="str">
        <f>IF(B635="","",ROUND(VERİLER!$C$7*0.15*P635/100,2))</f>
        <v/>
      </c>
      <c r="T635" s="71"/>
      <c r="U635" s="37"/>
      <c r="V635" s="36">
        <f t="shared" si="12"/>
        <v>0</v>
      </c>
    </row>
    <row r="636" spans="1:22" ht="30" customHeight="1" x14ac:dyDescent="0.25">
      <c r="A636" s="97" t="str">
        <f>IF(B636="","",MAX($A$2:A635)+1)</f>
        <v/>
      </c>
      <c r="B636" s="72"/>
      <c r="C636" s="72"/>
      <c r="D636" s="90"/>
      <c r="E636" s="73"/>
      <c r="F636" s="74"/>
      <c r="G636" s="74"/>
      <c r="H636" s="74"/>
      <c r="I636" s="86"/>
      <c r="J636" s="294"/>
      <c r="K636" s="99"/>
      <c r="L636" s="100"/>
      <c r="M636" s="75"/>
      <c r="N636" s="76"/>
      <c r="O636" s="76"/>
      <c r="P636" s="77"/>
      <c r="Q636" s="77"/>
      <c r="R636" s="77"/>
      <c r="S636" s="88" t="str">
        <f>IF(B636="","",ROUND(VERİLER!$C$7*0.15*P636/100,2))</f>
        <v/>
      </c>
      <c r="T636" s="71"/>
      <c r="U636" s="37"/>
      <c r="V636" s="36">
        <f t="shared" si="12"/>
        <v>0</v>
      </c>
    </row>
    <row r="637" spans="1:22" ht="30" customHeight="1" x14ac:dyDescent="0.25">
      <c r="A637" s="97" t="str">
        <f>IF(B637="","",MAX($A$2:A636)+1)</f>
        <v/>
      </c>
      <c r="B637" s="72"/>
      <c r="C637" s="72"/>
      <c r="D637" s="90"/>
      <c r="E637" s="73"/>
      <c r="F637" s="74"/>
      <c r="G637" s="74"/>
      <c r="H637" s="74"/>
      <c r="I637" s="86"/>
      <c r="J637" s="294"/>
      <c r="K637" s="99"/>
      <c r="L637" s="100"/>
      <c r="M637" s="75"/>
      <c r="N637" s="76"/>
      <c r="O637" s="76"/>
      <c r="P637" s="77"/>
      <c r="Q637" s="77"/>
      <c r="R637" s="77"/>
      <c r="S637" s="88" t="str">
        <f>IF(B637="","",ROUND(VERİLER!$C$7*0.15*P637/100,2))</f>
        <v/>
      </c>
      <c r="T637" s="71"/>
      <c r="U637" s="37"/>
      <c r="V637" s="36">
        <f t="shared" si="12"/>
        <v>0</v>
      </c>
    </row>
    <row r="638" spans="1:22" ht="30" customHeight="1" x14ac:dyDescent="0.25">
      <c r="A638" s="97" t="str">
        <f>IF(B638="","",MAX($A$2:A637)+1)</f>
        <v/>
      </c>
      <c r="B638" s="72"/>
      <c r="C638" s="72"/>
      <c r="D638" s="90"/>
      <c r="E638" s="73"/>
      <c r="F638" s="74"/>
      <c r="G638" s="74"/>
      <c r="H638" s="74"/>
      <c r="I638" s="86"/>
      <c r="J638" s="294"/>
      <c r="K638" s="99"/>
      <c r="L638" s="100"/>
      <c r="M638" s="75"/>
      <c r="N638" s="76"/>
      <c r="O638" s="76"/>
      <c r="P638" s="77"/>
      <c r="Q638" s="77"/>
      <c r="R638" s="77"/>
      <c r="S638" s="88" t="str">
        <f>IF(B638="","",ROUND(VERİLER!$C$7*0.15*P638/100,2))</f>
        <v/>
      </c>
      <c r="T638" s="71"/>
      <c r="U638" s="37"/>
      <c r="V638" s="36">
        <f t="shared" si="12"/>
        <v>0</v>
      </c>
    </row>
    <row r="639" spans="1:22" ht="30" customHeight="1" x14ac:dyDescent="0.25">
      <c r="A639" s="97" t="str">
        <f>IF(B639="","",MAX($A$2:A638)+1)</f>
        <v/>
      </c>
      <c r="B639" s="72"/>
      <c r="C639" s="72"/>
      <c r="D639" s="90"/>
      <c r="E639" s="73"/>
      <c r="F639" s="74"/>
      <c r="G639" s="74"/>
      <c r="H639" s="74"/>
      <c r="I639" s="86"/>
      <c r="J639" s="294"/>
      <c r="K639" s="99"/>
      <c r="L639" s="100"/>
      <c r="M639" s="75"/>
      <c r="N639" s="76"/>
      <c r="O639" s="76"/>
      <c r="P639" s="77"/>
      <c r="Q639" s="77"/>
      <c r="R639" s="77"/>
      <c r="S639" s="88" t="str">
        <f>IF(B639="","",ROUND(VERİLER!$C$7*0.15*P639/100,2))</f>
        <v/>
      </c>
      <c r="T639" s="71"/>
      <c r="U639" s="37"/>
      <c r="V639" s="36">
        <f t="shared" si="12"/>
        <v>0</v>
      </c>
    </row>
    <row r="640" spans="1:22" ht="30" customHeight="1" x14ac:dyDescent="0.25">
      <c r="A640" s="97" t="str">
        <f>IF(B640="","",MAX($A$2:A639)+1)</f>
        <v/>
      </c>
      <c r="B640" s="72"/>
      <c r="C640" s="72"/>
      <c r="D640" s="90"/>
      <c r="E640" s="73"/>
      <c r="F640" s="74"/>
      <c r="G640" s="74"/>
      <c r="H640" s="74"/>
      <c r="I640" s="86"/>
      <c r="J640" s="294"/>
      <c r="K640" s="99"/>
      <c r="L640" s="100"/>
      <c r="M640" s="75"/>
      <c r="N640" s="76"/>
      <c r="O640" s="76"/>
      <c r="P640" s="77"/>
      <c r="Q640" s="77"/>
      <c r="R640" s="77"/>
      <c r="S640" s="88" t="str">
        <f>IF(B640="","",ROUND(VERİLER!$C$7*0.15*P640/100,2))</f>
        <v/>
      </c>
      <c r="T640" s="71"/>
      <c r="U640" s="37"/>
      <c r="V640" s="36">
        <f t="shared" si="12"/>
        <v>0</v>
      </c>
    </row>
    <row r="641" spans="1:22" ht="30" customHeight="1" x14ac:dyDescent="0.25">
      <c r="A641" s="97" t="str">
        <f>IF(B641="","",MAX($A$2:A640)+1)</f>
        <v/>
      </c>
      <c r="B641" s="72"/>
      <c r="C641" s="72"/>
      <c r="D641" s="90"/>
      <c r="E641" s="73"/>
      <c r="F641" s="74"/>
      <c r="G641" s="74"/>
      <c r="H641" s="74"/>
      <c r="I641" s="86"/>
      <c r="J641" s="294"/>
      <c r="K641" s="99"/>
      <c r="L641" s="100"/>
      <c r="M641" s="75"/>
      <c r="N641" s="76"/>
      <c r="O641" s="76"/>
      <c r="P641" s="77"/>
      <c r="Q641" s="77"/>
      <c r="R641" s="77"/>
      <c r="S641" s="88" t="str">
        <f>IF(B641="","",ROUND(VERİLER!$C$7*0.15*P641/100,2))</f>
        <v/>
      </c>
      <c r="T641" s="71"/>
      <c r="U641" s="37"/>
      <c r="V641" s="36">
        <f t="shared" si="12"/>
        <v>0</v>
      </c>
    </row>
    <row r="642" spans="1:22" ht="30" customHeight="1" x14ac:dyDescent="0.25">
      <c r="A642" s="97" t="str">
        <f>IF(B642="","",MAX($A$2:A641)+1)</f>
        <v/>
      </c>
      <c r="B642" s="72"/>
      <c r="C642" s="72"/>
      <c r="D642" s="90"/>
      <c r="E642" s="73"/>
      <c r="F642" s="74"/>
      <c r="G642" s="74"/>
      <c r="H642" s="74"/>
      <c r="I642" s="86"/>
      <c r="J642" s="294"/>
      <c r="K642" s="99"/>
      <c r="L642" s="100"/>
      <c r="M642" s="75"/>
      <c r="N642" s="76"/>
      <c r="O642" s="76"/>
      <c r="P642" s="77"/>
      <c r="Q642" s="77"/>
      <c r="R642" s="77"/>
      <c r="S642" s="88" t="str">
        <f>IF(B642="","",ROUND(VERİLER!$C$7*0.15*P642/100,2))</f>
        <v/>
      </c>
      <c r="T642" s="71"/>
      <c r="U642" s="37"/>
      <c r="V642" s="36">
        <f t="shared" si="12"/>
        <v>0</v>
      </c>
    </row>
    <row r="643" spans="1:22" ht="30" customHeight="1" x14ac:dyDescent="0.25">
      <c r="A643" s="97" t="str">
        <f>IF(B643="","",MAX($A$2:A642)+1)</f>
        <v/>
      </c>
      <c r="B643" s="72"/>
      <c r="C643" s="72"/>
      <c r="D643" s="90"/>
      <c r="E643" s="73"/>
      <c r="F643" s="74"/>
      <c r="G643" s="74"/>
      <c r="H643" s="74"/>
      <c r="I643" s="86"/>
      <c r="J643" s="294"/>
      <c r="K643" s="99"/>
      <c r="L643" s="100"/>
      <c r="M643" s="75"/>
      <c r="N643" s="76"/>
      <c r="O643" s="76"/>
      <c r="P643" s="77"/>
      <c r="Q643" s="77"/>
      <c r="R643" s="77"/>
      <c r="S643" s="88" t="str">
        <f>IF(B643="","",ROUND(VERİLER!$C$7*0.15*P643/100,2))</f>
        <v/>
      </c>
      <c r="T643" s="71"/>
      <c r="U643" s="37"/>
      <c r="V643" s="36">
        <f t="shared" si="12"/>
        <v>0</v>
      </c>
    </row>
    <row r="644" spans="1:22" ht="30" customHeight="1" x14ac:dyDescent="0.25">
      <c r="A644" s="97" t="str">
        <f>IF(B644="","",MAX($A$2:A643)+1)</f>
        <v/>
      </c>
      <c r="B644" s="72"/>
      <c r="C644" s="72"/>
      <c r="D644" s="90"/>
      <c r="E644" s="73"/>
      <c r="F644" s="74"/>
      <c r="G644" s="74"/>
      <c r="H644" s="74"/>
      <c r="I644" s="86"/>
      <c r="J644" s="294"/>
      <c r="K644" s="99"/>
      <c r="L644" s="100"/>
      <c r="M644" s="75"/>
      <c r="N644" s="76"/>
      <c r="O644" s="76"/>
      <c r="P644" s="77"/>
      <c r="Q644" s="77"/>
      <c r="R644" s="77"/>
      <c r="S644" s="88" t="str">
        <f>IF(B644="","",ROUND(VERİLER!$C$7*0.15*P644/100,2))</f>
        <v/>
      </c>
      <c r="T644" s="71"/>
      <c r="U644" s="37"/>
      <c r="V644" s="36">
        <f t="shared" si="12"/>
        <v>0</v>
      </c>
    </row>
    <row r="645" spans="1:22" ht="30" customHeight="1" x14ac:dyDescent="0.25">
      <c r="A645" s="97" t="str">
        <f>IF(B645="","",MAX($A$2:A644)+1)</f>
        <v/>
      </c>
      <c r="B645" s="72"/>
      <c r="C645" s="72"/>
      <c r="D645" s="90"/>
      <c r="E645" s="73"/>
      <c r="F645" s="74"/>
      <c r="G645" s="74"/>
      <c r="H645" s="74"/>
      <c r="I645" s="86"/>
      <c r="J645" s="294"/>
      <c r="K645" s="99"/>
      <c r="L645" s="100"/>
      <c r="M645" s="75"/>
      <c r="N645" s="76"/>
      <c r="O645" s="76"/>
      <c r="P645" s="77"/>
      <c r="Q645" s="77"/>
      <c r="R645" s="77"/>
      <c r="S645" s="88" t="str">
        <f>IF(B645="","",ROUND(VERİLER!$C$7*0.15*P645/100,2))</f>
        <v/>
      </c>
      <c r="T645" s="71"/>
      <c r="U645" s="37"/>
      <c r="V645" s="36">
        <f t="shared" si="12"/>
        <v>0</v>
      </c>
    </row>
    <row r="646" spans="1:22" ht="30" customHeight="1" x14ac:dyDescent="0.25">
      <c r="A646" s="97" t="str">
        <f>IF(B646="","",MAX($A$2:A645)+1)</f>
        <v/>
      </c>
      <c r="B646" s="72"/>
      <c r="C646" s="72"/>
      <c r="D646" s="90"/>
      <c r="E646" s="73"/>
      <c r="F646" s="74"/>
      <c r="G646" s="74"/>
      <c r="H646" s="74"/>
      <c r="I646" s="86"/>
      <c r="J646" s="294"/>
      <c r="K646" s="99"/>
      <c r="L646" s="100"/>
      <c r="M646" s="75"/>
      <c r="N646" s="76"/>
      <c r="O646" s="76"/>
      <c r="P646" s="77"/>
      <c r="Q646" s="77"/>
      <c r="R646" s="77"/>
      <c r="S646" s="88" t="str">
        <f>IF(B646="","",ROUND(VERİLER!$C$7*0.15*P646/100,2))</f>
        <v/>
      </c>
      <c r="T646" s="71"/>
      <c r="U646" s="37"/>
      <c r="V646" s="36">
        <f t="shared" si="12"/>
        <v>0</v>
      </c>
    </row>
    <row r="647" spans="1:22" ht="30" customHeight="1" x14ac:dyDescent="0.25">
      <c r="A647" s="97" t="str">
        <f>IF(B647="","",MAX($A$2:A646)+1)</f>
        <v/>
      </c>
      <c r="B647" s="72"/>
      <c r="C647" s="72"/>
      <c r="D647" s="90"/>
      <c r="E647" s="73"/>
      <c r="F647" s="74"/>
      <c r="G647" s="74"/>
      <c r="H647" s="74"/>
      <c r="I647" s="86"/>
      <c r="J647" s="294"/>
      <c r="K647" s="99"/>
      <c r="L647" s="100"/>
      <c r="M647" s="75"/>
      <c r="N647" s="76"/>
      <c r="O647" s="76"/>
      <c r="P647" s="77"/>
      <c r="Q647" s="77"/>
      <c r="R647" s="77"/>
      <c r="S647" s="88" t="str">
        <f>IF(B647="","",ROUND(VERİLER!$C$7*0.15*P647/100,2))</f>
        <v/>
      </c>
      <c r="T647" s="71"/>
      <c r="U647" s="37"/>
      <c r="V647" s="36">
        <f t="shared" si="12"/>
        <v>0</v>
      </c>
    </row>
    <row r="648" spans="1:22" ht="30" customHeight="1" x14ac:dyDescent="0.25">
      <c r="A648" s="97" t="str">
        <f>IF(B648="","",MAX($A$2:A647)+1)</f>
        <v/>
      </c>
      <c r="B648" s="72"/>
      <c r="C648" s="72"/>
      <c r="D648" s="90"/>
      <c r="E648" s="73"/>
      <c r="F648" s="74"/>
      <c r="G648" s="74"/>
      <c r="H648" s="74"/>
      <c r="I648" s="86"/>
      <c r="J648" s="294"/>
      <c r="K648" s="99"/>
      <c r="L648" s="100"/>
      <c r="M648" s="75"/>
      <c r="N648" s="76"/>
      <c r="O648" s="76"/>
      <c r="P648" s="77"/>
      <c r="Q648" s="77"/>
      <c r="R648" s="77"/>
      <c r="S648" s="88" t="str">
        <f>IF(B648="","",ROUND(VERİLER!$C$7*0.15*P648/100,2))</f>
        <v/>
      </c>
      <c r="T648" s="71"/>
      <c r="U648" s="37"/>
      <c r="V648" s="36">
        <f t="shared" si="12"/>
        <v>0</v>
      </c>
    </row>
    <row r="649" spans="1:22" ht="30" customHeight="1" x14ac:dyDescent="0.25">
      <c r="A649" s="97" t="str">
        <f>IF(B649="","",MAX($A$2:A648)+1)</f>
        <v/>
      </c>
      <c r="B649" s="72"/>
      <c r="C649" s="72"/>
      <c r="D649" s="90"/>
      <c r="E649" s="73"/>
      <c r="F649" s="74"/>
      <c r="G649" s="74"/>
      <c r="H649" s="74"/>
      <c r="I649" s="86"/>
      <c r="J649" s="294"/>
      <c r="K649" s="99"/>
      <c r="L649" s="100"/>
      <c r="M649" s="75"/>
      <c r="N649" s="76"/>
      <c r="O649" s="76"/>
      <c r="P649" s="77"/>
      <c r="Q649" s="77"/>
      <c r="R649" s="77"/>
      <c r="S649" s="88" t="str">
        <f>IF(B649="","",ROUND(VERİLER!$C$7*0.15*P649/100,2))</f>
        <v/>
      </c>
      <c r="T649" s="71"/>
      <c r="U649" s="37"/>
      <c r="V649" s="36">
        <f t="shared" si="12"/>
        <v>0</v>
      </c>
    </row>
    <row r="650" spans="1:22" ht="30" customHeight="1" x14ac:dyDescent="0.25">
      <c r="A650" s="97" t="str">
        <f>IF(B650="","",MAX($A$2:A649)+1)</f>
        <v/>
      </c>
      <c r="B650" s="72"/>
      <c r="C650" s="72"/>
      <c r="D650" s="90"/>
      <c r="E650" s="73"/>
      <c r="F650" s="74"/>
      <c r="G650" s="74"/>
      <c r="H650" s="74"/>
      <c r="I650" s="86"/>
      <c r="J650" s="294"/>
      <c r="K650" s="99"/>
      <c r="L650" s="100"/>
      <c r="M650" s="75"/>
      <c r="N650" s="76"/>
      <c r="O650" s="76"/>
      <c r="P650" s="77"/>
      <c r="Q650" s="77"/>
      <c r="R650" s="77"/>
      <c r="S650" s="88" t="str">
        <f>IF(B650="","",ROUND(VERİLER!$C$7*0.15*P650/100,2))</f>
        <v/>
      </c>
      <c r="T650" s="71"/>
      <c r="U650" s="37"/>
      <c r="V650" s="36">
        <f t="shared" si="12"/>
        <v>0</v>
      </c>
    </row>
    <row r="651" spans="1:22" ht="30" customHeight="1" x14ac:dyDescent="0.25">
      <c r="A651" s="97" t="str">
        <f>IF(B651="","",MAX($A$2:A650)+1)</f>
        <v/>
      </c>
      <c r="B651" s="72"/>
      <c r="C651" s="72"/>
      <c r="D651" s="90"/>
      <c r="E651" s="73"/>
      <c r="F651" s="74"/>
      <c r="G651" s="74"/>
      <c r="H651" s="74"/>
      <c r="I651" s="86"/>
      <c r="J651" s="294"/>
      <c r="K651" s="99"/>
      <c r="L651" s="100"/>
      <c r="M651" s="75"/>
      <c r="N651" s="76"/>
      <c r="O651" s="76"/>
      <c r="P651" s="77"/>
      <c r="Q651" s="77"/>
      <c r="R651" s="77"/>
      <c r="S651" s="88" t="str">
        <f>IF(B651="","",ROUND(VERİLER!$C$7*0.15*P651/100,2))</f>
        <v/>
      </c>
      <c r="T651" s="71"/>
      <c r="U651" s="37"/>
      <c r="V651" s="36">
        <f t="shared" si="12"/>
        <v>0</v>
      </c>
    </row>
    <row r="652" spans="1:22" ht="30" customHeight="1" x14ac:dyDescent="0.25">
      <c r="N652" s="76"/>
      <c r="O652" s="76"/>
      <c r="P652" s="77"/>
      <c r="Q652" s="77"/>
      <c r="R652" s="77"/>
    </row>
    <row r="653" spans="1:22" ht="30" customHeight="1" x14ac:dyDescent="0.25">
      <c r="N653" s="76"/>
      <c r="O653" s="76"/>
      <c r="P653" s="77"/>
      <c r="Q653" s="77"/>
      <c r="R653" s="77"/>
    </row>
    <row r="654" spans="1:22" ht="30" customHeight="1" x14ac:dyDescent="0.25">
      <c r="N654" s="76"/>
      <c r="O654" s="76"/>
      <c r="P654" s="77"/>
      <c r="Q654" s="77"/>
      <c r="R654" s="77"/>
    </row>
    <row r="655" spans="1:22" ht="30" customHeight="1" x14ac:dyDescent="0.25">
      <c r="N655" s="76"/>
      <c r="O655" s="76"/>
      <c r="P655" s="77"/>
      <c r="Q655" s="77"/>
      <c r="R655" s="77"/>
    </row>
    <row r="656" spans="1:22" ht="30" customHeight="1" x14ac:dyDescent="0.25">
      <c r="N656" s="76"/>
      <c r="O656" s="76"/>
      <c r="P656" s="77"/>
      <c r="Q656" s="77"/>
      <c r="R656" s="77"/>
    </row>
    <row r="657" spans="14:18" ht="30" customHeight="1" x14ac:dyDescent="0.25">
      <c r="N657" s="76"/>
      <c r="O657" s="76"/>
      <c r="P657" s="77"/>
      <c r="Q657" s="77"/>
      <c r="R657" s="77"/>
    </row>
    <row r="658" spans="14:18" ht="30" customHeight="1" x14ac:dyDescent="0.25">
      <c r="N658" s="76"/>
      <c r="O658" s="76"/>
      <c r="P658" s="77"/>
      <c r="Q658" s="77"/>
      <c r="R658" s="77"/>
    </row>
    <row r="659" spans="14:18" ht="30" customHeight="1" x14ac:dyDescent="0.25">
      <c r="N659" s="76"/>
      <c r="O659" s="76"/>
      <c r="P659" s="77"/>
      <c r="Q659" s="77"/>
      <c r="R659" s="77"/>
    </row>
    <row r="660" spans="14:18" ht="30" customHeight="1" x14ac:dyDescent="0.25">
      <c r="N660" s="76"/>
      <c r="O660" s="76"/>
      <c r="P660" s="77"/>
      <c r="Q660" s="77"/>
      <c r="R660" s="77"/>
    </row>
    <row r="661" spans="14:18" ht="30" customHeight="1" x14ac:dyDescent="0.25">
      <c r="N661" s="76"/>
      <c r="O661" s="76"/>
      <c r="P661" s="77"/>
      <c r="Q661" s="77"/>
      <c r="R661" s="77"/>
    </row>
    <row r="662" spans="14:18" ht="30" customHeight="1" x14ac:dyDescent="0.25">
      <c r="N662" s="76"/>
      <c r="O662" s="76"/>
      <c r="P662" s="77"/>
      <c r="Q662" s="77"/>
      <c r="R662" s="77"/>
    </row>
    <row r="663" spans="14:18" ht="30" customHeight="1" x14ac:dyDescent="0.25">
      <c r="N663" s="76"/>
      <c r="O663" s="76"/>
      <c r="P663" s="77"/>
      <c r="Q663" s="77"/>
      <c r="R663" s="77"/>
    </row>
    <row r="664" spans="14:18" ht="30" customHeight="1" x14ac:dyDescent="0.25">
      <c r="N664" s="76"/>
      <c r="O664" s="76"/>
      <c r="P664" s="77"/>
      <c r="Q664" s="77"/>
      <c r="R664" s="77"/>
    </row>
    <row r="665" spans="14:18" ht="30" customHeight="1" x14ac:dyDescent="0.25">
      <c r="N665" s="76"/>
      <c r="O665" s="76"/>
      <c r="P665" s="77"/>
      <c r="Q665" s="77"/>
      <c r="R665" s="77"/>
    </row>
    <row r="666" spans="14:18" ht="30" customHeight="1" x14ac:dyDescent="0.25">
      <c r="N666" s="76"/>
      <c r="O666" s="76"/>
      <c r="P666" s="77"/>
      <c r="Q666" s="77"/>
      <c r="R666" s="77"/>
    </row>
    <row r="667" spans="14:18" ht="30" customHeight="1" x14ac:dyDescent="0.25">
      <c r="N667" s="76"/>
      <c r="O667" s="76"/>
      <c r="P667" s="77"/>
      <c r="Q667" s="77"/>
      <c r="R667" s="77"/>
    </row>
    <row r="668" spans="14:18" ht="30" customHeight="1" x14ac:dyDescent="0.25">
      <c r="N668" s="76"/>
      <c r="O668" s="76"/>
      <c r="P668" s="77"/>
      <c r="Q668" s="77"/>
      <c r="R668" s="77"/>
    </row>
    <row r="669" spans="14:18" ht="30" customHeight="1" x14ac:dyDescent="0.25">
      <c r="N669" s="76"/>
      <c r="O669" s="76"/>
      <c r="P669" s="77"/>
      <c r="Q669" s="77"/>
      <c r="R669" s="77"/>
    </row>
    <row r="670" spans="14:18" ht="30" customHeight="1" x14ac:dyDescent="0.25">
      <c r="N670" s="76"/>
      <c r="O670" s="76"/>
      <c r="P670" s="77"/>
      <c r="Q670" s="77"/>
      <c r="R670" s="77"/>
    </row>
    <row r="671" spans="14:18" ht="30" customHeight="1" x14ac:dyDescent="0.25">
      <c r="N671" s="76"/>
      <c r="O671" s="76"/>
      <c r="P671" s="77"/>
      <c r="Q671" s="77"/>
      <c r="R671" s="77"/>
    </row>
    <row r="672" spans="14:18" ht="30" customHeight="1" x14ac:dyDescent="0.25">
      <c r="N672" s="76"/>
      <c r="O672" s="76"/>
      <c r="P672" s="77"/>
      <c r="Q672" s="77"/>
      <c r="R672" s="77"/>
    </row>
    <row r="673" spans="14:18" ht="30" customHeight="1" x14ac:dyDescent="0.25">
      <c r="N673" s="76"/>
      <c r="O673" s="76"/>
      <c r="P673" s="77"/>
      <c r="Q673" s="77"/>
      <c r="R673" s="77"/>
    </row>
    <row r="674" spans="14:18" ht="30" customHeight="1" x14ac:dyDescent="0.25">
      <c r="N674" s="76"/>
      <c r="O674" s="76"/>
      <c r="P674" s="77"/>
      <c r="Q674" s="77"/>
      <c r="R674" s="77"/>
    </row>
    <row r="675" spans="14:18" ht="30" customHeight="1" x14ac:dyDescent="0.25">
      <c r="N675" s="76"/>
      <c r="O675" s="76"/>
      <c r="P675" s="77"/>
      <c r="Q675" s="77"/>
      <c r="R675" s="77"/>
    </row>
    <row r="676" spans="14:18" ht="30" customHeight="1" x14ac:dyDescent="0.25">
      <c r="N676" s="76"/>
      <c r="O676" s="76"/>
      <c r="P676" s="77"/>
      <c r="Q676" s="77"/>
      <c r="R676" s="77"/>
    </row>
    <row r="677" spans="14:18" ht="30" customHeight="1" x14ac:dyDescent="0.25">
      <c r="N677" s="76"/>
      <c r="O677" s="76"/>
      <c r="P677" s="77"/>
      <c r="Q677" s="77"/>
      <c r="R677" s="77"/>
    </row>
    <row r="678" spans="14:18" ht="30" customHeight="1" x14ac:dyDescent="0.25">
      <c r="N678" s="76"/>
      <c r="O678" s="76"/>
      <c r="P678" s="77"/>
      <c r="Q678" s="77"/>
      <c r="R678" s="77"/>
    </row>
    <row r="679" spans="14:18" ht="30" customHeight="1" x14ac:dyDescent="0.25">
      <c r="N679" s="76"/>
      <c r="O679" s="76"/>
      <c r="P679" s="77"/>
      <c r="Q679" s="77"/>
      <c r="R679" s="77"/>
    </row>
    <row r="680" spans="14:18" ht="30" customHeight="1" x14ac:dyDescent="0.25">
      <c r="N680" s="76"/>
      <c r="O680" s="76"/>
      <c r="P680" s="77"/>
      <c r="Q680" s="77"/>
      <c r="R680" s="77"/>
    </row>
    <row r="681" spans="14:18" ht="30" customHeight="1" x14ac:dyDescent="0.25">
      <c r="N681" s="76"/>
      <c r="O681" s="76"/>
      <c r="P681" s="77"/>
      <c r="Q681" s="77"/>
      <c r="R681" s="77"/>
    </row>
    <row r="682" spans="14:18" ht="30" customHeight="1" x14ac:dyDescent="0.25">
      <c r="N682" s="76"/>
      <c r="O682" s="76"/>
      <c r="P682" s="77"/>
      <c r="Q682" s="77"/>
      <c r="R682" s="77"/>
    </row>
    <row r="683" spans="14:18" ht="30" customHeight="1" x14ac:dyDescent="0.25">
      <c r="N683" s="76"/>
      <c r="O683" s="76"/>
      <c r="P683" s="77"/>
      <c r="Q683" s="77"/>
      <c r="R683" s="77"/>
    </row>
    <row r="684" spans="14:18" ht="30" customHeight="1" x14ac:dyDescent="0.25">
      <c r="N684" s="76"/>
      <c r="O684" s="76"/>
      <c r="P684" s="77"/>
      <c r="Q684" s="77"/>
      <c r="R684" s="77"/>
    </row>
    <row r="685" spans="14:18" ht="30" customHeight="1" x14ac:dyDescent="0.25">
      <c r="N685" s="76"/>
      <c r="O685" s="76"/>
      <c r="P685" s="77"/>
      <c r="Q685" s="77"/>
      <c r="R685" s="77"/>
    </row>
    <row r="686" spans="14:18" ht="30" customHeight="1" x14ac:dyDescent="0.25">
      <c r="N686" s="76"/>
      <c r="O686" s="76"/>
      <c r="P686" s="77"/>
      <c r="Q686" s="77"/>
      <c r="R686" s="77"/>
    </row>
    <row r="687" spans="14:18" ht="30" customHeight="1" x14ac:dyDescent="0.25">
      <c r="N687" s="76"/>
      <c r="O687" s="76"/>
      <c r="P687" s="77"/>
      <c r="Q687" s="77"/>
      <c r="R687" s="77"/>
    </row>
    <row r="688" spans="14:18" ht="30" customHeight="1" x14ac:dyDescent="0.25">
      <c r="N688" s="76"/>
      <c r="O688" s="76"/>
      <c r="P688" s="77"/>
      <c r="Q688" s="77"/>
      <c r="R688" s="77"/>
    </row>
    <row r="689" spans="14:18" ht="30" customHeight="1" x14ac:dyDescent="0.25">
      <c r="N689" s="76"/>
      <c r="O689" s="76"/>
      <c r="P689" s="77"/>
      <c r="Q689" s="77"/>
      <c r="R689" s="77"/>
    </row>
    <row r="690" spans="14:18" ht="30" customHeight="1" x14ac:dyDescent="0.25">
      <c r="N690" s="76"/>
      <c r="O690" s="76"/>
      <c r="P690" s="77"/>
      <c r="Q690" s="77"/>
      <c r="R690" s="77"/>
    </row>
    <row r="691" spans="14:18" ht="30" customHeight="1" x14ac:dyDescent="0.25">
      <c r="N691" s="76"/>
      <c r="O691" s="76"/>
      <c r="P691" s="77"/>
      <c r="Q691" s="77"/>
      <c r="R691" s="77"/>
    </row>
    <row r="692" spans="14:18" ht="30" customHeight="1" x14ac:dyDescent="0.25">
      <c r="N692" s="76"/>
      <c r="O692" s="76"/>
      <c r="P692" s="77"/>
      <c r="Q692" s="77"/>
      <c r="R692" s="77"/>
    </row>
    <row r="693" spans="14:18" ht="30" customHeight="1" x14ac:dyDescent="0.25">
      <c r="N693" s="76"/>
      <c r="O693" s="76"/>
      <c r="P693" s="77"/>
      <c r="Q693" s="77"/>
      <c r="R693" s="77"/>
    </row>
    <row r="694" spans="14:18" ht="30" customHeight="1" x14ac:dyDescent="0.25">
      <c r="N694" s="76"/>
      <c r="O694" s="76"/>
      <c r="P694" s="77"/>
      <c r="Q694" s="77"/>
      <c r="R694" s="77"/>
    </row>
    <row r="695" spans="14:18" ht="30" customHeight="1" x14ac:dyDescent="0.25">
      <c r="N695" s="76"/>
      <c r="O695" s="76"/>
      <c r="P695" s="77"/>
      <c r="Q695" s="77"/>
      <c r="R695" s="77"/>
    </row>
    <row r="696" spans="14:18" ht="30" customHeight="1" x14ac:dyDescent="0.25">
      <c r="N696" s="76"/>
      <c r="O696" s="76"/>
      <c r="P696" s="77"/>
      <c r="Q696" s="77"/>
      <c r="R696" s="77"/>
    </row>
    <row r="697" spans="14:18" ht="30" customHeight="1" x14ac:dyDescent="0.25">
      <c r="N697" s="76"/>
      <c r="O697" s="76"/>
      <c r="P697" s="77"/>
      <c r="Q697" s="77"/>
      <c r="R697" s="77"/>
    </row>
    <row r="698" spans="14:18" ht="30" customHeight="1" x14ac:dyDescent="0.25">
      <c r="N698" s="76"/>
      <c r="O698" s="76"/>
      <c r="P698" s="77"/>
      <c r="Q698" s="77"/>
      <c r="R698" s="77"/>
    </row>
    <row r="699" spans="14:18" ht="30" customHeight="1" x14ac:dyDescent="0.25">
      <c r="N699" s="76"/>
      <c r="O699" s="76"/>
      <c r="P699" s="77"/>
      <c r="Q699" s="77"/>
      <c r="R699" s="77"/>
    </row>
    <row r="700" spans="14:18" ht="30" customHeight="1" x14ac:dyDescent="0.25">
      <c r="N700" s="76"/>
      <c r="O700" s="76"/>
      <c r="P700" s="77"/>
      <c r="Q700" s="77"/>
      <c r="R700" s="77"/>
    </row>
  </sheetData>
  <autoFilter ref="A1:S700"/>
  <sortState ref="B2:M700">
    <sortCondition ref="B2"/>
  </sortState>
  <customSheetViews>
    <customSheetView guid="{78FE0CAC-51E5-4C61-A88D-7FAD500C2464}" hiddenColumns="1" showRuler="0">
      <selection activeCell="O6" sqref="O6"/>
      <colBreaks count="1" manualBreakCount="1">
        <brk id="10" max="1048575" man="1"/>
      </colBreaks>
      <pageMargins left="0.75" right="0.75" top="1" bottom="1" header="0.5" footer="0.5"/>
      <pageSetup paperSize="9" scale="59" orientation="portrait" r:id="rId1"/>
      <headerFooter alignWithMargins="0"/>
    </customSheetView>
  </customSheetViews>
  <mergeCells count="1">
    <mergeCell ref="B1:C1"/>
  </mergeCells>
  <phoneticPr fontId="0" type="noConversion"/>
  <conditionalFormatting sqref="S2:S651">
    <cfRule type="cellIs" dxfId="25" priority="16" stopIfTrue="1" operator="notEqual">
      <formula>$O$2</formula>
    </cfRule>
  </conditionalFormatting>
  <conditionalFormatting sqref="D295:D574 D576:D579 D581:D651">
    <cfRule type="duplicateValues" dxfId="24" priority="24"/>
  </conditionalFormatting>
  <conditionalFormatting sqref="D575">
    <cfRule type="duplicateValues" dxfId="23" priority="27"/>
  </conditionalFormatting>
  <conditionalFormatting sqref="D580">
    <cfRule type="duplicateValues" dxfId="22" priority="28"/>
  </conditionalFormatting>
  <conditionalFormatting sqref="F136">
    <cfRule type="duplicateValues" dxfId="21" priority="1" stopIfTrue="1"/>
  </conditionalFormatting>
  <dataValidations disablePrompts="1" xWindow="1281" yWindow="895" count="3">
    <dataValidation type="textLength" allowBlank="1" showInputMessage="1" showErrorMessage="1" sqref="C82:D82 C165:D165">
      <formula1>9</formula1>
      <formula2>11</formula2>
    </dataValidation>
    <dataValidation allowBlank="1" showInputMessage="1" showErrorMessage="1" prompt="Medeni Durumu_x000a_Evli ise &quot;E&quot;_x000a_Bekar ise &quot;B&quot;_x000a_Eşi çalışıyor ise &quot;EÇ&quot;" sqref="G2:G250 G252:G651"/>
    <dataValidation type="textLength" operator="lessThan" allowBlank="1" showInputMessage="1" showErrorMessage="1" errorTitle="UYARI" error="-Hesap numarası ile ödeme yapılacak maksimum 8 sayısal karakter olmalıdır._x000a_-IBAN ile ödeme yapılacak ise TR ile başlamalı ve maksimum 26 karakter olmalıdır." sqref="F45 F136">
      <formula1>27</formula1>
    </dataValidation>
  </dataValidations>
  <pageMargins left="0.23622047244094491" right="0" top="0.59055118110236227" bottom="0.59055118110236227" header="0.51181102362204722" footer="0.15748031496062992"/>
  <pageSetup paperSize="9" scale="60" fitToHeight="0" orientation="landscape" r:id="rId2"/>
  <headerFooter alignWithMargins="0"/>
  <rowBreaks count="2" manualBreakCount="2">
    <brk id="139" max="16383" man="1"/>
    <brk id="199" max="16383" man="1"/>
  </rowBreaks>
  <colBreaks count="1" manualBreakCount="1">
    <brk id="15" max="1048575" man="1"/>
  </colBreaks>
  <ignoredErrors>
    <ignoredError sqref="A3 K1 V148:V501 V2:V54 K701:K1048576 V56:V147" unlockedFormula="1"/>
  </ignoredErrors>
  <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ayfa3">
    <tabColor indexed="17"/>
    <pageSetUpPr fitToPage="1"/>
  </sheetPr>
  <dimension ref="A1:S82"/>
  <sheetViews>
    <sheetView topLeftCell="A13" zoomScale="84" zoomScaleNormal="84" workbookViewId="0">
      <selection activeCell="F21" sqref="F21"/>
    </sheetView>
  </sheetViews>
  <sheetFormatPr defaultColWidth="9.140625" defaultRowHeight="21.75" customHeight="1" x14ac:dyDescent="0.2"/>
  <cols>
    <col min="1" max="1" width="18.7109375" style="3" customWidth="1"/>
    <col min="2" max="2" width="21.85546875" style="3" customWidth="1"/>
    <col min="3" max="3" width="1.42578125" style="3" customWidth="1"/>
    <col min="4" max="4" width="20" style="3" customWidth="1"/>
    <col min="5" max="5" width="2" style="3" customWidth="1"/>
    <col min="6" max="6" width="37.42578125" style="3" customWidth="1"/>
    <col min="7" max="7" width="19.7109375" style="3" customWidth="1"/>
    <col min="8" max="8" width="21.140625" style="3" customWidth="1"/>
    <col min="9" max="9" width="3.42578125" style="3" customWidth="1"/>
    <col min="10" max="10" width="14.140625" style="3" customWidth="1"/>
    <col min="11" max="11" width="1.28515625" style="3" customWidth="1"/>
    <col min="12" max="12" width="14" style="3" customWidth="1"/>
    <col min="13" max="13" width="13.5703125" style="3" customWidth="1"/>
    <col min="14" max="14" width="12.85546875" style="3" customWidth="1"/>
    <col min="15" max="15" width="12.5703125" style="3" customWidth="1"/>
    <col min="16" max="16" width="12.28515625" style="3" bestFit="1" customWidth="1"/>
    <col min="17" max="17" width="14.5703125" style="3" customWidth="1"/>
    <col min="18" max="18" width="14.85546875" style="3" customWidth="1"/>
    <col min="19" max="16384" width="9.140625" style="3"/>
  </cols>
  <sheetData>
    <row r="1" spans="1:18" ht="31.5" customHeight="1" x14ac:dyDescent="0.2">
      <c r="A1" s="304" t="s">
        <v>20</v>
      </c>
      <c r="B1" s="375" t="s">
        <v>136</v>
      </c>
      <c r="C1" s="375"/>
      <c r="D1" s="375"/>
      <c r="E1" s="375"/>
      <c r="F1" s="375"/>
      <c r="G1" s="375"/>
      <c r="H1" s="375"/>
      <c r="I1" s="187"/>
      <c r="M1" s="2"/>
      <c r="N1" s="2"/>
      <c r="O1" s="2"/>
      <c r="P1" s="2"/>
      <c r="Q1" s="2"/>
      <c r="R1" s="2"/>
    </row>
    <row r="2" spans="1:18" ht="30" customHeight="1" x14ac:dyDescent="0.2">
      <c r="A2" s="303" t="s">
        <v>19</v>
      </c>
      <c r="B2" s="376"/>
      <c r="C2" s="376"/>
      <c r="D2" s="376"/>
      <c r="E2" s="186"/>
      <c r="F2" s="374"/>
      <c r="G2" s="374"/>
      <c r="H2" s="374"/>
      <c r="I2" s="185"/>
      <c r="M2" s="2"/>
      <c r="N2" s="2"/>
      <c r="O2" s="2"/>
      <c r="P2" s="2"/>
      <c r="Q2" s="2"/>
      <c r="R2" s="2"/>
    </row>
    <row r="3" spans="1:18" ht="30" customHeight="1" x14ac:dyDescent="0.2">
      <c r="A3" s="184"/>
      <c r="B3" s="2"/>
      <c r="C3" s="2"/>
      <c r="D3" s="2"/>
      <c r="E3" s="186"/>
      <c r="F3" s="2"/>
      <c r="G3" s="2"/>
      <c r="H3" s="2"/>
      <c r="I3" s="185"/>
      <c r="M3" s="2"/>
      <c r="N3" s="2"/>
      <c r="O3" s="2"/>
      <c r="P3" s="2"/>
      <c r="Q3" s="2"/>
      <c r="R3" s="2"/>
    </row>
    <row r="4" spans="1:18" ht="30" customHeight="1" x14ac:dyDescent="0.2">
      <c r="A4" s="183" t="s">
        <v>22</v>
      </c>
      <c r="B4" s="183"/>
      <c r="C4" s="24" t="s">
        <v>21</v>
      </c>
      <c r="D4" s="33">
        <f>'MAAŞ BORDROSU'!E454</f>
        <v>0</v>
      </c>
      <c r="E4" s="186"/>
      <c r="F4" s="173" t="s">
        <v>29</v>
      </c>
      <c r="G4" s="173"/>
      <c r="H4" s="173"/>
      <c r="I4" s="185"/>
      <c r="M4" s="2"/>
      <c r="N4" s="2"/>
      <c r="O4" s="2"/>
      <c r="P4" s="2"/>
      <c r="Q4" s="2"/>
      <c r="R4" s="2"/>
    </row>
    <row r="5" spans="1:18" ht="30" customHeight="1" x14ac:dyDescent="0.2">
      <c r="A5" s="183" t="s">
        <v>0</v>
      </c>
      <c r="B5" s="183"/>
      <c r="C5" s="24" t="s">
        <v>21</v>
      </c>
      <c r="D5" s="178">
        <f>'MAAŞ BORDROSU'!F454</f>
        <v>0</v>
      </c>
      <c r="E5" s="186"/>
      <c r="F5" s="175" t="s">
        <v>134</v>
      </c>
      <c r="G5" s="173">
        <f>D6</f>
        <v>0</v>
      </c>
      <c r="H5" s="174">
        <f>SUM(G5:G8)</f>
        <v>0</v>
      </c>
      <c r="I5" s="188"/>
      <c r="M5" s="2"/>
      <c r="N5" s="2"/>
      <c r="O5" s="2"/>
      <c r="P5" s="2"/>
      <c r="Q5" s="2"/>
      <c r="R5" s="2"/>
    </row>
    <row r="6" spans="1:18" ht="30" customHeight="1" x14ac:dyDescent="0.2">
      <c r="A6" s="183" t="s">
        <v>134</v>
      </c>
      <c r="B6" s="183"/>
      <c r="C6" s="24" t="s">
        <v>21</v>
      </c>
      <c r="D6" s="178">
        <f>'MAAŞ BORDROSU'!H454</f>
        <v>0</v>
      </c>
      <c r="E6" s="186"/>
      <c r="F6" s="21" t="s">
        <v>50</v>
      </c>
      <c r="G6" s="173">
        <f>D16</f>
        <v>0</v>
      </c>
      <c r="H6" s="174"/>
      <c r="I6" s="188"/>
      <c r="M6" s="2"/>
      <c r="N6" s="2"/>
      <c r="O6" s="2"/>
      <c r="P6" s="2"/>
      <c r="Q6" s="2"/>
      <c r="R6" s="2"/>
    </row>
    <row r="7" spans="1:18" ht="30" customHeight="1" x14ac:dyDescent="0.2">
      <c r="A7" s="183" t="s">
        <v>1</v>
      </c>
      <c r="B7" s="183"/>
      <c r="C7" s="24" t="s">
        <v>21</v>
      </c>
      <c r="D7" s="178">
        <f>'MAAŞ BORDROSU'!I454</f>
        <v>0</v>
      </c>
      <c r="E7" s="186"/>
      <c r="F7" s="175" t="s">
        <v>1</v>
      </c>
      <c r="G7" s="173">
        <f>D7</f>
        <v>0</v>
      </c>
      <c r="H7" s="174"/>
      <c r="I7" s="188"/>
      <c r="M7" s="2"/>
      <c r="N7" s="2"/>
      <c r="O7" s="2"/>
      <c r="P7" s="2"/>
      <c r="Q7" s="2"/>
      <c r="R7" s="2"/>
    </row>
    <row r="8" spans="1:18" ht="30" customHeight="1" x14ac:dyDescent="0.2">
      <c r="A8" s="183" t="s">
        <v>7</v>
      </c>
      <c r="B8" s="183"/>
      <c r="C8" s="24" t="s">
        <v>21</v>
      </c>
      <c r="D8" s="178">
        <f>'MAAŞ BORDROSU'!J454</f>
        <v>0</v>
      </c>
      <c r="E8" s="186"/>
      <c r="F8" s="180" t="s">
        <v>5</v>
      </c>
      <c r="G8" s="173">
        <f>D17</f>
        <v>0</v>
      </c>
      <c r="H8" s="174"/>
      <c r="I8" s="188"/>
      <c r="M8" s="2"/>
      <c r="N8" s="2"/>
      <c r="O8" s="2"/>
      <c r="P8" s="2"/>
      <c r="Q8" s="2"/>
      <c r="R8" s="2"/>
    </row>
    <row r="9" spans="1:18" ht="30" customHeight="1" x14ac:dyDescent="0.2">
      <c r="A9" s="183" t="s">
        <v>10</v>
      </c>
      <c r="B9" s="183"/>
      <c r="C9" s="24" t="s">
        <v>21</v>
      </c>
      <c r="D9" s="178">
        <f>'MAAŞ BORDROSU'!K454</f>
        <v>0</v>
      </c>
      <c r="E9" s="186"/>
      <c r="I9" s="189"/>
      <c r="M9" s="2"/>
      <c r="N9" s="2"/>
      <c r="O9" s="2"/>
      <c r="P9" s="2"/>
      <c r="Q9" s="2"/>
      <c r="R9" s="2"/>
    </row>
    <row r="10" spans="1:18" ht="30" customHeight="1" x14ac:dyDescent="0.2">
      <c r="A10" s="175" t="s">
        <v>23</v>
      </c>
      <c r="B10" s="175"/>
      <c r="C10" s="25" t="s">
        <v>21</v>
      </c>
      <c r="D10" s="26">
        <f>'MAAŞ BORDROSU'!M454</f>
        <v>0</v>
      </c>
      <c r="E10" s="186"/>
      <c r="F10" s="173" t="s">
        <v>30</v>
      </c>
      <c r="G10" s="173"/>
      <c r="H10" s="173"/>
      <c r="I10" s="185"/>
      <c r="M10" s="2"/>
      <c r="N10" s="2"/>
      <c r="O10" s="2"/>
      <c r="P10" s="2"/>
      <c r="Q10" s="2"/>
      <c r="R10" s="2"/>
    </row>
    <row r="11" spans="1:18" ht="30" customHeight="1" x14ac:dyDescent="0.2">
      <c r="A11" s="183" t="s">
        <v>6</v>
      </c>
      <c r="B11" s="183"/>
      <c r="C11" s="24" t="s">
        <v>21</v>
      </c>
      <c r="D11" s="178">
        <f>'MAAŞ BORDROSU'!N454</f>
        <v>0</v>
      </c>
      <c r="E11" s="186"/>
      <c r="F11" s="5" t="s">
        <v>6</v>
      </c>
      <c r="G11" s="173">
        <f>D11</f>
        <v>0</v>
      </c>
      <c r="H11" s="174">
        <f>G11+G12</f>
        <v>0</v>
      </c>
      <c r="I11" s="188"/>
      <c r="M11" s="2"/>
      <c r="N11" s="2"/>
      <c r="O11" s="2"/>
      <c r="P11" s="2"/>
      <c r="Q11" s="2"/>
      <c r="R11" s="2"/>
    </row>
    <row r="12" spans="1:18" ht="30" customHeight="1" x14ac:dyDescent="0.2">
      <c r="A12" s="183" t="s">
        <v>32</v>
      </c>
      <c r="B12" s="183"/>
      <c r="C12" s="24" t="s">
        <v>21</v>
      </c>
      <c r="D12" s="178">
        <f>'MAAŞ BORDROSU'!P454</f>
        <v>0</v>
      </c>
      <c r="E12" s="186"/>
      <c r="F12" s="5" t="s">
        <v>33</v>
      </c>
      <c r="G12" s="173">
        <f>D12</f>
        <v>0</v>
      </c>
      <c r="H12" s="174"/>
      <c r="I12" s="188"/>
      <c r="M12" s="2"/>
      <c r="N12" s="2"/>
      <c r="O12" s="2"/>
      <c r="P12" s="2"/>
      <c r="Q12" s="2"/>
      <c r="R12" s="2"/>
    </row>
    <row r="13" spans="1:18" ht="30" customHeight="1" x14ac:dyDescent="0.2">
      <c r="A13" s="183" t="s">
        <v>24</v>
      </c>
      <c r="B13" s="183"/>
      <c r="C13" s="24" t="s">
        <v>21</v>
      </c>
      <c r="D13" s="178">
        <f>H5</f>
        <v>0</v>
      </c>
      <c r="E13" s="186"/>
      <c r="I13" s="189"/>
      <c r="M13" s="2"/>
      <c r="N13" s="2"/>
      <c r="O13" s="2"/>
      <c r="P13" s="2"/>
      <c r="Q13" s="2"/>
      <c r="R13" s="2"/>
    </row>
    <row r="14" spans="1:18" ht="30" customHeight="1" x14ac:dyDescent="0.2">
      <c r="A14" s="175" t="s">
        <v>8</v>
      </c>
      <c r="B14" s="175"/>
      <c r="C14" s="25" t="s">
        <v>21</v>
      </c>
      <c r="D14" s="27">
        <f>'MAAŞ BORDROSU'!S454</f>
        <v>0</v>
      </c>
      <c r="E14" s="186"/>
      <c r="F14" s="5" t="s">
        <v>27</v>
      </c>
      <c r="G14" s="174">
        <f>D14</f>
        <v>0</v>
      </c>
      <c r="H14" s="174"/>
      <c r="I14" s="188"/>
      <c r="M14" s="2"/>
      <c r="N14" s="2"/>
      <c r="O14" s="2"/>
      <c r="P14" s="2"/>
      <c r="Q14" s="2"/>
      <c r="R14" s="2"/>
    </row>
    <row r="15" spans="1:18" ht="30" customHeight="1" x14ac:dyDescent="0.2">
      <c r="A15" s="182" t="s">
        <v>0</v>
      </c>
      <c r="B15" s="182"/>
      <c r="C15" s="24" t="s">
        <v>21</v>
      </c>
      <c r="D15" s="178">
        <f>'MAAŞ BORDROSU'!T454</f>
        <v>0</v>
      </c>
      <c r="E15" s="186"/>
      <c r="F15" s="190" t="s">
        <v>52</v>
      </c>
      <c r="G15" s="174">
        <f>'MAAŞ BORDROSU'!Q454</f>
        <v>0</v>
      </c>
      <c r="H15" s="174"/>
      <c r="I15" s="189"/>
      <c r="J15" s="2"/>
      <c r="K15" s="2"/>
      <c r="L15" s="2"/>
      <c r="M15" s="2"/>
      <c r="N15" s="2"/>
      <c r="O15" s="2"/>
      <c r="P15" s="2"/>
      <c r="Q15" s="2"/>
      <c r="R15" s="2"/>
    </row>
    <row r="16" spans="1:18" ht="30" customHeight="1" x14ac:dyDescent="0.2">
      <c r="A16" s="182" t="s">
        <v>39</v>
      </c>
      <c r="B16" s="28">
        <f>VERİLER!F8</f>
        <v>0</v>
      </c>
      <c r="C16" s="24" t="s">
        <v>21</v>
      </c>
      <c r="D16" s="178">
        <f>'MAAŞ BORDROSU'!U454</f>
        <v>0</v>
      </c>
      <c r="E16" s="186"/>
      <c r="F16" s="5" t="s">
        <v>28</v>
      </c>
      <c r="G16" s="174">
        <f>H5+H11+G14+G15</f>
        <v>0</v>
      </c>
      <c r="H16" s="174"/>
      <c r="I16" s="188"/>
      <c r="J16" s="2"/>
      <c r="K16" s="2"/>
      <c r="L16" s="2"/>
      <c r="M16" s="2"/>
      <c r="N16" s="2"/>
      <c r="O16" s="2"/>
      <c r="P16" s="2"/>
      <c r="Q16" s="2"/>
      <c r="R16" s="2"/>
    </row>
    <row r="17" spans="1:18" ht="30" customHeight="1" x14ac:dyDescent="0.2">
      <c r="A17" s="182" t="s">
        <v>5</v>
      </c>
      <c r="B17" s="182"/>
      <c r="C17" s="24" t="s">
        <v>21</v>
      </c>
      <c r="D17" s="178">
        <f>'MAAŞ BORDROSU'!U454</f>
        <v>0</v>
      </c>
      <c r="E17" s="186"/>
      <c r="F17" s="32" t="s">
        <v>53</v>
      </c>
      <c r="G17" s="177">
        <v>0</v>
      </c>
      <c r="H17" s="177"/>
      <c r="I17" s="185"/>
      <c r="J17" s="2"/>
      <c r="K17" s="2"/>
      <c r="L17" s="2"/>
      <c r="M17" s="2"/>
      <c r="N17" s="2"/>
      <c r="O17" s="2"/>
      <c r="P17" s="2"/>
      <c r="Q17" s="2"/>
      <c r="R17" s="2"/>
    </row>
    <row r="18" spans="1:18" ht="30" customHeight="1" x14ac:dyDescent="0.2">
      <c r="A18" s="180" t="s">
        <v>25</v>
      </c>
      <c r="B18" s="180"/>
      <c r="C18" s="25" t="s">
        <v>21</v>
      </c>
      <c r="D18" s="29">
        <f>'MAAŞ BORDROSU'!V454</f>
        <v>0</v>
      </c>
      <c r="E18" s="186"/>
      <c r="F18" s="1" t="s">
        <v>54</v>
      </c>
      <c r="G18" s="177">
        <v>0</v>
      </c>
      <c r="H18" s="177"/>
      <c r="I18" s="185"/>
      <c r="J18" s="2"/>
      <c r="K18" s="2"/>
      <c r="L18" s="2"/>
      <c r="M18" s="2"/>
      <c r="N18" s="2"/>
      <c r="O18" s="2"/>
      <c r="P18" s="2"/>
      <c r="Q18" s="2"/>
      <c r="R18" s="2"/>
    </row>
    <row r="19" spans="1:18" ht="30" customHeight="1" x14ac:dyDescent="0.2">
      <c r="A19" s="176" t="str">
        <f>F17</f>
        <v>SGK DAMGA VERGİSİ</v>
      </c>
      <c r="B19" s="176"/>
      <c r="C19" s="31"/>
      <c r="D19" s="178">
        <f>G17</f>
        <v>0</v>
      </c>
      <c r="E19" s="186"/>
      <c r="F19" s="176" t="s">
        <v>16</v>
      </c>
      <c r="G19" s="178">
        <f>G16+G17+G18</f>
        <v>0</v>
      </c>
      <c r="H19" s="178"/>
      <c r="I19" s="185"/>
      <c r="J19" s="2"/>
      <c r="K19" s="2"/>
      <c r="L19" s="2"/>
      <c r="M19" s="2"/>
      <c r="N19" s="2"/>
      <c r="O19" s="2"/>
      <c r="P19" s="2"/>
      <c r="Q19" s="2"/>
      <c r="R19" s="2"/>
    </row>
    <row r="20" spans="1:18" ht="30" customHeight="1" x14ac:dyDescent="0.2">
      <c r="A20" s="176" t="str">
        <f>F18</f>
        <v>MUHTASAR DAMGA VERGİSİ</v>
      </c>
      <c r="B20" s="176"/>
      <c r="C20" s="4"/>
      <c r="D20" s="178">
        <v>0</v>
      </c>
      <c r="E20" s="186"/>
      <c r="F20" s="4"/>
      <c r="G20" s="4"/>
      <c r="H20" s="2"/>
      <c r="I20" s="185"/>
      <c r="J20" s="2"/>
      <c r="K20" s="2"/>
      <c r="L20" s="2"/>
      <c r="M20" s="2"/>
      <c r="N20" s="2"/>
      <c r="O20" s="2"/>
      <c r="P20" s="2"/>
      <c r="Q20" s="2"/>
      <c r="R20" s="2"/>
    </row>
    <row r="21" spans="1:18" ht="30" customHeight="1" x14ac:dyDescent="0.2">
      <c r="A21" s="176" t="str">
        <f>F19</f>
        <v>TOPLAM</v>
      </c>
      <c r="B21" s="176"/>
      <c r="C21" s="4"/>
      <c r="D21" s="30">
        <f>G19</f>
        <v>0</v>
      </c>
      <c r="E21" s="181"/>
      <c r="F21" s="4"/>
      <c r="G21" s="4"/>
      <c r="H21" s="2"/>
      <c r="I21" s="185"/>
      <c r="J21" s="2"/>
      <c r="K21" s="2"/>
      <c r="L21" s="2"/>
      <c r="M21" s="2"/>
      <c r="N21" s="2"/>
      <c r="O21" s="2"/>
      <c r="P21" s="2"/>
      <c r="Q21" s="2"/>
      <c r="R21" s="2"/>
    </row>
    <row r="22" spans="1:18" ht="30" customHeight="1" x14ac:dyDescent="0.2">
      <c r="A22" s="191"/>
      <c r="B22" s="4"/>
      <c r="C22" s="4"/>
      <c r="D22" s="181"/>
      <c r="E22" s="181"/>
      <c r="F22" s="181"/>
      <c r="G22" s="4"/>
      <c r="H22" s="2"/>
      <c r="I22" s="185"/>
      <c r="J22" s="2"/>
      <c r="K22" s="2"/>
      <c r="L22" s="2"/>
      <c r="M22" s="2"/>
      <c r="N22" s="2"/>
      <c r="O22" s="2"/>
      <c r="P22" s="2"/>
      <c r="Q22" s="2"/>
      <c r="R22" s="2"/>
    </row>
    <row r="23" spans="1:18" ht="30" customHeight="1" x14ac:dyDescent="0.2">
      <c r="A23" s="191"/>
      <c r="B23" s="4"/>
      <c r="C23" s="4"/>
      <c r="D23" s="181"/>
      <c r="E23" s="181"/>
      <c r="F23" s="181"/>
      <c r="G23" s="4"/>
      <c r="H23" s="2"/>
      <c r="I23" s="185"/>
      <c r="J23" s="2"/>
      <c r="K23" s="2"/>
      <c r="L23" s="2"/>
      <c r="M23" s="2"/>
      <c r="N23" s="2"/>
      <c r="O23" s="2"/>
      <c r="P23" s="2"/>
      <c r="Q23" s="2"/>
      <c r="R23" s="2"/>
    </row>
    <row r="24" spans="1:18" ht="21.75" customHeight="1" x14ac:dyDescent="0.2">
      <c r="A24" s="191"/>
      <c r="B24" s="4"/>
      <c r="C24" s="4"/>
      <c r="D24" s="181"/>
      <c r="E24" s="181"/>
      <c r="F24" s="181"/>
      <c r="G24" s="4"/>
      <c r="H24" s="2"/>
      <c r="I24" s="185"/>
      <c r="J24" s="2"/>
      <c r="K24" s="2"/>
      <c r="L24" s="2"/>
      <c r="M24" s="2"/>
      <c r="N24" s="2"/>
      <c r="O24" s="2"/>
      <c r="P24" s="2"/>
      <c r="Q24" s="2"/>
      <c r="R24" s="2"/>
    </row>
    <row r="25" spans="1:18" ht="15.75" customHeight="1" x14ac:dyDescent="0.2">
      <c r="A25" s="351"/>
      <c r="B25" s="19"/>
      <c r="C25" s="351"/>
      <c r="D25" s="351"/>
      <c r="E25" s="351"/>
      <c r="F25" s="351"/>
      <c r="G25" s="351"/>
      <c r="H25" s="351"/>
      <c r="I25" s="185"/>
      <c r="J25" s="2"/>
      <c r="K25" s="2"/>
      <c r="L25" s="2"/>
      <c r="M25" s="2"/>
      <c r="N25" s="2"/>
      <c r="O25" s="2"/>
      <c r="P25" s="2"/>
      <c r="Q25" s="2"/>
      <c r="R25" s="2"/>
    </row>
    <row r="26" spans="1:18" ht="15.75" customHeight="1" x14ac:dyDescent="0.2">
      <c r="A26" s="352" t="s">
        <v>165</v>
      </c>
      <c r="B26" s="351"/>
      <c r="C26" s="351"/>
      <c r="D26" s="351"/>
      <c r="E26" s="351"/>
      <c r="F26" s="351"/>
      <c r="G26" s="361" t="s">
        <v>167</v>
      </c>
      <c r="H26" s="361"/>
      <c r="I26" s="185"/>
      <c r="J26" s="2"/>
      <c r="K26" s="2"/>
      <c r="L26" s="2"/>
      <c r="M26" s="2"/>
      <c r="N26" s="2"/>
      <c r="O26" s="2"/>
      <c r="P26" s="2"/>
      <c r="Q26" s="2"/>
      <c r="R26" s="2"/>
    </row>
    <row r="27" spans="1:18" ht="21.75" customHeight="1" x14ac:dyDescent="0.2">
      <c r="A27" s="352" t="s">
        <v>166</v>
      </c>
      <c r="B27" s="351"/>
      <c r="C27" s="351"/>
      <c r="D27" s="351"/>
      <c r="E27" s="351"/>
      <c r="F27" s="351"/>
      <c r="G27" s="361" t="s">
        <v>168</v>
      </c>
      <c r="H27" s="361"/>
      <c r="I27" s="185"/>
      <c r="J27" s="2"/>
      <c r="K27" s="2"/>
      <c r="L27" s="2"/>
      <c r="M27" s="2"/>
      <c r="N27" s="2"/>
      <c r="O27" s="2"/>
      <c r="P27" s="2"/>
      <c r="Q27" s="2"/>
      <c r="R27" s="2"/>
    </row>
    <row r="28" spans="1:18" ht="21.75" customHeight="1" x14ac:dyDescent="0.2">
      <c r="A28" s="192"/>
      <c r="B28" s="193"/>
      <c r="C28" s="193"/>
      <c r="D28" s="193"/>
      <c r="E28" s="194"/>
      <c r="F28" s="193"/>
      <c r="G28" s="195"/>
      <c r="H28" s="196"/>
      <c r="I28" s="197"/>
      <c r="J28" s="2"/>
      <c r="K28" s="2"/>
      <c r="L28" s="2"/>
      <c r="M28" s="2"/>
      <c r="N28" s="2"/>
      <c r="O28" s="2"/>
      <c r="P28" s="2"/>
      <c r="Q28" s="2"/>
      <c r="R28" s="2"/>
    </row>
    <row r="29" spans="1:18" ht="21.75" customHeight="1" x14ac:dyDescent="0.2">
      <c r="A29" s="181"/>
      <c r="B29" s="4"/>
      <c r="C29" s="4"/>
      <c r="D29" s="4"/>
      <c r="E29" s="181"/>
      <c r="F29" s="4"/>
      <c r="G29" s="4"/>
      <c r="H29" s="2"/>
      <c r="I29" s="2"/>
      <c r="J29" s="2"/>
      <c r="K29" s="2"/>
      <c r="L29" s="2"/>
      <c r="M29" s="2"/>
      <c r="N29" s="2"/>
      <c r="O29" s="2"/>
      <c r="P29" s="2"/>
      <c r="Q29" s="2"/>
      <c r="R29" s="2"/>
    </row>
    <row r="30" spans="1:18" ht="21.75" customHeight="1" x14ac:dyDescent="0.2">
      <c r="A30" s="181"/>
      <c r="B30" s="4"/>
      <c r="C30" s="4"/>
      <c r="D30" s="4"/>
      <c r="E30" s="181"/>
      <c r="F30" s="4"/>
      <c r="G30" s="4"/>
      <c r="H30" s="2"/>
      <c r="I30" s="2"/>
      <c r="J30" s="2"/>
      <c r="K30" s="2"/>
      <c r="L30" s="2"/>
      <c r="M30" s="2"/>
      <c r="N30" s="2"/>
      <c r="O30" s="2"/>
      <c r="P30" s="2"/>
      <c r="Q30" s="2"/>
      <c r="R30" s="2"/>
    </row>
    <row r="31" spans="1:18" ht="21.75" customHeight="1" x14ac:dyDescent="0.2">
      <c r="A31" s="181"/>
      <c r="B31" s="4"/>
      <c r="C31" s="4"/>
      <c r="D31" s="4"/>
      <c r="E31" s="181"/>
      <c r="F31" s="4"/>
      <c r="G31" s="4"/>
      <c r="H31" s="2"/>
      <c r="I31" s="2"/>
      <c r="J31" s="2"/>
      <c r="K31" s="2"/>
      <c r="L31" s="2"/>
      <c r="M31" s="2"/>
      <c r="N31" s="2"/>
      <c r="O31" s="2"/>
      <c r="P31" s="2"/>
      <c r="Q31" s="2"/>
      <c r="R31" s="2"/>
    </row>
    <row r="32" spans="1:18" ht="21.75" customHeight="1" x14ac:dyDescent="0.2">
      <c r="A32" s="181"/>
      <c r="B32" s="4"/>
      <c r="C32" s="4"/>
      <c r="D32" s="4"/>
      <c r="E32" s="181"/>
      <c r="F32" s="4"/>
      <c r="G32" s="4"/>
      <c r="H32" s="2"/>
      <c r="I32" s="2"/>
      <c r="J32" s="2"/>
      <c r="K32" s="2"/>
      <c r="L32" s="2"/>
      <c r="M32" s="2"/>
      <c r="N32" s="2"/>
      <c r="O32" s="2"/>
      <c r="P32" s="2"/>
      <c r="Q32" s="2"/>
      <c r="R32" s="2"/>
    </row>
    <row r="33" spans="1:18" ht="21.75" customHeight="1" x14ac:dyDescent="0.2">
      <c r="A33" s="181"/>
      <c r="B33" s="4"/>
      <c r="C33" s="4"/>
      <c r="D33" s="4"/>
      <c r="E33" s="181"/>
      <c r="F33" s="4"/>
      <c r="G33" s="4"/>
      <c r="H33" s="2"/>
      <c r="I33" s="2"/>
      <c r="J33" s="2"/>
      <c r="K33" s="2"/>
      <c r="L33" s="2"/>
      <c r="M33" s="2"/>
      <c r="N33" s="2"/>
      <c r="O33" s="2"/>
      <c r="P33" s="2"/>
      <c r="Q33" s="2"/>
      <c r="R33" s="2"/>
    </row>
    <row r="34" spans="1:18" ht="21.75" customHeight="1" x14ac:dyDescent="0.2">
      <c r="A34" s="181"/>
      <c r="B34" s="4"/>
      <c r="C34" s="4"/>
      <c r="D34" s="4"/>
      <c r="E34" s="181"/>
      <c r="F34" s="4"/>
      <c r="G34" s="4"/>
      <c r="H34" s="2"/>
      <c r="I34" s="2"/>
      <c r="J34" s="2"/>
      <c r="K34" s="2"/>
      <c r="L34" s="2"/>
      <c r="M34" s="2"/>
      <c r="N34" s="2"/>
      <c r="O34" s="2"/>
      <c r="P34" s="2"/>
      <c r="Q34" s="2"/>
      <c r="R34" s="2"/>
    </row>
    <row r="35" spans="1:18" ht="21.75" customHeight="1" x14ac:dyDescent="0.2">
      <c r="A35" s="181"/>
      <c r="B35" s="4"/>
      <c r="C35" s="4"/>
      <c r="D35" s="4"/>
      <c r="E35" s="181"/>
      <c r="F35" s="4"/>
      <c r="G35" s="4"/>
      <c r="H35" s="2"/>
      <c r="I35" s="2"/>
      <c r="J35" s="2"/>
      <c r="K35" s="2"/>
      <c r="L35" s="2"/>
      <c r="M35" s="2"/>
      <c r="N35" s="2"/>
      <c r="O35" s="2"/>
      <c r="P35" s="2"/>
      <c r="Q35" s="2"/>
      <c r="R35" s="2"/>
    </row>
    <row r="36" spans="1:18" ht="21.75" customHeight="1" x14ac:dyDescent="0.2">
      <c r="A36" s="181"/>
      <c r="B36" s="4"/>
      <c r="C36" s="4"/>
      <c r="D36" s="4"/>
      <c r="E36" s="181"/>
      <c r="F36" s="4"/>
      <c r="G36" s="4"/>
      <c r="H36" s="2"/>
      <c r="I36" s="2"/>
      <c r="J36" s="2"/>
      <c r="K36" s="2"/>
      <c r="L36" s="2"/>
      <c r="M36" s="2"/>
      <c r="N36" s="2"/>
      <c r="O36" s="2"/>
      <c r="P36" s="2"/>
      <c r="Q36" s="2"/>
      <c r="R36" s="2"/>
    </row>
    <row r="37" spans="1:18" ht="21.75" customHeight="1" x14ac:dyDescent="0.2">
      <c r="A37" s="181"/>
      <c r="B37" s="4"/>
      <c r="C37" s="4"/>
      <c r="D37" s="4"/>
      <c r="E37" s="181"/>
      <c r="F37" s="4"/>
      <c r="G37" s="4"/>
      <c r="H37" s="2"/>
      <c r="I37" s="2"/>
      <c r="J37" s="2"/>
      <c r="K37" s="2"/>
      <c r="L37" s="2"/>
      <c r="M37" s="2"/>
      <c r="N37" s="2"/>
      <c r="O37" s="2"/>
      <c r="P37" s="2"/>
      <c r="Q37" s="2"/>
      <c r="R37" s="2"/>
    </row>
    <row r="38" spans="1:18" ht="21.75" customHeight="1" x14ac:dyDescent="0.2">
      <c r="A38" s="181"/>
      <c r="B38" s="4"/>
      <c r="C38" s="4"/>
      <c r="D38" s="4"/>
      <c r="E38" s="181"/>
      <c r="F38" s="4"/>
      <c r="G38" s="4"/>
      <c r="H38" s="2"/>
      <c r="I38" s="2"/>
      <c r="J38" s="2"/>
      <c r="K38" s="2"/>
      <c r="L38" s="2"/>
      <c r="M38" s="2"/>
      <c r="N38" s="2"/>
      <c r="O38" s="2"/>
      <c r="P38" s="2"/>
      <c r="Q38" s="2"/>
      <c r="R38" s="2"/>
    </row>
    <row r="39" spans="1:18" ht="21.75" customHeight="1" x14ac:dyDescent="0.2">
      <c r="A39" s="181"/>
      <c r="B39" s="4"/>
      <c r="C39" s="4"/>
      <c r="D39" s="4"/>
      <c r="E39" s="181"/>
      <c r="F39" s="4"/>
      <c r="G39" s="4"/>
      <c r="H39" s="2"/>
      <c r="I39" s="2"/>
      <c r="J39" s="2"/>
      <c r="K39" s="2"/>
      <c r="L39" s="2"/>
      <c r="M39" s="2"/>
      <c r="N39" s="2"/>
      <c r="O39" s="2"/>
      <c r="P39" s="2"/>
      <c r="Q39" s="2"/>
      <c r="R39" s="2"/>
    </row>
    <row r="40" spans="1:18" ht="21.75" customHeight="1" x14ac:dyDescent="0.2">
      <c r="A40" s="181"/>
      <c r="B40" s="4"/>
      <c r="C40" s="4"/>
      <c r="D40" s="4"/>
      <c r="E40" s="181"/>
      <c r="F40" s="4"/>
      <c r="G40" s="4"/>
      <c r="H40" s="2"/>
      <c r="I40" s="2"/>
      <c r="J40" s="2"/>
      <c r="K40" s="2"/>
      <c r="L40" s="2"/>
      <c r="M40" s="2"/>
      <c r="N40" s="2"/>
      <c r="O40" s="2"/>
      <c r="P40" s="2"/>
      <c r="Q40" s="2"/>
      <c r="R40" s="2"/>
    </row>
    <row r="41" spans="1:18" ht="21.75" customHeight="1" x14ac:dyDescent="0.2">
      <c r="A41" s="181"/>
      <c r="B41" s="4"/>
      <c r="C41" s="4"/>
      <c r="D41" s="4"/>
      <c r="E41" s="181"/>
      <c r="F41" s="4"/>
      <c r="G41" s="4"/>
      <c r="H41" s="2"/>
      <c r="I41" s="2"/>
      <c r="J41" s="2"/>
      <c r="K41" s="2"/>
      <c r="L41" s="2"/>
      <c r="M41" s="2"/>
      <c r="N41" s="2"/>
      <c r="O41" s="2"/>
      <c r="P41" s="2"/>
      <c r="Q41" s="2"/>
      <c r="R41" s="2"/>
    </row>
    <row r="42" spans="1:18" ht="21.75" customHeight="1" x14ac:dyDescent="0.2">
      <c r="A42" s="181"/>
      <c r="B42" s="4"/>
      <c r="C42" s="4"/>
      <c r="D42" s="4"/>
      <c r="E42" s="181"/>
      <c r="F42" s="4"/>
      <c r="G42" s="4"/>
      <c r="H42" s="2"/>
      <c r="I42" s="2"/>
      <c r="J42" s="2"/>
      <c r="K42" s="2"/>
      <c r="L42" s="2"/>
      <c r="M42" s="2"/>
      <c r="N42" s="2"/>
      <c r="O42" s="2"/>
      <c r="P42" s="2"/>
      <c r="Q42" s="2"/>
      <c r="R42" s="2"/>
    </row>
    <row r="43" spans="1:18" ht="21.75" customHeight="1" x14ac:dyDescent="0.2">
      <c r="A43" s="181"/>
      <c r="B43" s="4"/>
      <c r="C43" s="4"/>
      <c r="D43" s="4"/>
      <c r="E43" s="181"/>
      <c r="F43" s="4"/>
      <c r="G43" s="4"/>
      <c r="H43" s="2"/>
      <c r="I43" s="2"/>
      <c r="J43" s="2"/>
      <c r="K43" s="2"/>
      <c r="L43" s="2"/>
      <c r="M43" s="2"/>
      <c r="N43" s="2"/>
      <c r="O43" s="2"/>
      <c r="P43" s="2"/>
      <c r="Q43" s="2"/>
      <c r="R43" s="2"/>
    </row>
    <row r="44" spans="1:18" ht="21.75" customHeight="1" x14ac:dyDescent="0.2">
      <c r="A44" s="181"/>
      <c r="B44" s="4"/>
      <c r="C44" s="4"/>
      <c r="D44" s="4"/>
      <c r="E44" s="181"/>
      <c r="F44" s="4"/>
      <c r="G44" s="4"/>
      <c r="H44" s="2"/>
      <c r="I44" s="2"/>
      <c r="J44" s="2"/>
      <c r="K44" s="2"/>
      <c r="L44" s="2"/>
      <c r="M44" s="2"/>
      <c r="N44" s="2"/>
      <c r="O44" s="2"/>
      <c r="P44" s="2"/>
      <c r="Q44" s="2"/>
      <c r="R44" s="2"/>
    </row>
    <row r="45" spans="1:18" ht="21.75" customHeight="1" x14ac:dyDescent="0.2">
      <c r="A45" s="181"/>
      <c r="B45" s="4"/>
      <c r="C45" s="4"/>
      <c r="D45" s="4"/>
      <c r="E45" s="181"/>
      <c r="F45" s="4"/>
      <c r="G45" s="4"/>
      <c r="H45" s="2"/>
      <c r="I45" s="2"/>
      <c r="J45" s="2"/>
      <c r="K45" s="2"/>
      <c r="L45" s="2"/>
      <c r="M45" s="2"/>
      <c r="N45" s="2"/>
      <c r="O45" s="2"/>
      <c r="P45" s="2"/>
      <c r="Q45" s="2"/>
      <c r="R45" s="2"/>
    </row>
    <row r="46" spans="1:18" ht="21.75" customHeight="1" x14ac:dyDescent="0.2">
      <c r="A46" s="181"/>
      <c r="B46" s="4"/>
      <c r="C46" s="4"/>
      <c r="D46" s="4"/>
      <c r="E46" s="181"/>
      <c r="F46" s="4"/>
      <c r="G46" s="4"/>
      <c r="H46" s="2"/>
      <c r="I46" s="2"/>
      <c r="J46" s="2"/>
      <c r="K46" s="2"/>
      <c r="L46" s="2"/>
      <c r="M46" s="2"/>
      <c r="N46" s="2"/>
      <c r="O46" s="2"/>
      <c r="P46" s="2"/>
      <c r="Q46" s="2"/>
      <c r="R46" s="2"/>
    </row>
    <row r="47" spans="1:18" ht="21.75" customHeight="1" x14ac:dyDescent="0.2">
      <c r="A47" s="181"/>
      <c r="B47" s="4"/>
      <c r="C47" s="4"/>
      <c r="D47" s="4"/>
      <c r="E47" s="181"/>
      <c r="F47" s="4"/>
      <c r="G47" s="4"/>
      <c r="H47" s="2"/>
      <c r="I47" s="2"/>
      <c r="J47" s="2"/>
      <c r="K47" s="2"/>
      <c r="L47" s="2"/>
      <c r="M47" s="2"/>
      <c r="N47" s="2"/>
      <c r="O47" s="2"/>
      <c r="P47" s="2"/>
      <c r="Q47" s="2"/>
      <c r="R47" s="2"/>
    </row>
    <row r="48" spans="1:18" ht="21.75" customHeight="1" x14ac:dyDescent="0.2">
      <c r="A48" s="181"/>
      <c r="B48" s="4"/>
      <c r="C48" s="4"/>
      <c r="D48" s="4"/>
      <c r="E48" s="181"/>
      <c r="F48" s="4"/>
      <c r="G48" s="4"/>
      <c r="H48" s="2"/>
      <c r="I48" s="2"/>
      <c r="J48" s="2"/>
      <c r="K48" s="2"/>
      <c r="L48" s="2"/>
      <c r="M48" s="2"/>
      <c r="N48" s="2"/>
      <c r="O48" s="2"/>
      <c r="P48" s="2"/>
      <c r="Q48" s="2"/>
      <c r="R48" s="2"/>
    </row>
    <row r="49" spans="1:19" ht="21.75" customHeight="1" x14ac:dyDescent="0.2">
      <c r="A49" s="181"/>
      <c r="B49" s="4"/>
      <c r="C49" s="4"/>
      <c r="D49" s="4"/>
      <c r="E49" s="181"/>
      <c r="F49" s="4"/>
      <c r="G49" s="4"/>
      <c r="H49" s="2"/>
      <c r="I49" s="2"/>
      <c r="J49" s="2"/>
      <c r="K49" s="2"/>
      <c r="L49" s="2"/>
      <c r="M49" s="2"/>
      <c r="N49" s="2"/>
      <c r="O49" s="2"/>
      <c r="P49" s="2"/>
      <c r="Q49" s="2"/>
      <c r="R49" s="2"/>
    </row>
    <row r="50" spans="1:19" ht="21.75" customHeight="1" x14ac:dyDescent="0.2">
      <c r="A50" s="181"/>
      <c r="B50" s="4"/>
      <c r="C50" s="4"/>
      <c r="D50" s="4"/>
      <c r="E50" s="181"/>
      <c r="F50" s="4"/>
      <c r="G50" s="4"/>
      <c r="H50" s="2"/>
      <c r="I50" s="2"/>
      <c r="J50" s="2"/>
      <c r="K50" s="2"/>
      <c r="L50" s="2"/>
      <c r="M50" s="2"/>
      <c r="N50" s="2"/>
      <c r="O50" s="2"/>
      <c r="P50" s="2"/>
      <c r="Q50" s="2"/>
      <c r="R50" s="2"/>
    </row>
    <row r="51" spans="1:19" ht="21.75" customHeight="1" x14ac:dyDescent="0.2">
      <c r="A51" s="181"/>
      <c r="B51" s="4"/>
      <c r="C51" s="4"/>
      <c r="D51" s="4"/>
      <c r="E51" s="181"/>
      <c r="F51" s="4"/>
      <c r="G51" s="4"/>
      <c r="H51" s="2"/>
      <c r="I51" s="2"/>
      <c r="J51" s="2"/>
      <c r="K51" s="2"/>
      <c r="L51" s="2"/>
      <c r="M51" s="2"/>
      <c r="N51" s="2"/>
      <c r="O51" s="2"/>
      <c r="P51" s="2"/>
      <c r="Q51" s="2"/>
      <c r="R51" s="2"/>
    </row>
    <row r="52" spans="1:19" ht="21.75" customHeight="1" x14ac:dyDescent="0.2">
      <c r="A52" s="181"/>
      <c r="B52" s="4"/>
      <c r="C52" s="4"/>
      <c r="D52" s="4"/>
      <c r="E52" s="181"/>
      <c r="F52" s="4"/>
      <c r="G52" s="4"/>
      <c r="H52" s="2"/>
      <c r="I52" s="2"/>
      <c r="J52" s="2"/>
      <c r="K52" s="2"/>
      <c r="L52" s="2"/>
      <c r="M52" s="2"/>
      <c r="N52" s="2"/>
      <c r="O52" s="2"/>
      <c r="P52" s="2"/>
      <c r="Q52" s="2"/>
      <c r="R52" s="2"/>
    </row>
    <row r="53" spans="1:19" ht="21.75" customHeight="1" x14ac:dyDescent="0.2">
      <c r="A53" s="181"/>
      <c r="B53" s="4"/>
      <c r="C53" s="4"/>
      <c r="D53" s="4"/>
      <c r="E53" s="181"/>
      <c r="F53" s="4"/>
      <c r="G53" s="4"/>
      <c r="H53" s="2"/>
      <c r="I53" s="2"/>
      <c r="J53" s="2"/>
      <c r="K53" s="2"/>
      <c r="L53" s="2"/>
      <c r="M53" s="2"/>
      <c r="N53" s="2"/>
      <c r="O53" s="2"/>
      <c r="P53" s="2"/>
      <c r="Q53" s="2"/>
      <c r="R53" s="2"/>
    </row>
    <row r="54" spans="1:19" ht="21.75" customHeight="1" x14ac:dyDescent="0.2">
      <c r="A54" s="181"/>
      <c r="B54" s="181"/>
      <c r="C54" s="181"/>
      <c r="D54" s="181"/>
      <c r="E54" s="181"/>
      <c r="F54" s="4"/>
      <c r="G54" s="4"/>
      <c r="H54" s="2"/>
      <c r="I54" s="2"/>
      <c r="J54" s="2"/>
      <c r="K54" s="2"/>
      <c r="L54" s="2"/>
      <c r="M54" s="2"/>
      <c r="N54" s="2"/>
      <c r="O54" s="2"/>
      <c r="P54" s="2"/>
      <c r="Q54" s="2"/>
      <c r="R54" s="2"/>
      <c r="S54" s="2"/>
    </row>
    <row r="55" spans="1:19" ht="21.75" customHeight="1" x14ac:dyDescent="0.2">
      <c r="A55" s="181"/>
      <c r="B55" s="181"/>
      <c r="C55" s="181"/>
      <c r="D55" s="181"/>
      <c r="E55" s="181"/>
      <c r="F55" s="181"/>
      <c r="G55" s="181"/>
    </row>
    <row r="56" spans="1:19" ht="21.75" customHeight="1" x14ac:dyDescent="0.2">
      <c r="A56" s="181"/>
      <c r="B56" s="181"/>
      <c r="C56" s="181"/>
      <c r="D56" s="181"/>
      <c r="E56" s="181"/>
      <c r="F56" s="181"/>
      <c r="G56" s="181"/>
    </row>
    <row r="57" spans="1:19" ht="21.75" customHeight="1" x14ac:dyDescent="0.2">
      <c r="A57" s="181"/>
      <c r="B57" s="181"/>
      <c r="C57" s="181"/>
      <c r="D57" s="181"/>
      <c r="E57" s="181"/>
      <c r="F57" s="181"/>
      <c r="G57" s="181"/>
    </row>
    <row r="58" spans="1:19" ht="21.75" customHeight="1" x14ac:dyDescent="0.2">
      <c r="A58" s="181"/>
      <c r="B58" s="181"/>
      <c r="C58" s="181"/>
      <c r="D58" s="181"/>
      <c r="E58" s="181"/>
      <c r="F58" s="181"/>
      <c r="G58" s="181"/>
    </row>
    <row r="59" spans="1:19" ht="21.75" customHeight="1" x14ac:dyDescent="0.2">
      <c r="A59" s="181"/>
      <c r="B59" s="181"/>
      <c r="C59" s="181"/>
      <c r="D59" s="181"/>
      <c r="E59" s="181"/>
      <c r="F59" s="181"/>
      <c r="G59" s="181"/>
    </row>
    <row r="60" spans="1:19" ht="21.75" customHeight="1" x14ac:dyDescent="0.2">
      <c r="A60" s="181"/>
      <c r="B60" s="181"/>
      <c r="C60" s="181"/>
      <c r="D60" s="181"/>
      <c r="E60" s="181"/>
      <c r="F60" s="181"/>
      <c r="G60" s="181"/>
    </row>
    <row r="61" spans="1:19" ht="21.75" customHeight="1" x14ac:dyDescent="0.2">
      <c r="A61" s="181"/>
      <c r="B61" s="181"/>
      <c r="C61" s="181"/>
      <c r="D61" s="181"/>
      <c r="E61" s="181"/>
      <c r="F61" s="181"/>
      <c r="G61" s="181"/>
    </row>
    <row r="62" spans="1:19" ht="21.75" customHeight="1" x14ac:dyDescent="0.2">
      <c r="A62" s="181"/>
      <c r="B62" s="181"/>
      <c r="C62" s="181"/>
      <c r="D62" s="181"/>
      <c r="E62" s="181"/>
      <c r="F62" s="181"/>
      <c r="G62" s="181"/>
    </row>
    <row r="63" spans="1:19" ht="21.75" customHeight="1" x14ac:dyDescent="0.2">
      <c r="A63" s="181"/>
      <c r="B63" s="181"/>
      <c r="C63" s="181"/>
      <c r="D63" s="181"/>
      <c r="E63" s="181"/>
      <c r="F63" s="181"/>
      <c r="G63" s="181"/>
    </row>
    <row r="64" spans="1:19" ht="21.75" customHeight="1" x14ac:dyDescent="0.2">
      <c r="A64" s="181"/>
      <c r="B64" s="181"/>
      <c r="C64" s="181"/>
      <c r="D64" s="181"/>
      <c r="E64" s="181"/>
      <c r="F64" s="181"/>
      <c r="G64" s="181"/>
    </row>
    <row r="65" spans="1:7" ht="21.75" customHeight="1" x14ac:dyDescent="0.2">
      <c r="A65" s="181"/>
      <c r="B65" s="181"/>
      <c r="C65" s="181"/>
      <c r="D65" s="181"/>
      <c r="E65" s="181"/>
      <c r="F65" s="181"/>
      <c r="G65" s="181"/>
    </row>
    <row r="66" spans="1:7" ht="21.75" customHeight="1" x14ac:dyDescent="0.2">
      <c r="A66" s="181"/>
      <c r="B66" s="181"/>
      <c r="C66" s="181"/>
      <c r="D66" s="181"/>
      <c r="E66" s="181"/>
      <c r="F66" s="181"/>
      <c r="G66" s="181"/>
    </row>
    <row r="67" spans="1:7" ht="21.75" customHeight="1" x14ac:dyDescent="0.2">
      <c r="A67" s="181"/>
      <c r="B67" s="181"/>
      <c r="C67" s="181"/>
      <c r="D67" s="181"/>
      <c r="E67" s="181"/>
      <c r="F67" s="181"/>
      <c r="G67" s="181"/>
    </row>
    <row r="68" spans="1:7" ht="21.75" customHeight="1" x14ac:dyDescent="0.2">
      <c r="A68" s="181"/>
      <c r="B68" s="181"/>
      <c r="C68" s="181"/>
      <c r="D68" s="181"/>
      <c r="E68" s="181"/>
      <c r="F68" s="181"/>
      <c r="G68" s="181"/>
    </row>
    <row r="69" spans="1:7" ht="21.75" customHeight="1" x14ac:dyDescent="0.2">
      <c r="A69" s="179" t="s">
        <v>26</v>
      </c>
      <c r="B69" s="179"/>
      <c r="C69" s="179"/>
      <c r="D69" s="179"/>
      <c r="E69" s="179"/>
      <c r="F69" s="179"/>
      <c r="G69" s="179"/>
    </row>
    <row r="70" spans="1:7" ht="21.75" customHeight="1" x14ac:dyDescent="0.2">
      <c r="A70" s="181"/>
      <c r="B70" s="181"/>
      <c r="C70" s="181"/>
      <c r="D70" s="181"/>
      <c r="E70" s="181"/>
      <c r="F70" s="181"/>
      <c r="G70" s="181"/>
    </row>
    <row r="71" spans="1:7" ht="21.75" customHeight="1" x14ac:dyDescent="0.2">
      <c r="A71" s="181"/>
      <c r="B71" s="181"/>
      <c r="C71" s="181"/>
      <c r="D71" s="181"/>
      <c r="E71" s="181"/>
      <c r="F71" s="181"/>
      <c r="G71" s="181"/>
    </row>
    <row r="72" spans="1:7" ht="21.75" customHeight="1" x14ac:dyDescent="0.2">
      <c r="A72" s="181"/>
      <c r="B72" s="181"/>
      <c r="C72" s="181"/>
      <c r="D72" s="181"/>
      <c r="E72" s="181"/>
      <c r="F72" s="181"/>
      <c r="G72" s="181"/>
    </row>
    <row r="73" spans="1:7" ht="21.75" customHeight="1" x14ac:dyDescent="0.2">
      <c r="A73" s="181"/>
      <c r="B73" s="181"/>
      <c r="C73" s="181"/>
      <c r="D73" s="181"/>
      <c r="E73" s="181"/>
      <c r="F73" s="181"/>
      <c r="G73" s="181"/>
    </row>
    <row r="74" spans="1:7" ht="21.75" customHeight="1" x14ac:dyDescent="0.2">
      <c r="A74" s="181"/>
      <c r="B74" s="181"/>
      <c r="C74" s="181"/>
      <c r="D74" s="181"/>
      <c r="E74" s="181"/>
      <c r="F74" s="181"/>
      <c r="G74" s="181"/>
    </row>
    <row r="75" spans="1:7" ht="21.75" customHeight="1" x14ac:dyDescent="0.2">
      <c r="A75" s="181"/>
      <c r="B75" s="181"/>
      <c r="C75" s="181"/>
      <c r="D75" s="181"/>
      <c r="E75" s="181"/>
      <c r="F75" s="181"/>
      <c r="G75" s="181"/>
    </row>
    <row r="76" spans="1:7" ht="21.75" customHeight="1" x14ac:dyDescent="0.2">
      <c r="A76" s="181"/>
      <c r="B76" s="181"/>
      <c r="C76" s="181"/>
      <c r="D76" s="181"/>
      <c r="E76" s="181"/>
      <c r="F76" s="181"/>
      <c r="G76" s="181"/>
    </row>
    <row r="77" spans="1:7" ht="21.75" customHeight="1" x14ac:dyDescent="0.2">
      <c r="A77" s="181"/>
      <c r="B77" s="181"/>
      <c r="C77" s="181"/>
      <c r="D77" s="181"/>
      <c r="E77" s="181"/>
      <c r="F77" s="181"/>
      <c r="G77" s="181"/>
    </row>
    <row r="78" spans="1:7" ht="21.75" customHeight="1" x14ac:dyDescent="0.2">
      <c r="A78" s="181"/>
      <c r="B78" s="181"/>
      <c r="C78" s="181"/>
      <c r="D78" s="181"/>
      <c r="E78" s="181"/>
      <c r="F78" s="181"/>
      <c r="G78" s="181"/>
    </row>
    <row r="79" spans="1:7" ht="21.75" customHeight="1" x14ac:dyDescent="0.2">
      <c r="A79" s="181"/>
      <c r="B79" s="181"/>
      <c r="C79" s="181"/>
      <c r="D79" s="181"/>
      <c r="E79" s="181"/>
      <c r="F79" s="181"/>
      <c r="G79" s="181"/>
    </row>
    <row r="80" spans="1:7" ht="21.75" customHeight="1" x14ac:dyDescent="0.2">
      <c r="A80" s="181"/>
      <c r="B80" s="181"/>
      <c r="C80" s="181"/>
      <c r="D80" s="181"/>
      <c r="E80" s="181"/>
      <c r="F80" s="181"/>
      <c r="G80" s="181"/>
    </row>
    <row r="81" spans="1:7" ht="21.75" customHeight="1" x14ac:dyDescent="0.2">
      <c r="A81" s="181"/>
      <c r="B81" s="181"/>
      <c r="C81" s="181"/>
      <c r="D81" s="181"/>
      <c r="E81" s="181"/>
      <c r="F81" s="181"/>
      <c r="G81" s="181"/>
    </row>
    <row r="82" spans="1:7" ht="21.75" customHeight="1" x14ac:dyDescent="0.2">
      <c r="A82" s="181"/>
      <c r="B82" s="181"/>
      <c r="C82" s="181"/>
      <c r="D82" s="181"/>
      <c r="E82" s="181"/>
      <c r="F82" s="181"/>
      <c r="G82" s="181"/>
    </row>
  </sheetData>
  <customSheetViews>
    <customSheetView guid="{78FE0CAC-51E5-4C61-A88D-7FAD500C2464}" showPageBreaks="1" fitToPage="1" printArea="1" showRuler="0">
      <selection activeCell="D5" sqref="D5"/>
      <pageMargins left="0.27" right="0.19" top="1.17" bottom="0.98425196850393704" header="0.19685039370078741" footer="0.15748031496062992"/>
      <printOptions horizontalCentered="1"/>
      <pageSetup paperSize="9" scale="73" orientation="portrait" r:id="rId1"/>
      <headerFooter alignWithMargins="0"/>
    </customSheetView>
  </customSheetViews>
  <mergeCells count="5">
    <mergeCell ref="G27:H27"/>
    <mergeCell ref="F2:H2"/>
    <mergeCell ref="B1:H1"/>
    <mergeCell ref="G26:H26"/>
    <mergeCell ref="B2:D2"/>
  </mergeCells>
  <phoneticPr fontId="0" type="noConversion"/>
  <printOptions horizontalCentered="1"/>
  <pageMargins left="0.27" right="0.19" top="1.17" bottom="0.98425196850393704" header="0.19685039370078741" footer="0.15748031496062992"/>
  <pageSetup paperSize="9" scale="71" orientation="portrait" r:id="rId2"/>
  <headerFooter alignWithMargins="0"/>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11">
    <pageSetUpPr fitToPage="1"/>
  </sheetPr>
  <dimension ref="A1:G36"/>
  <sheetViews>
    <sheetView view="pageBreakPreview" topLeftCell="A16" zoomScaleNormal="100" zoomScaleSheetLayoutView="100" workbookViewId="0">
      <selection activeCell="D27" sqref="D27"/>
    </sheetView>
  </sheetViews>
  <sheetFormatPr defaultColWidth="9.140625" defaultRowHeight="16.5" x14ac:dyDescent="0.3"/>
  <cols>
    <col min="1" max="1" width="11.85546875" style="46" customWidth="1"/>
    <col min="2" max="2" width="12.5703125" style="46" customWidth="1"/>
    <col min="3" max="3" width="31.140625" style="46" customWidth="1"/>
    <col min="4" max="4" width="43.5703125" style="46" bestFit="1" customWidth="1"/>
    <col min="5" max="6" width="9.140625" style="46"/>
    <col min="7" max="7" width="11.28515625" style="46" bestFit="1" customWidth="1"/>
    <col min="8" max="16384" width="9.140625" style="46"/>
  </cols>
  <sheetData>
    <row r="1" spans="1:7" x14ac:dyDescent="0.3">
      <c r="A1" s="390" t="s">
        <v>96</v>
      </c>
      <c r="B1" s="390"/>
      <c r="C1" s="390"/>
      <c r="D1" s="390"/>
    </row>
    <row r="2" spans="1:7" ht="61.5" customHeight="1" x14ac:dyDescent="0.3">
      <c r="A2" s="202"/>
      <c r="B2" s="391" t="str">
        <f>CONCATENATE("ANKARA YILDIRIM BEYAZIT ÜNİVERSİTESİ REKTÖRLÜĞÜ ",'[1]MAAŞ BORDROSU'!B2," AYI HAKEDİŞ RAPORU")</f>
        <v>ANKARA YILDIRIM BEYAZIT ÜNİVERSİTESİ REKTÖRLÜĞÜ MART  2025 AYI HAKEDİŞ RAPORU</v>
      </c>
      <c r="C2" s="391"/>
      <c r="D2" s="203" t="s">
        <v>137</v>
      </c>
    </row>
    <row r="3" spans="1:7" x14ac:dyDescent="0.3">
      <c r="A3" s="392" t="s">
        <v>164</v>
      </c>
      <c r="B3" s="393"/>
      <c r="C3" s="393"/>
      <c r="D3" s="394"/>
    </row>
    <row r="4" spans="1:7" ht="24.95" customHeight="1" x14ac:dyDescent="0.3">
      <c r="A4" s="56" t="s">
        <v>97</v>
      </c>
      <c r="B4" s="389" t="s">
        <v>98</v>
      </c>
      <c r="C4" s="389"/>
      <c r="D4" s="57">
        <f>'MAAŞ BORDROSU'!T454</f>
        <v>0</v>
      </c>
    </row>
    <row r="5" spans="1:7" ht="24.95" customHeight="1" x14ac:dyDescent="0.3">
      <c r="A5" s="56" t="s">
        <v>84</v>
      </c>
      <c r="B5" s="389" t="s">
        <v>99</v>
      </c>
      <c r="C5" s="389"/>
      <c r="D5" s="57">
        <v>0</v>
      </c>
      <c r="F5" s="46" t="s">
        <v>126</v>
      </c>
    </row>
    <row r="6" spans="1:7" ht="24.95" customHeight="1" x14ac:dyDescent="0.3">
      <c r="A6" s="56" t="s">
        <v>100</v>
      </c>
      <c r="B6" s="389" t="s">
        <v>101</v>
      </c>
      <c r="C6" s="389"/>
      <c r="D6" s="57">
        <f>D7+D8</f>
        <v>0</v>
      </c>
      <c r="F6" s="46" t="s">
        <v>64</v>
      </c>
      <c r="G6" s="69"/>
    </row>
    <row r="7" spans="1:7" ht="24.95" customHeight="1" x14ac:dyDescent="0.3">
      <c r="A7" s="56" t="s">
        <v>102</v>
      </c>
      <c r="B7" s="389" t="s">
        <v>103</v>
      </c>
      <c r="C7" s="389"/>
      <c r="D7" s="65">
        <f>SUM(G5:G15)</f>
        <v>0</v>
      </c>
      <c r="F7" s="46" t="s">
        <v>65</v>
      </c>
      <c r="G7" s="69"/>
    </row>
    <row r="8" spans="1:7" ht="24.95" customHeight="1" x14ac:dyDescent="0.3">
      <c r="A8" s="56" t="s">
        <v>83</v>
      </c>
      <c r="B8" s="389" t="s">
        <v>104</v>
      </c>
      <c r="C8" s="389"/>
      <c r="D8" s="58">
        <f>D4+D5</f>
        <v>0</v>
      </c>
      <c r="F8" s="46" t="s">
        <v>66</v>
      </c>
      <c r="G8" s="69"/>
    </row>
    <row r="9" spans="1:7" ht="24.95" customHeight="1" x14ac:dyDescent="0.3">
      <c r="A9" s="56" t="s">
        <v>105</v>
      </c>
      <c r="B9" s="389" t="s">
        <v>106</v>
      </c>
      <c r="C9" s="389"/>
      <c r="D9" s="57">
        <v>0</v>
      </c>
      <c r="F9" s="46" t="s">
        <v>67</v>
      </c>
      <c r="G9" s="69"/>
    </row>
    <row r="10" spans="1:7" ht="24.95" customHeight="1" x14ac:dyDescent="0.3">
      <c r="A10" s="56" t="s">
        <v>107</v>
      </c>
      <c r="B10" s="389" t="s">
        <v>108</v>
      </c>
      <c r="C10" s="389"/>
      <c r="D10" s="59">
        <f>D8</f>
        <v>0</v>
      </c>
      <c r="F10" s="46" t="s">
        <v>68</v>
      </c>
      <c r="G10" s="69"/>
    </row>
    <row r="11" spans="1:7" ht="20.100000000000001" customHeight="1" x14ac:dyDescent="0.3">
      <c r="A11" s="377"/>
      <c r="B11" s="378" t="s">
        <v>109</v>
      </c>
      <c r="C11" s="60" t="s">
        <v>110</v>
      </c>
      <c r="D11" s="57">
        <v>0</v>
      </c>
      <c r="F11" s="46" t="s">
        <v>69</v>
      </c>
      <c r="G11" s="69"/>
    </row>
    <row r="12" spans="1:7" ht="20.100000000000001" customHeight="1" x14ac:dyDescent="0.3">
      <c r="A12" s="377"/>
      <c r="B12" s="378"/>
      <c r="C12" s="60" t="s">
        <v>111</v>
      </c>
      <c r="D12" s="57">
        <v>0</v>
      </c>
      <c r="F12" s="46" t="s">
        <v>70</v>
      </c>
      <c r="G12" s="69"/>
    </row>
    <row r="13" spans="1:7" ht="20.100000000000001" customHeight="1" x14ac:dyDescent="0.3">
      <c r="A13" s="377"/>
      <c r="B13" s="378"/>
      <c r="C13" s="60" t="s">
        <v>112</v>
      </c>
      <c r="D13" s="57">
        <v>0</v>
      </c>
      <c r="F13" s="46" t="s">
        <v>71</v>
      </c>
      <c r="G13" s="69"/>
    </row>
    <row r="14" spans="1:7" ht="20.100000000000001" customHeight="1" x14ac:dyDescent="0.3">
      <c r="A14" s="377"/>
      <c r="B14" s="378"/>
      <c r="C14" s="60" t="s">
        <v>133</v>
      </c>
      <c r="D14" s="57">
        <v>0</v>
      </c>
      <c r="F14" s="46" t="s">
        <v>72</v>
      </c>
      <c r="G14" s="69"/>
    </row>
    <row r="15" spans="1:7" ht="20.100000000000001" customHeight="1" x14ac:dyDescent="0.3">
      <c r="A15" s="377"/>
      <c r="B15" s="378"/>
      <c r="C15" s="60" t="s">
        <v>113</v>
      </c>
      <c r="D15" s="57">
        <v>0</v>
      </c>
      <c r="F15" s="46" t="s">
        <v>127</v>
      </c>
    </row>
    <row r="16" spans="1:7" ht="20.100000000000001" customHeight="1" x14ac:dyDescent="0.3">
      <c r="A16" s="377"/>
      <c r="B16" s="378"/>
      <c r="C16" s="60" t="s">
        <v>114</v>
      </c>
      <c r="D16" s="57">
        <v>0</v>
      </c>
    </row>
    <row r="17" spans="1:4" ht="20.100000000000001" customHeight="1" x14ac:dyDescent="0.3">
      <c r="A17" s="377"/>
      <c r="B17" s="378"/>
      <c r="C17" s="60" t="s">
        <v>115</v>
      </c>
      <c r="D17" s="57">
        <v>0</v>
      </c>
    </row>
    <row r="18" spans="1:4" ht="20.100000000000001" customHeight="1" x14ac:dyDescent="0.3">
      <c r="A18" s="377"/>
      <c r="B18" s="378"/>
      <c r="C18" s="60" t="s">
        <v>116</v>
      </c>
      <c r="D18" s="57">
        <v>0</v>
      </c>
    </row>
    <row r="19" spans="1:4" ht="24.95" customHeight="1" x14ac:dyDescent="0.3">
      <c r="A19" s="56" t="s">
        <v>117</v>
      </c>
      <c r="B19" s="381" t="s">
        <v>118</v>
      </c>
      <c r="C19" s="382"/>
      <c r="D19" s="57">
        <f>SUM(D11:D18)</f>
        <v>0</v>
      </c>
    </row>
    <row r="20" spans="1:4" ht="24.95" customHeight="1" x14ac:dyDescent="0.3">
      <c r="A20" s="305" t="s">
        <v>119</v>
      </c>
      <c r="B20" s="383" t="s">
        <v>120</v>
      </c>
      <c r="C20" s="384"/>
      <c r="D20" s="306">
        <f>D8-D19</f>
        <v>0</v>
      </c>
    </row>
    <row r="21" spans="1:4" x14ac:dyDescent="0.3">
      <c r="A21" s="385" t="s">
        <v>136</v>
      </c>
      <c r="B21" s="386"/>
      <c r="C21" s="386"/>
      <c r="D21" s="387"/>
    </row>
    <row r="22" spans="1:4" x14ac:dyDescent="0.3">
      <c r="A22" s="379" t="s">
        <v>153</v>
      </c>
      <c r="B22" s="380"/>
      <c r="C22" s="380"/>
      <c r="D22" s="388"/>
    </row>
    <row r="23" spans="1:4" x14ac:dyDescent="0.3">
      <c r="A23" s="50"/>
      <c r="B23" s="307"/>
      <c r="C23" s="307"/>
      <c r="D23" s="308"/>
    </row>
    <row r="24" spans="1:4" x14ac:dyDescent="0.3">
      <c r="A24" s="379" t="s">
        <v>154</v>
      </c>
      <c r="B24" s="380"/>
      <c r="D24" s="313" t="s">
        <v>155</v>
      </c>
    </row>
    <row r="25" spans="1:4" x14ac:dyDescent="0.3">
      <c r="A25" s="50"/>
      <c r="B25" s="307"/>
      <c r="D25" s="307"/>
    </row>
    <row r="26" spans="1:4" x14ac:dyDescent="0.3">
      <c r="A26" s="50"/>
      <c r="B26" s="307"/>
      <c r="D26" s="307"/>
    </row>
    <row r="27" spans="1:4" x14ac:dyDescent="0.3">
      <c r="A27" s="379" t="s">
        <v>169</v>
      </c>
      <c r="B27" s="380"/>
      <c r="D27" s="313" t="s">
        <v>165</v>
      </c>
    </row>
    <row r="28" spans="1:4" x14ac:dyDescent="0.3">
      <c r="A28" s="379" t="s">
        <v>170</v>
      </c>
      <c r="B28" s="380"/>
      <c r="D28" s="313" t="s">
        <v>166</v>
      </c>
    </row>
    <row r="29" spans="1:4" x14ac:dyDescent="0.3">
      <c r="A29" s="50"/>
      <c r="B29" s="307"/>
      <c r="C29" s="314"/>
      <c r="D29" s="51"/>
    </row>
    <row r="30" spans="1:4" x14ac:dyDescent="0.3">
      <c r="A30" s="395" t="s">
        <v>156</v>
      </c>
      <c r="B30" s="396"/>
      <c r="C30" s="396"/>
      <c r="D30" s="397"/>
    </row>
    <row r="31" spans="1:4" x14ac:dyDescent="0.3">
      <c r="A31" s="50"/>
      <c r="B31" s="307"/>
      <c r="C31" s="307"/>
      <c r="D31" s="51"/>
    </row>
    <row r="32" spans="1:4" x14ac:dyDescent="0.3">
      <c r="A32" s="398" t="s">
        <v>171</v>
      </c>
      <c r="B32" s="399"/>
      <c r="C32" s="399"/>
      <c r="D32" s="400"/>
    </row>
    <row r="33" spans="1:4" x14ac:dyDescent="0.3">
      <c r="A33" s="401" t="s">
        <v>168</v>
      </c>
      <c r="B33" s="402"/>
      <c r="C33" s="402"/>
      <c r="D33" s="403"/>
    </row>
    <row r="34" spans="1:4" x14ac:dyDescent="0.3">
      <c r="A34" s="311"/>
      <c r="B34" s="312"/>
      <c r="C34" s="312"/>
      <c r="D34" s="310"/>
    </row>
    <row r="35" spans="1:4" x14ac:dyDescent="0.3">
      <c r="A35" s="311"/>
      <c r="B35" s="312"/>
      <c r="C35" s="312"/>
      <c r="D35" s="310"/>
    </row>
    <row r="36" spans="1:4" x14ac:dyDescent="0.3">
      <c r="A36" s="53"/>
      <c r="B36" s="54"/>
      <c r="C36" s="54"/>
      <c r="D36" s="55"/>
    </row>
  </sheetData>
  <mergeCells count="22">
    <mergeCell ref="A27:B27"/>
    <mergeCell ref="A28:B28"/>
    <mergeCell ref="A30:D30"/>
    <mergeCell ref="A32:D32"/>
    <mergeCell ref="A33:D33"/>
    <mergeCell ref="A1:D1"/>
    <mergeCell ref="B2:C2"/>
    <mergeCell ref="A3:D3"/>
    <mergeCell ref="B4:C4"/>
    <mergeCell ref="B5:C5"/>
    <mergeCell ref="B6:C6"/>
    <mergeCell ref="B7:C7"/>
    <mergeCell ref="B8:C8"/>
    <mergeCell ref="B9:C9"/>
    <mergeCell ref="B10:C10"/>
    <mergeCell ref="A11:A18"/>
    <mergeCell ref="B11:B18"/>
    <mergeCell ref="A24:B24"/>
    <mergeCell ref="B19:C19"/>
    <mergeCell ref="B20:C20"/>
    <mergeCell ref="A21:D21"/>
    <mergeCell ref="A22:D22"/>
  </mergeCells>
  <pageMargins left="0.68" right="0.19685039370078741" top="0.9055118110236221" bottom="0.74803149606299213" header="0.31496062992125984" footer="0.31496062992125984"/>
  <pageSetup paperSize="9" scale="9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10"/>
  <dimension ref="A1:AU459"/>
  <sheetViews>
    <sheetView view="pageBreakPreview" zoomScaleNormal="100" zoomScaleSheetLayoutView="100" workbookViewId="0">
      <pane ySplit="8" topLeftCell="A446" activePane="bottomLeft" state="frozen"/>
      <selection activeCell="M507" sqref="M507:O507"/>
      <selection pane="bottomLeft" activeCell="C460" sqref="C460"/>
    </sheetView>
  </sheetViews>
  <sheetFormatPr defaultColWidth="9.140625" defaultRowHeight="15" x14ac:dyDescent="0.2"/>
  <cols>
    <col min="1" max="1" width="4.5703125" style="43" customWidth="1"/>
    <col min="2" max="2" width="26" style="43" customWidth="1"/>
    <col min="3" max="3" width="12.7109375" style="43" customWidth="1"/>
    <col min="4" max="34" width="3.85546875" style="43" customWidth="1"/>
    <col min="35" max="35" width="10.42578125" style="43" customWidth="1"/>
    <col min="36" max="36" width="10.5703125" style="43" customWidth="1"/>
    <col min="37" max="37" width="22.7109375" style="43" customWidth="1"/>
    <col min="38" max="38" width="11.28515625" style="226" bestFit="1" customWidth="1"/>
    <col min="39" max="39" width="11.28515625" style="43" bestFit="1" customWidth="1"/>
    <col min="40" max="16384" width="9.140625" style="43"/>
  </cols>
  <sheetData>
    <row r="1" spans="1:39" ht="18" customHeight="1" x14ac:dyDescent="0.2">
      <c r="B1" s="44"/>
      <c r="C1" s="45"/>
      <c r="H1" s="418" t="s">
        <v>136</v>
      </c>
      <c r="I1" s="419"/>
      <c r="J1" s="419"/>
      <c r="K1" s="419"/>
      <c r="L1" s="419"/>
      <c r="M1" s="419"/>
      <c r="N1" s="419"/>
      <c r="O1" s="419"/>
      <c r="P1" s="419"/>
      <c r="Q1" s="419"/>
      <c r="R1" s="419"/>
      <c r="S1" s="419"/>
      <c r="T1" s="419"/>
      <c r="U1" s="419"/>
      <c r="V1" s="419"/>
      <c r="W1" s="419"/>
      <c r="X1" s="419"/>
      <c r="Y1" s="419"/>
      <c r="Z1" s="419"/>
      <c r="AA1" s="419"/>
      <c r="AB1" s="419"/>
      <c r="AC1" s="419"/>
      <c r="AD1" s="419"/>
      <c r="AE1" s="419"/>
      <c r="AF1" s="419"/>
      <c r="AG1" s="419"/>
      <c r="AH1" s="419"/>
      <c r="AI1" s="419"/>
      <c r="AJ1" s="419"/>
    </row>
    <row r="2" spans="1:39" ht="18" customHeight="1" x14ac:dyDescent="0.2">
      <c r="B2" s="44"/>
      <c r="C2" s="45"/>
      <c r="H2" s="418" t="s">
        <v>138</v>
      </c>
      <c r="I2" s="419"/>
      <c r="J2" s="419"/>
      <c r="K2" s="419"/>
      <c r="L2" s="419"/>
      <c r="M2" s="419"/>
      <c r="N2" s="419"/>
      <c r="O2" s="419"/>
      <c r="P2" s="419"/>
      <c r="Q2" s="419"/>
      <c r="R2" s="419"/>
      <c r="S2" s="419"/>
      <c r="T2" s="419"/>
      <c r="U2" s="419"/>
      <c r="V2" s="419"/>
      <c r="W2" s="419"/>
      <c r="X2" s="419"/>
      <c r="Y2" s="419"/>
      <c r="Z2" s="419"/>
      <c r="AA2" s="419"/>
      <c r="AB2" s="419"/>
      <c r="AC2" s="419"/>
      <c r="AD2" s="419"/>
      <c r="AE2" s="419"/>
      <c r="AF2" s="419"/>
      <c r="AG2" s="419"/>
      <c r="AH2" s="419"/>
      <c r="AI2" s="419"/>
      <c r="AJ2" s="419"/>
    </row>
    <row r="3" spans="1:39" ht="18" customHeight="1" x14ac:dyDescent="0.2">
      <c r="A3" s="420" t="s">
        <v>85</v>
      </c>
      <c r="B3" s="420"/>
      <c r="C3" s="421">
        <v>2025</v>
      </c>
      <c r="D3" s="422"/>
      <c r="E3" s="423" t="s">
        <v>86</v>
      </c>
      <c r="F3" s="409"/>
      <c r="G3" s="409"/>
      <c r="H3" s="409"/>
      <c r="I3" s="409"/>
      <c r="J3" s="410"/>
      <c r="K3" s="424"/>
      <c r="L3" s="425"/>
      <c r="M3" s="425"/>
      <c r="N3" s="425"/>
      <c r="O3" s="425"/>
      <c r="P3" s="426"/>
      <c r="Q3" s="555" t="s">
        <v>186</v>
      </c>
      <c r="R3" s="556"/>
      <c r="S3" s="556"/>
      <c r="T3" s="556"/>
      <c r="U3" s="556"/>
      <c r="V3" s="556"/>
      <c r="W3" s="556"/>
      <c r="X3" s="556"/>
      <c r="Y3" s="557"/>
      <c r="Z3" s="546" t="s">
        <v>184</v>
      </c>
      <c r="AA3" s="547"/>
      <c r="AB3" s="547"/>
      <c r="AC3" s="547"/>
      <c r="AD3" s="547"/>
      <c r="AE3" s="547"/>
      <c r="AF3" s="547"/>
      <c r="AG3" s="547"/>
      <c r="AH3" s="547"/>
      <c r="AI3" s="547"/>
      <c r="AJ3" s="548"/>
    </row>
    <row r="4" spans="1:39" ht="18" customHeight="1" x14ac:dyDescent="0.2">
      <c r="A4" s="427" t="s">
        <v>139</v>
      </c>
      <c r="B4" s="417"/>
      <c r="C4" s="428"/>
      <c r="D4" s="429"/>
      <c r="E4" s="408" t="s">
        <v>140</v>
      </c>
      <c r="F4" s="409"/>
      <c r="G4" s="409"/>
      <c r="H4" s="409"/>
      <c r="I4" s="409"/>
      <c r="J4" s="410"/>
      <c r="K4" s="408" t="s">
        <v>135</v>
      </c>
      <c r="L4" s="409"/>
      <c r="M4" s="409"/>
      <c r="N4" s="409"/>
      <c r="O4" s="409"/>
      <c r="P4" s="410"/>
      <c r="Q4" s="558"/>
      <c r="R4" s="559"/>
      <c r="S4" s="559"/>
      <c r="T4" s="559"/>
      <c r="U4" s="559"/>
      <c r="V4" s="559"/>
      <c r="W4" s="559"/>
      <c r="X4" s="559"/>
      <c r="Y4" s="560"/>
      <c r="Z4" s="549"/>
      <c r="AA4" s="550"/>
      <c r="AB4" s="550"/>
      <c r="AC4" s="550"/>
      <c r="AD4" s="550"/>
      <c r="AE4" s="550"/>
      <c r="AF4" s="550"/>
      <c r="AG4" s="550"/>
      <c r="AH4" s="550"/>
      <c r="AI4" s="550"/>
      <c r="AJ4" s="551"/>
      <c r="AL4" s="227">
        <f>DATE(YEAR(K3),MONTH(K3),DAY(D8))</f>
        <v>1</v>
      </c>
    </row>
    <row r="5" spans="1:39" ht="18" customHeight="1" x14ac:dyDescent="0.2">
      <c r="A5" s="411" t="s">
        <v>141</v>
      </c>
      <c r="B5" s="412"/>
      <c r="C5" s="413">
        <v>45964</v>
      </c>
      <c r="D5" s="414"/>
      <c r="E5" s="408" t="s">
        <v>142</v>
      </c>
      <c r="F5" s="409"/>
      <c r="G5" s="409"/>
      <c r="H5" s="409"/>
      <c r="I5" s="409"/>
      <c r="J5" s="410"/>
      <c r="K5" s="415"/>
      <c r="L5" s="409"/>
      <c r="M5" s="409"/>
      <c r="N5" s="409"/>
      <c r="O5" s="409"/>
      <c r="P5" s="410"/>
      <c r="Q5" s="558"/>
      <c r="R5" s="559"/>
      <c r="S5" s="559"/>
      <c r="T5" s="559"/>
      <c r="U5" s="559"/>
      <c r="V5" s="559"/>
      <c r="W5" s="559"/>
      <c r="X5" s="559"/>
      <c r="Y5" s="560"/>
      <c r="Z5" s="549"/>
      <c r="AA5" s="550"/>
      <c r="AB5" s="550"/>
      <c r="AC5" s="550"/>
      <c r="AD5" s="550"/>
      <c r="AE5" s="550"/>
      <c r="AF5" s="550"/>
      <c r="AG5" s="550"/>
      <c r="AH5" s="550"/>
      <c r="AI5" s="550"/>
      <c r="AJ5" s="551"/>
      <c r="AL5" s="227">
        <f>EOMONTH(DATE(YEAR(K3),MONTH(K3),DAY(D8)),0)</f>
        <v>31</v>
      </c>
    </row>
    <row r="6" spans="1:39" ht="27.75" customHeight="1" x14ac:dyDescent="0.2">
      <c r="A6" s="416" t="s">
        <v>87</v>
      </c>
      <c r="B6" s="417"/>
      <c r="C6" s="430" t="s">
        <v>136</v>
      </c>
      <c r="D6" s="431"/>
      <c r="E6" s="431"/>
      <c r="F6" s="431"/>
      <c r="G6" s="431"/>
      <c r="H6" s="431"/>
      <c r="I6" s="431"/>
      <c r="J6" s="431"/>
      <c r="K6" s="431"/>
      <c r="L6" s="431"/>
      <c r="M6" s="431"/>
      <c r="N6" s="431"/>
      <c r="O6" s="431"/>
      <c r="P6" s="432"/>
      <c r="Q6" s="561"/>
      <c r="R6" s="562"/>
      <c r="S6" s="562"/>
      <c r="T6" s="562"/>
      <c r="U6" s="562"/>
      <c r="V6" s="562"/>
      <c r="W6" s="562"/>
      <c r="X6" s="562"/>
      <c r="Y6" s="563"/>
      <c r="Z6" s="552"/>
      <c r="AA6" s="553"/>
      <c r="AB6" s="553"/>
      <c r="AC6" s="553"/>
      <c r="AD6" s="553"/>
      <c r="AE6" s="553"/>
      <c r="AF6" s="553"/>
      <c r="AG6" s="553"/>
      <c r="AH6" s="553"/>
      <c r="AI6" s="553"/>
      <c r="AJ6" s="554"/>
      <c r="AL6" s="228">
        <f>_xlfn.DAYS(AL5,AL4)+1</f>
        <v>31</v>
      </c>
    </row>
    <row r="7" spans="1:39" ht="12" customHeight="1" x14ac:dyDescent="0.2">
      <c r="A7" s="404"/>
      <c r="B7" s="405"/>
      <c r="C7" s="405"/>
      <c r="D7" s="405"/>
      <c r="E7" s="405"/>
      <c r="F7" s="405"/>
      <c r="G7" s="405"/>
      <c r="H7" s="405"/>
      <c r="I7" s="405"/>
      <c r="J7" s="405"/>
      <c r="K7" s="405"/>
      <c r="L7" s="405"/>
      <c r="M7" s="405"/>
      <c r="N7" s="405"/>
      <c r="O7" s="405"/>
      <c r="P7" s="405"/>
      <c r="Q7" s="405"/>
      <c r="R7" s="405"/>
      <c r="S7" s="405"/>
      <c r="T7" s="405"/>
      <c r="U7" s="405"/>
      <c r="V7" s="405"/>
      <c r="W7" s="406"/>
      <c r="X7" s="406"/>
      <c r="Y7" s="406"/>
      <c r="Z7" s="406"/>
      <c r="AA7" s="406"/>
      <c r="AB7" s="406"/>
      <c r="AC7" s="406"/>
      <c r="AD7" s="406"/>
      <c r="AE7" s="406"/>
      <c r="AF7" s="406"/>
      <c r="AG7" s="406"/>
      <c r="AH7" s="406"/>
      <c r="AI7" s="406"/>
      <c r="AJ7" s="407"/>
    </row>
    <row r="8" spans="1:39" ht="27.75" customHeight="1" x14ac:dyDescent="0.2">
      <c r="A8" s="163" t="s">
        <v>88</v>
      </c>
      <c r="B8" s="164" t="s">
        <v>62</v>
      </c>
      <c r="C8" s="165" t="s">
        <v>89</v>
      </c>
      <c r="D8" s="222">
        <v>1</v>
      </c>
      <c r="E8" s="222">
        <v>2</v>
      </c>
      <c r="F8" s="222">
        <v>3</v>
      </c>
      <c r="G8" s="222">
        <v>4</v>
      </c>
      <c r="H8" s="222">
        <v>5</v>
      </c>
      <c r="I8" s="222">
        <v>6</v>
      </c>
      <c r="J8" s="222">
        <v>7</v>
      </c>
      <c r="K8" s="222">
        <v>8</v>
      </c>
      <c r="L8" s="222">
        <v>9</v>
      </c>
      <c r="M8" s="222">
        <v>10</v>
      </c>
      <c r="N8" s="222">
        <v>11</v>
      </c>
      <c r="O8" s="222">
        <v>12</v>
      </c>
      <c r="P8" s="222">
        <v>13</v>
      </c>
      <c r="Q8" s="222">
        <v>14</v>
      </c>
      <c r="R8" s="222">
        <v>15</v>
      </c>
      <c r="S8" s="222">
        <v>16</v>
      </c>
      <c r="T8" s="222">
        <v>17</v>
      </c>
      <c r="U8" s="222">
        <v>18</v>
      </c>
      <c r="V8" s="222">
        <v>19</v>
      </c>
      <c r="W8" s="222">
        <v>20</v>
      </c>
      <c r="X8" s="222">
        <v>21</v>
      </c>
      <c r="Y8" s="222">
        <v>22</v>
      </c>
      <c r="Z8" s="222">
        <v>23</v>
      </c>
      <c r="AA8" s="222">
        <v>24</v>
      </c>
      <c r="AB8" s="222">
        <v>25</v>
      </c>
      <c r="AC8" s="222">
        <v>26</v>
      </c>
      <c r="AD8" s="222">
        <v>27</v>
      </c>
      <c r="AE8" s="222">
        <v>28</v>
      </c>
      <c r="AF8" s="222">
        <v>29</v>
      </c>
      <c r="AG8" s="222">
        <v>30</v>
      </c>
      <c r="AH8" s="222">
        <v>31</v>
      </c>
      <c r="AI8" s="167" t="str">
        <f>CONCATENATE("EKSİK GÜN ",SUM(AI9:AI277))</f>
        <v>EKSİK GÜN 0</v>
      </c>
      <c r="AJ8" s="167" t="str">
        <f>CONCATENATE("TOPLAM ",SUM(AJ9:AJ451))</f>
        <v>TOPLAM 0</v>
      </c>
      <c r="AK8" s="168" t="s">
        <v>185</v>
      </c>
      <c r="AL8" s="229"/>
      <c r="AM8" s="169"/>
    </row>
    <row r="9" spans="1:39" x14ac:dyDescent="0.2">
      <c r="A9" s="170">
        <v>1</v>
      </c>
      <c r="B9" s="147" t="str">
        <f>CONCATENATE(IF($A9="","",VLOOKUP($A9,'İşçi Bilgileri'!$A$2:$D$700,2,FALSE))," ",IF($A9="","",VLOOKUP($A9,'İşçi Bilgileri'!$A$2:$D$700,3,FALSE)))</f>
        <v xml:space="preserve"> </v>
      </c>
      <c r="C9" s="171">
        <f>IF($A9="","",VLOOKUP($A9,'İşçi Bilgileri'!$A$2:$D$700,4,FALSE))</f>
        <v>0</v>
      </c>
      <c r="D9" s="298"/>
      <c r="E9" s="298"/>
      <c r="F9" s="298"/>
      <c r="G9" s="298"/>
      <c r="H9" s="298"/>
      <c r="I9" s="298"/>
      <c r="J9" s="298"/>
      <c r="K9" s="298"/>
      <c r="L9" s="298"/>
      <c r="M9" s="298"/>
      <c r="N9" s="298"/>
      <c r="O9" s="298"/>
      <c r="P9" s="298"/>
      <c r="Q9" s="298"/>
      <c r="R9" s="298"/>
      <c r="S9" s="298"/>
      <c r="T9" s="298"/>
      <c r="U9" s="298"/>
      <c r="V9" s="298"/>
      <c r="W9" s="298"/>
      <c r="X9" s="298"/>
      <c r="Y9" s="298"/>
      <c r="Z9" s="298"/>
      <c r="AA9" s="298"/>
      <c r="AB9" s="298"/>
      <c r="AC9" s="298"/>
      <c r="AD9" s="298"/>
      <c r="AE9" s="298"/>
      <c r="AF9" s="298"/>
      <c r="AG9" s="298"/>
      <c r="AH9" s="298"/>
      <c r="AI9" s="166">
        <f>SUM(COUNTIF(D9:AH9,"İ"),COUNTIF(D9:AH9,"R"),COUNTIF(D9:AH9,"D"),COUNTIF(D9:AH9,"C"))</f>
        <v>0</v>
      </c>
      <c r="AJ9" s="166">
        <f>IF(COUNTIF(D9:AH9,"X")=$AL$6,30,COUNTIF(D9:AH9,"X"))</f>
        <v>0</v>
      </c>
      <c r="AK9" s="166"/>
      <c r="AL9" s="230" t="str">
        <f>IF($A9="","",IF(VLOOKUP($A9,'İşçi Bilgileri'!$A$2:$J$700,9,FALSE)=0,"",VLOOKUP($A9,'İşçi Bilgileri'!$A$2:$J$700,9,FALSE)))</f>
        <v/>
      </c>
      <c r="AM9" s="172" t="str">
        <f>IF($A9="","",IF(VLOOKUP($A9,'İşçi Bilgileri'!$A$2:$J$700,10,FALSE)=0,"",VLOOKUP($A9,'İşçi Bilgileri'!$A$2:$J$700,10,FALSE)))</f>
        <v/>
      </c>
    </row>
    <row r="10" spans="1:39" x14ac:dyDescent="0.2">
      <c r="A10" s="170">
        <v>2</v>
      </c>
      <c r="B10" s="147" t="e">
        <f>CONCATENATE(IF($A10="","",VLOOKUP($A10,'İşçi Bilgileri'!$A$2:$D$700,2,FALSE))," ",IF($A10="","",VLOOKUP($A10,'İşçi Bilgileri'!$A$2:$D$700,3,FALSE)))</f>
        <v>#N/A</v>
      </c>
      <c r="C10" s="171" t="e">
        <f>IF($A10="","",VLOOKUP($A10,'İşçi Bilgileri'!$A$2:$D$700,4,FALSE))</f>
        <v>#N/A</v>
      </c>
      <c r="D10" s="298"/>
      <c r="E10" s="298"/>
      <c r="F10" s="298"/>
      <c r="G10" s="298"/>
      <c r="H10" s="298"/>
      <c r="I10" s="298"/>
      <c r="J10" s="298"/>
      <c r="K10" s="298"/>
      <c r="L10" s="298"/>
      <c r="M10" s="298"/>
      <c r="N10" s="298"/>
      <c r="O10" s="298"/>
      <c r="P10" s="298"/>
      <c r="Q10" s="298"/>
      <c r="R10" s="298"/>
      <c r="S10" s="298"/>
      <c r="T10" s="298"/>
      <c r="U10" s="298"/>
      <c r="V10" s="298"/>
      <c r="W10" s="298"/>
      <c r="X10" s="298"/>
      <c r="Y10" s="298"/>
      <c r="Z10" s="298"/>
      <c r="AA10" s="298"/>
      <c r="AB10" s="298"/>
      <c r="AC10" s="298"/>
      <c r="AD10" s="298"/>
      <c r="AE10" s="298"/>
      <c r="AF10" s="298"/>
      <c r="AG10" s="298"/>
      <c r="AH10" s="298"/>
      <c r="AI10" s="166">
        <f t="shared" ref="AI10:AI73" si="0">SUM(COUNTIF(D10:AH10,"İ"),COUNTIF(D10:AH10,"R"),COUNTIF(D10:AH10,"D"),COUNTIF(D10:AH10,"C"))</f>
        <v>0</v>
      </c>
      <c r="AJ10" s="166">
        <f t="shared" ref="AJ10:AJ73" si="1">IF(COUNTIF(D10:AH10,"X")=$AL$6,30,COUNTIF(D10:AH10,"X"))</f>
        <v>0</v>
      </c>
      <c r="AK10" s="166"/>
      <c r="AL10" s="230" t="e">
        <f>IF($A10="","",IF(VLOOKUP($A10,'İşçi Bilgileri'!$A$2:$J$700,9,FALSE)=0,"",VLOOKUP($A10,'İşçi Bilgileri'!$A$2:$J$700,9,FALSE)))</f>
        <v>#N/A</v>
      </c>
      <c r="AM10" s="172" t="e">
        <f>IF($A10="","",IF(VLOOKUP($A10,'İşçi Bilgileri'!$A$2:$J$700,10,FALSE)=0,"",VLOOKUP($A10,'İşçi Bilgileri'!$A$2:$J$700,10,FALSE)))</f>
        <v>#N/A</v>
      </c>
    </row>
    <row r="11" spans="1:39" x14ac:dyDescent="0.2">
      <c r="A11" s="170">
        <v>3</v>
      </c>
      <c r="B11" s="147" t="e">
        <f>CONCATENATE(IF($A11="","",VLOOKUP($A11,'İşçi Bilgileri'!$A$2:$D$700,2,FALSE))," ",IF($A11="","",VLOOKUP($A11,'İşçi Bilgileri'!$A$2:$D$700,3,FALSE)))</f>
        <v>#N/A</v>
      </c>
      <c r="C11" s="171" t="e">
        <f>IF($A11="","",VLOOKUP($A11,'İşçi Bilgileri'!$A$2:$D$700,4,FALSE))</f>
        <v>#N/A</v>
      </c>
      <c r="D11" s="298"/>
      <c r="E11" s="298"/>
      <c r="F11" s="298"/>
      <c r="G11" s="298"/>
      <c r="H11" s="298"/>
      <c r="I11" s="298"/>
      <c r="J11" s="298"/>
      <c r="K11" s="298"/>
      <c r="L11" s="298"/>
      <c r="M11" s="298"/>
      <c r="N11" s="298"/>
      <c r="O11" s="298"/>
      <c r="P11" s="298"/>
      <c r="Q11" s="298"/>
      <c r="R11" s="298"/>
      <c r="S11" s="298"/>
      <c r="T11" s="298"/>
      <c r="U11" s="298"/>
      <c r="V11" s="298"/>
      <c r="W11" s="298"/>
      <c r="X11" s="298"/>
      <c r="Y11" s="298"/>
      <c r="Z11" s="298"/>
      <c r="AA11" s="298"/>
      <c r="AB11" s="298"/>
      <c r="AC11" s="298"/>
      <c r="AD11" s="298"/>
      <c r="AE11" s="298"/>
      <c r="AF11" s="298"/>
      <c r="AG11" s="298"/>
      <c r="AH11" s="298"/>
      <c r="AI11" s="166">
        <f t="shared" si="0"/>
        <v>0</v>
      </c>
      <c r="AJ11" s="166">
        <f t="shared" si="1"/>
        <v>0</v>
      </c>
      <c r="AK11" s="166"/>
      <c r="AL11" s="230" t="e">
        <f>IF($A11="","",IF(VLOOKUP($A11,'İşçi Bilgileri'!$A$2:$J$700,9,FALSE)=0,"",VLOOKUP($A11,'İşçi Bilgileri'!$A$2:$J$700,9,FALSE)))</f>
        <v>#N/A</v>
      </c>
      <c r="AM11" s="172" t="e">
        <f>IF($A11="","",IF(VLOOKUP($A11,'İşçi Bilgileri'!$A$2:$J$700,10,FALSE)=0,"",VLOOKUP($A11,'İşçi Bilgileri'!$A$2:$J$700,10,FALSE)))</f>
        <v>#N/A</v>
      </c>
    </row>
    <row r="12" spans="1:39" x14ac:dyDescent="0.2">
      <c r="A12" s="170">
        <v>4</v>
      </c>
      <c r="B12" s="147" t="e">
        <f>CONCATENATE(IF($A12="","",VLOOKUP($A12,'İşçi Bilgileri'!$A$2:$D$700,2,FALSE))," ",IF($A12="","",VLOOKUP($A12,'İşçi Bilgileri'!$A$2:$D$700,3,FALSE)))</f>
        <v>#N/A</v>
      </c>
      <c r="C12" s="171" t="e">
        <f>IF($A12="","",VLOOKUP($A12,'İşçi Bilgileri'!$A$2:$D$700,4,FALSE))</f>
        <v>#N/A</v>
      </c>
      <c r="D12" s="298"/>
      <c r="E12" s="298"/>
      <c r="F12" s="298"/>
      <c r="G12" s="298"/>
      <c r="H12" s="298"/>
      <c r="I12" s="298"/>
      <c r="J12" s="298"/>
      <c r="K12" s="298"/>
      <c r="L12" s="298"/>
      <c r="M12" s="298"/>
      <c r="N12" s="298"/>
      <c r="O12" s="298"/>
      <c r="P12" s="298"/>
      <c r="Q12" s="298"/>
      <c r="R12" s="298"/>
      <c r="S12" s="298"/>
      <c r="T12" s="298"/>
      <c r="U12" s="298"/>
      <c r="V12" s="298"/>
      <c r="W12" s="298"/>
      <c r="X12" s="298"/>
      <c r="Y12" s="298"/>
      <c r="Z12" s="298"/>
      <c r="AA12" s="298"/>
      <c r="AB12" s="298"/>
      <c r="AC12" s="298"/>
      <c r="AD12" s="298"/>
      <c r="AE12" s="298"/>
      <c r="AF12" s="298"/>
      <c r="AG12" s="298"/>
      <c r="AH12" s="298"/>
      <c r="AI12" s="166">
        <f t="shared" si="0"/>
        <v>0</v>
      </c>
      <c r="AJ12" s="166">
        <f t="shared" si="1"/>
        <v>0</v>
      </c>
      <c r="AK12" s="166"/>
      <c r="AL12" s="230" t="e">
        <f>IF($A12="","",IF(VLOOKUP($A12,'İşçi Bilgileri'!$A$2:$J$700,9,FALSE)=0,"",VLOOKUP($A12,'İşçi Bilgileri'!$A$2:$J$700,9,FALSE)))</f>
        <v>#N/A</v>
      </c>
      <c r="AM12" s="172" t="e">
        <f>IF($A12="","",IF(VLOOKUP($A12,'İşçi Bilgileri'!$A$2:$J$700,10,FALSE)=0,"",VLOOKUP($A12,'İşçi Bilgileri'!$A$2:$J$700,10,FALSE)))</f>
        <v>#N/A</v>
      </c>
    </row>
    <row r="13" spans="1:39" x14ac:dyDescent="0.2">
      <c r="A13" s="170">
        <v>5</v>
      </c>
      <c r="B13" s="147" t="e">
        <f>CONCATENATE(IF($A13="","",VLOOKUP($A13,'İşçi Bilgileri'!$A$2:$D$700,2,FALSE))," ",IF($A13="","",VLOOKUP($A13,'İşçi Bilgileri'!$A$2:$D$700,3,FALSE)))</f>
        <v>#N/A</v>
      </c>
      <c r="C13" s="171" t="e">
        <f>IF($A13="","",VLOOKUP($A13,'İşçi Bilgileri'!$A$2:$D$700,4,FALSE))</f>
        <v>#N/A</v>
      </c>
      <c r="D13" s="298"/>
      <c r="E13" s="298"/>
      <c r="F13" s="298"/>
      <c r="G13" s="298"/>
      <c r="H13" s="298"/>
      <c r="I13" s="298"/>
      <c r="J13" s="298"/>
      <c r="K13" s="298"/>
      <c r="L13" s="298"/>
      <c r="M13" s="298"/>
      <c r="N13" s="298"/>
      <c r="O13" s="298"/>
      <c r="P13" s="298"/>
      <c r="Q13" s="298"/>
      <c r="R13" s="298"/>
      <c r="S13" s="298"/>
      <c r="T13" s="298"/>
      <c r="U13" s="298"/>
      <c r="V13" s="298"/>
      <c r="W13" s="298"/>
      <c r="X13" s="298"/>
      <c r="Y13" s="298"/>
      <c r="Z13" s="298"/>
      <c r="AA13" s="298"/>
      <c r="AB13" s="298"/>
      <c r="AC13" s="298"/>
      <c r="AD13" s="298"/>
      <c r="AE13" s="298"/>
      <c r="AF13" s="298"/>
      <c r="AG13" s="298"/>
      <c r="AH13" s="298"/>
      <c r="AI13" s="166">
        <f t="shared" si="0"/>
        <v>0</v>
      </c>
      <c r="AJ13" s="166">
        <f t="shared" si="1"/>
        <v>0</v>
      </c>
      <c r="AK13" s="166"/>
      <c r="AL13" s="230" t="e">
        <f>IF($A13="","",IF(VLOOKUP($A13,'İşçi Bilgileri'!$A$2:$J$700,9,FALSE)=0,"",VLOOKUP($A13,'İşçi Bilgileri'!$A$2:$J$700,9,FALSE)))</f>
        <v>#N/A</v>
      </c>
      <c r="AM13" s="172" t="e">
        <f>IF($A13="","",IF(VLOOKUP($A13,'İşçi Bilgileri'!$A$2:$J$700,10,FALSE)=0,"",VLOOKUP($A13,'İşçi Bilgileri'!$A$2:$J$700,10,FALSE)))</f>
        <v>#N/A</v>
      </c>
    </row>
    <row r="14" spans="1:39" x14ac:dyDescent="0.2">
      <c r="A14" s="170">
        <v>6</v>
      </c>
      <c r="B14" s="147" t="e">
        <f>CONCATENATE(IF($A14="","",VLOOKUP($A14,'İşçi Bilgileri'!$A$2:$D$700,2,FALSE))," ",IF($A14="","",VLOOKUP($A14,'İşçi Bilgileri'!$A$2:$D$700,3,FALSE)))</f>
        <v>#N/A</v>
      </c>
      <c r="C14" s="171" t="e">
        <f>IF($A14="","",VLOOKUP($A14,'İşçi Bilgileri'!$A$2:$D$700,4,FALSE))</f>
        <v>#N/A</v>
      </c>
      <c r="D14" s="298"/>
      <c r="E14" s="298"/>
      <c r="F14" s="298"/>
      <c r="G14" s="298"/>
      <c r="H14" s="298"/>
      <c r="I14" s="298"/>
      <c r="J14" s="298"/>
      <c r="K14" s="298"/>
      <c r="L14" s="298"/>
      <c r="M14" s="298"/>
      <c r="N14" s="298"/>
      <c r="O14" s="298"/>
      <c r="P14" s="298"/>
      <c r="Q14" s="298"/>
      <c r="R14" s="298"/>
      <c r="S14" s="298"/>
      <c r="T14" s="298"/>
      <c r="U14" s="298"/>
      <c r="V14" s="298"/>
      <c r="W14" s="298"/>
      <c r="X14" s="298"/>
      <c r="Y14" s="298"/>
      <c r="Z14" s="298"/>
      <c r="AA14" s="298"/>
      <c r="AB14" s="298"/>
      <c r="AC14" s="298"/>
      <c r="AD14" s="298"/>
      <c r="AE14" s="298"/>
      <c r="AF14" s="298"/>
      <c r="AG14" s="298"/>
      <c r="AH14" s="298"/>
      <c r="AI14" s="166">
        <f t="shared" si="0"/>
        <v>0</v>
      </c>
      <c r="AJ14" s="166">
        <f t="shared" si="1"/>
        <v>0</v>
      </c>
      <c r="AK14" s="166"/>
      <c r="AL14" s="230" t="e">
        <f>IF($A14="","",IF(VLOOKUP($A14,'İşçi Bilgileri'!$A$2:$J$700,9,FALSE)=0,"",VLOOKUP($A14,'İşçi Bilgileri'!$A$2:$J$700,9,FALSE)))</f>
        <v>#N/A</v>
      </c>
      <c r="AM14" s="172" t="e">
        <f>IF($A14="","",IF(VLOOKUP($A14,'İşçi Bilgileri'!$A$2:$J$700,10,FALSE)=0,"",VLOOKUP($A14,'İşçi Bilgileri'!$A$2:$J$700,10,FALSE)))</f>
        <v>#N/A</v>
      </c>
    </row>
    <row r="15" spans="1:39" x14ac:dyDescent="0.2">
      <c r="A15" s="170">
        <v>7</v>
      </c>
      <c r="B15" s="147" t="e">
        <f>CONCATENATE(IF($A15="","",VLOOKUP($A15,'İşçi Bilgileri'!$A$2:$D$700,2,FALSE))," ",IF($A15="","",VLOOKUP($A15,'İşçi Bilgileri'!$A$2:$D$700,3,FALSE)))</f>
        <v>#N/A</v>
      </c>
      <c r="C15" s="171" t="e">
        <f>IF($A15="","",VLOOKUP($A15,'İşçi Bilgileri'!$A$2:$D$700,4,FALSE))</f>
        <v>#N/A</v>
      </c>
      <c r="D15" s="298"/>
      <c r="E15" s="298"/>
      <c r="F15" s="298"/>
      <c r="G15" s="298"/>
      <c r="H15" s="298"/>
      <c r="I15" s="298"/>
      <c r="J15" s="298"/>
      <c r="K15" s="298"/>
      <c r="L15" s="298"/>
      <c r="M15" s="298"/>
      <c r="N15" s="298"/>
      <c r="O15" s="298"/>
      <c r="P15" s="298"/>
      <c r="Q15" s="298"/>
      <c r="R15" s="298"/>
      <c r="S15" s="298"/>
      <c r="T15" s="298"/>
      <c r="U15" s="298"/>
      <c r="V15" s="298"/>
      <c r="W15" s="298"/>
      <c r="X15" s="298"/>
      <c r="Y15" s="298"/>
      <c r="Z15" s="298"/>
      <c r="AA15" s="298"/>
      <c r="AB15" s="298"/>
      <c r="AC15" s="298"/>
      <c r="AD15" s="298"/>
      <c r="AE15" s="298"/>
      <c r="AF15" s="298"/>
      <c r="AG15" s="298"/>
      <c r="AH15" s="298"/>
      <c r="AI15" s="166">
        <f t="shared" si="0"/>
        <v>0</v>
      </c>
      <c r="AJ15" s="166">
        <f t="shared" si="1"/>
        <v>0</v>
      </c>
      <c r="AK15" s="166"/>
      <c r="AL15" s="230" t="e">
        <f>IF($A15="","",IF(VLOOKUP($A15,'İşçi Bilgileri'!$A$2:$J$700,9,FALSE)=0,"",VLOOKUP($A15,'İşçi Bilgileri'!$A$2:$J$700,9,FALSE)))</f>
        <v>#N/A</v>
      </c>
      <c r="AM15" s="172" t="e">
        <f>IF($A15="","",IF(VLOOKUP($A15,'İşçi Bilgileri'!$A$2:$J$700,10,FALSE)=0,"",VLOOKUP($A15,'İşçi Bilgileri'!$A$2:$J$700,10,FALSE)))</f>
        <v>#N/A</v>
      </c>
    </row>
    <row r="16" spans="1:39" x14ac:dyDescent="0.2">
      <c r="A16" s="170">
        <v>8</v>
      </c>
      <c r="B16" s="147" t="e">
        <f>CONCATENATE(IF($A16="","",VLOOKUP($A16,'İşçi Bilgileri'!$A$2:$D$700,2,FALSE))," ",IF($A16="","",VLOOKUP($A16,'İşçi Bilgileri'!$A$2:$D$700,3,FALSE)))</f>
        <v>#N/A</v>
      </c>
      <c r="C16" s="171" t="e">
        <f>IF($A16="","",VLOOKUP($A16,'İşçi Bilgileri'!$A$2:$D$700,4,FALSE))</f>
        <v>#N/A</v>
      </c>
      <c r="D16" s="298"/>
      <c r="E16" s="298"/>
      <c r="F16" s="298"/>
      <c r="G16" s="298"/>
      <c r="H16" s="298"/>
      <c r="I16" s="298"/>
      <c r="J16" s="298"/>
      <c r="K16" s="298"/>
      <c r="L16" s="298"/>
      <c r="M16" s="298"/>
      <c r="N16" s="298"/>
      <c r="O16" s="298"/>
      <c r="P16" s="298"/>
      <c r="Q16" s="298"/>
      <c r="R16" s="298"/>
      <c r="S16" s="298"/>
      <c r="T16" s="298"/>
      <c r="U16" s="298"/>
      <c r="V16" s="298"/>
      <c r="W16" s="298"/>
      <c r="X16" s="298"/>
      <c r="Y16" s="298"/>
      <c r="Z16" s="298"/>
      <c r="AA16" s="298"/>
      <c r="AB16" s="298"/>
      <c r="AC16" s="298"/>
      <c r="AD16" s="298"/>
      <c r="AE16" s="298"/>
      <c r="AF16" s="298"/>
      <c r="AG16" s="298"/>
      <c r="AH16" s="298"/>
      <c r="AI16" s="166">
        <f t="shared" si="0"/>
        <v>0</v>
      </c>
      <c r="AJ16" s="166">
        <f t="shared" si="1"/>
        <v>0</v>
      </c>
      <c r="AK16" s="166"/>
      <c r="AL16" s="230" t="e">
        <f>IF($A16="","",IF(VLOOKUP($A16,'İşçi Bilgileri'!$A$2:$J$700,9,FALSE)=0,"",VLOOKUP($A16,'İşçi Bilgileri'!$A$2:$J$700,9,FALSE)))</f>
        <v>#N/A</v>
      </c>
      <c r="AM16" s="172" t="e">
        <f>IF($A16="","",IF(VLOOKUP($A16,'İşçi Bilgileri'!$A$2:$J$700,10,FALSE)=0,"",VLOOKUP($A16,'İşçi Bilgileri'!$A$2:$J$700,10,FALSE)))</f>
        <v>#N/A</v>
      </c>
    </row>
    <row r="17" spans="1:39" x14ac:dyDescent="0.2">
      <c r="A17" s="170">
        <v>9</v>
      </c>
      <c r="B17" s="147" t="e">
        <f>CONCATENATE(IF($A17="","",VLOOKUP($A17,'İşçi Bilgileri'!$A$2:$D$700,2,FALSE))," ",IF($A17="","",VLOOKUP($A17,'İşçi Bilgileri'!$A$2:$D$700,3,FALSE)))</f>
        <v>#N/A</v>
      </c>
      <c r="C17" s="171" t="e">
        <f>IF($A17="","",VLOOKUP($A17,'İşçi Bilgileri'!$A$2:$D$700,4,FALSE))</f>
        <v>#N/A</v>
      </c>
      <c r="D17" s="298"/>
      <c r="E17" s="298"/>
      <c r="F17" s="298"/>
      <c r="G17" s="298"/>
      <c r="H17" s="298"/>
      <c r="I17" s="298"/>
      <c r="J17" s="298"/>
      <c r="K17" s="298"/>
      <c r="L17" s="298"/>
      <c r="M17" s="298"/>
      <c r="N17" s="298"/>
      <c r="O17" s="298"/>
      <c r="P17" s="298"/>
      <c r="Q17" s="298"/>
      <c r="R17" s="298"/>
      <c r="S17" s="298"/>
      <c r="T17" s="298"/>
      <c r="U17" s="298"/>
      <c r="V17" s="298"/>
      <c r="W17" s="298"/>
      <c r="X17" s="298"/>
      <c r="Y17" s="298"/>
      <c r="Z17" s="298"/>
      <c r="AA17" s="298"/>
      <c r="AB17" s="298"/>
      <c r="AC17" s="298"/>
      <c r="AD17" s="298"/>
      <c r="AE17" s="298"/>
      <c r="AF17" s="298"/>
      <c r="AG17" s="298"/>
      <c r="AH17" s="298"/>
      <c r="AI17" s="166">
        <f t="shared" si="0"/>
        <v>0</v>
      </c>
      <c r="AJ17" s="166">
        <f t="shared" si="1"/>
        <v>0</v>
      </c>
      <c r="AK17" s="166"/>
      <c r="AL17" s="230" t="e">
        <f>IF($A17="","",IF(VLOOKUP($A17,'İşçi Bilgileri'!$A$2:$J$700,9,FALSE)=0,"",VLOOKUP($A17,'İşçi Bilgileri'!$A$2:$J$700,9,FALSE)))</f>
        <v>#N/A</v>
      </c>
      <c r="AM17" s="172" t="e">
        <f>IF($A17="","",IF(VLOOKUP($A17,'İşçi Bilgileri'!$A$2:$J$700,10,FALSE)=0,"",VLOOKUP($A17,'İşçi Bilgileri'!$A$2:$J$700,10,FALSE)))</f>
        <v>#N/A</v>
      </c>
    </row>
    <row r="18" spans="1:39" x14ac:dyDescent="0.2">
      <c r="A18" s="170">
        <v>10</v>
      </c>
      <c r="B18" s="147" t="e">
        <f>CONCATENATE(IF($A18="","",VLOOKUP($A18,'İşçi Bilgileri'!$A$2:$D$700,2,FALSE))," ",IF($A18="","",VLOOKUP($A18,'İşçi Bilgileri'!$A$2:$D$700,3,FALSE)))</f>
        <v>#N/A</v>
      </c>
      <c r="C18" s="171" t="e">
        <f>IF($A18="","",VLOOKUP($A18,'İşçi Bilgileri'!$A$2:$D$700,4,FALSE))</f>
        <v>#N/A</v>
      </c>
      <c r="D18" s="298"/>
      <c r="E18" s="298"/>
      <c r="F18" s="298"/>
      <c r="G18" s="298"/>
      <c r="H18" s="298"/>
      <c r="I18" s="298"/>
      <c r="J18" s="298"/>
      <c r="K18" s="298"/>
      <c r="L18" s="298"/>
      <c r="M18" s="298"/>
      <c r="N18" s="298"/>
      <c r="O18" s="298"/>
      <c r="P18" s="298"/>
      <c r="Q18" s="298"/>
      <c r="R18" s="298"/>
      <c r="S18" s="298"/>
      <c r="T18" s="298"/>
      <c r="U18" s="298"/>
      <c r="V18" s="298"/>
      <c r="W18" s="298"/>
      <c r="X18" s="298"/>
      <c r="Y18" s="298"/>
      <c r="Z18" s="298"/>
      <c r="AA18" s="298"/>
      <c r="AB18" s="298"/>
      <c r="AC18" s="298"/>
      <c r="AD18" s="298"/>
      <c r="AE18" s="298"/>
      <c r="AF18" s="298"/>
      <c r="AG18" s="298"/>
      <c r="AH18" s="298"/>
      <c r="AI18" s="166">
        <f t="shared" si="0"/>
        <v>0</v>
      </c>
      <c r="AJ18" s="166">
        <f t="shared" si="1"/>
        <v>0</v>
      </c>
      <c r="AK18" s="166"/>
      <c r="AL18" s="230" t="e">
        <f>IF($A18="","",IF(VLOOKUP($A18,'İşçi Bilgileri'!$A$2:$J$700,9,FALSE)=0,"",VLOOKUP($A18,'İşçi Bilgileri'!$A$2:$J$700,9,FALSE)))</f>
        <v>#N/A</v>
      </c>
      <c r="AM18" s="172" t="e">
        <f>IF($A18="","",IF(VLOOKUP($A18,'İşçi Bilgileri'!$A$2:$J$700,10,FALSE)=0,"",VLOOKUP($A18,'İşçi Bilgileri'!$A$2:$J$700,10,FALSE)))</f>
        <v>#N/A</v>
      </c>
    </row>
    <row r="19" spans="1:39" x14ac:dyDescent="0.2">
      <c r="A19" s="170">
        <v>11</v>
      </c>
      <c r="B19" s="147" t="e">
        <f>CONCATENATE(IF($A19="","",VLOOKUP($A19,'İşçi Bilgileri'!$A$2:$D$700,2,FALSE))," ",IF($A19="","",VLOOKUP($A19,'İşçi Bilgileri'!$A$2:$D$700,3,FALSE)))</f>
        <v>#N/A</v>
      </c>
      <c r="C19" s="171" t="e">
        <f>IF($A19="","",VLOOKUP($A19,'İşçi Bilgileri'!$A$2:$D$700,4,FALSE))</f>
        <v>#N/A</v>
      </c>
      <c r="D19" s="298"/>
      <c r="E19" s="298"/>
      <c r="F19" s="298"/>
      <c r="G19" s="298"/>
      <c r="H19" s="298"/>
      <c r="I19" s="298"/>
      <c r="J19" s="298"/>
      <c r="K19" s="298"/>
      <c r="L19" s="298"/>
      <c r="M19" s="298"/>
      <c r="N19" s="298"/>
      <c r="O19" s="298"/>
      <c r="P19" s="298"/>
      <c r="Q19" s="298"/>
      <c r="R19" s="298"/>
      <c r="S19" s="298"/>
      <c r="T19" s="298"/>
      <c r="U19" s="298"/>
      <c r="V19" s="298"/>
      <c r="W19" s="298"/>
      <c r="X19" s="298"/>
      <c r="Y19" s="298"/>
      <c r="Z19" s="298"/>
      <c r="AA19" s="298"/>
      <c r="AB19" s="298"/>
      <c r="AC19" s="298"/>
      <c r="AD19" s="298"/>
      <c r="AE19" s="298"/>
      <c r="AF19" s="298"/>
      <c r="AG19" s="298"/>
      <c r="AH19" s="298"/>
      <c r="AI19" s="166">
        <f t="shared" si="0"/>
        <v>0</v>
      </c>
      <c r="AJ19" s="166">
        <f t="shared" si="1"/>
        <v>0</v>
      </c>
      <c r="AK19" s="166"/>
      <c r="AL19" s="230" t="e">
        <f>IF($A19="","",IF(VLOOKUP($A19,'İşçi Bilgileri'!$A$2:$J$700,9,FALSE)=0,"",VLOOKUP($A19,'İşçi Bilgileri'!$A$2:$J$700,9,FALSE)))</f>
        <v>#N/A</v>
      </c>
      <c r="AM19" s="172" t="e">
        <f>IF($A19="","",IF(VLOOKUP($A19,'İşçi Bilgileri'!$A$2:$J$700,10,FALSE)=0,"",VLOOKUP($A19,'İşçi Bilgileri'!$A$2:$J$700,10,FALSE)))</f>
        <v>#N/A</v>
      </c>
    </row>
    <row r="20" spans="1:39" x14ac:dyDescent="0.2">
      <c r="A20" s="170">
        <v>12</v>
      </c>
      <c r="B20" s="147" t="e">
        <f>CONCATENATE(IF($A20="","",VLOOKUP($A20,'İşçi Bilgileri'!$A$2:$D$700,2,FALSE))," ",IF($A20="","",VLOOKUP($A20,'İşçi Bilgileri'!$A$2:$D$700,3,FALSE)))</f>
        <v>#N/A</v>
      </c>
      <c r="C20" s="171" t="e">
        <f>IF($A20="","",VLOOKUP($A20,'İşçi Bilgileri'!$A$2:$D$700,4,FALSE))</f>
        <v>#N/A</v>
      </c>
      <c r="D20" s="298"/>
      <c r="E20" s="298"/>
      <c r="F20" s="298"/>
      <c r="G20" s="298"/>
      <c r="H20" s="298"/>
      <c r="I20" s="298"/>
      <c r="J20" s="298"/>
      <c r="K20" s="298"/>
      <c r="L20" s="298"/>
      <c r="M20" s="298"/>
      <c r="N20" s="298"/>
      <c r="O20" s="298"/>
      <c r="P20" s="298"/>
      <c r="Q20" s="298"/>
      <c r="R20" s="298"/>
      <c r="S20" s="298"/>
      <c r="T20" s="298"/>
      <c r="U20" s="298"/>
      <c r="V20" s="298"/>
      <c r="W20" s="298"/>
      <c r="X20" s="298"/>
      <c r="Y20" s="298"/>
      <c r="Z20" s="298"/>
      <c r="AA20" s="298"/>
      <c r="AB20" s="298"/>
      <c r="AC20" s="298"/>
      <c r="AD20" s="298"/>
      <c r="AE20" s="298"/>
      <c r="AF20" s="298"/>
      <c r="AG20" s="298"/>
      <c r="AH20" s="298"/>
      <c r="AI20" s="166">
        <f t="shared" si="0"/>
        <v>0</v>
      </c>
      <c r="AJ20" s="166">
        <f t="shared" si="1"/>
        <v>0</v>
      </c>
      <c r="AK20" s="166"/>
      <c r="AL20" s="230" t="e">
        <f>IF($A20="","",IF(VLOOKUP($A20,'İşçi Bilgileri'!$A$2:$J$700,9,FALSE)=0,"",VLOOKUP($A20,'İşçi Bilgileri'!$A$2:$J$700,9,FALSE)))</f>
        <v>#N/A</v>
      </c>
      <c r="AM20" s="172" t="e">
        <f>IF($A20="","",IF(VLOOKUP($A20,'İşçi Bilgileri'!$A$2:$J$700,10,FALSE)=0,"",VLOOKUP($A20,'İşçi Bilgileri'!$A$2:$J$700,10,FALSE)))</f>
        <v>#N/A</v>
      </c>
    </row>
    <row r="21" spans="1:39" x14ac:dyDescent="0.2">
      <c r="A21" s="170">
        <v>13</v>
      </c>
      <c r="B21" s="147" t="e">
        <f>CONCATENATE(IF($A21="","",VLOOKUP($A21,'İşçi Bilgileri'!$A$2:$D$700,2,FALSE))," ",IF($A21="","",VLOOKUP($A21,'İşçi Bilgileri'!$A$2:$D$700,3,FALSE)))</f>
        <v>#N/A</v>
      </c>
      <c r="C21" s="171" t="e">
        <f>IF($A21="","",VLOOKUP($A21,'İşçi Bilgileri'!$A$2:$D$700,4,FALSE))</f>
        <v>#N/A</v>
      </c>
      <c r="D21" s="298"/>
      <c r="E21" s="298"/>
      <c r="F21" s="298"/>
      <c r="G21" s="298"/>
      <c r="H21" s="298"/>
      <c r="I21" s="298"/>
      <c r="J21" s="298"/>
      <c r="K21" s="298"/>
      <c r="L21" s="298"/>
      <c r="M21" s="298"/>
      <c r="N21" s="298"/>
      <c r="O21" s="298"/>
      <c r="P21" s="298"/>
      <c r="Q21" s="298"/>
      <c r="R21" s="298"/>
      <c r="S21" s="298"/>
      <c r="T21" s="298"/>
      <c r="U21" s="298"/>
      <c r="V21" s="298"/>
      <c r="W21" s="298"/>
      <c r="X21" s="298"/>
      <c r="Y21" s="298"/>
      <c r="Z21" s="298"/>
      <c r="AA21" s="298"/>
      <c r="AB21" s="298"/>
      <c r="AC21" s="298"/>
      <c r="AD21" s="298"/>
      <c r="AE21" s="298"/>
      <c r="AF21" s="298"/>
      <c r="AG21" s="298"/>
      <c r="AH21" s="298"/>
      <c r="AI21" s="166">
        <f t="shared" si="0"/>
        <v>0</v>
      </c>
      <c r="AJ21" s="166">
        <f t="shared" si="1"/>
        <v>0</v>
      </c>
      <c r="AK21" s="166"/>
      <c r="AL21" s="230" t="e">
        <f>IF($A21="","",IF(VLOOKUP($A21,'İşçi Bilgileri'!$A$2:$J$700,9,FALSE)=0,"",VLOOKUP($A21,'İşçi Bilgileri'!$A$2:$J$700,9,FALSE)))</f>
        <v>#N/A</v>
      </c>
      <c r="AM21" s="172" t="e">
        <f>IF($A21="","",IF(VLOOKUP($A21,'İşçi Bilgileri'!$A$2:$J$700,10,FALSE)=0,"",VLOOKUP($A21,'İşçi Bilgileri'!$A$2:$J$700,10,FALSE)))</f>
        <v>#N/A</v>
      </c>
    </row>
    <row r="22" spans="1:39" x14ac:dyDescent="0.2">
      <c r="A22" s="170">
        <v>14</v>
      </c>
      <c r="B22" s="147" t="e">
        <f>CONCATENATE(IF($A22="","",VLOOKUP($A22,'İşçi Bilgileri'!$A$2:$D$700,2,FALSE))," ",IF($A22="","",VLOOKUP($A22,'İşçi Bilgileri'!$A$2:$D$700,3,FALSE)))</f>
        <v>#N/A</v>
      </c>
      <c r="C22" s="171" t="e">
        <f>IF($A22="","",VLOOKUP($A22,'İşçi Bilgileri'!$A$2:$D$700,4,FALSE))</f>
        <v>#N/A</v>
      </c>
      <c r="D22" s="298"/>
      <c r="E22" s="298"/>
      <c r="F22" s="298"/>
      <c r="G22" s="298"/>
      <c r="H22" s="298"/>
      <c r="I22" s="298"/>
      <c r="J22" s="298"/>
      <c r="K22" s="298"/>
      <c r="L22" s="298"/>
      <c r="M22" s="298"/>
      <c r="N22" s="298"/>
      <c r="O22" s="298"/>
      <c r="P22" s="298"/>
      <c r="Q22" s="298"/>
      <c r="R22" s="298"/>
      <c r="S22" s="298"/>
      <c r="T22" s="298"/>
      <c r="U22" s="298"/>
      <c r="V22" s="298"/>
      <c r="W22" s="298"/>
      <c r="X22" s="298"/>
      <c r="Y22" s="298"/>
      <c r="Z22" s="298"/>
      <c r="AA22" s="298"/>
      <c r="AB22" s="298"/>
      <c r="AC22" s="298"/>
      <c r="AD22" s="298"/>
      <c r="AE22" s="298"/>
      <c r="AF22" s="298"/>
      <c r="AG22" s="298"/>
      <c r="AH22" s="298"/>
      <c r="AI22" s="166">
        <f t="shared" si="0"/>
        <v>0</v>
      </c>
      <c r="AJ22" s="166">
        <f t="shared" si="1"/>
        <v>0</v>
      </c>
      <c r="AK22" s="166"/>
      <c r="AL22" s="230" t="e">
        <f>IF($A22="","",IF(VLOOKUP($A22,'İşçi Bilgileri'!$A$2:$J$700,9,FALSE)=0,"",VLOOKUP($A22,'İşçi Bilgileri'!$A$2:$J$700,9,FALSE)))</f>
        <v>#N/A</v>
      </c>
      <c r="AM22" s="172" t="e">
        <f>IF($A22="","",IF(VLOOKUP($A22,'İşçi Bilgileri'!$A$2:$J$700,10,FALSE)=0,"",VLOOKUP($A22,'İşçi Bilgileri'!$A$2:$J$700,10,FALSE)))</f>
        <v>#N/A</v>
      </c>
    </row>
    <row r="23" spans="1:39" x14ac:dyDescent="0.2">
      <c r="A23" s="170">
        <v>15</v>
      </c>
      <c r="B23" s="147" t="e">
        <f>CONCATENATE(IF($A23="","",VLOOKUP($A23,'İşçi Bilgileri'!$A$2:$D$700,2,FALSE))," ",IF($A23="","",VLOOKUP($A23,'İşçi Bilgileri'!$A$2:$D$700,3,FALSE)))</f>
        <v>#N/A</v>
      </c>
      <c r="C23" s="171" t="e">
        <f>IF($A23="","",VLOOKUP($A23,'İşçi Bilgileri'!$A$2:$D$700,4,FALSE))</f>
        <v>#N/A</v>
      </c>
      <c r="D23" s="298"/>
      <c r="E23" s="298"/>
      <c r="F23" s="298"/>
      <c r="G23" s="298"/>
      <c r="H23" s="298"/>
      <c r="I23" s="298"/>
      <c r="J23" s="298"/>
      <c r="K23" s="298"/>
      <c r="L23" s="298"/>
      <c r="M23" s="298"/>
      <c r="N23" s="298"/>
      <c r="O23" s="298"/>
      <c r="P23" s="298"/>
      <c r="Q23" s="298"/>
      <c r="R23" s="298"/>
      <c r="S23" s="298"/>
      <c r="T23" s="298"/>
      <c r="U23" s="298"/>
      <c r="V23" s="298"/>
      <c r="W23" s="298"/>
      <c r="X23" s="298"/>
      <c r="Y23" s="298"/>
      <c r="Z23" s="298"/>
      <c r="AA23" s="298"/>
      <c r="AB23" s="298"/>
      <c r="AC23" s="298"/>
      <c r="AD23" s="298"/>
      <c r="AE23" s="298"/>
      <c r="AF23" s="298"/>
      <c r="AG23" s="298"/>
      <c r="AH23" s="298"/>
      <c r="AI23" s="166">
        <f t="shared" si="0"/>
        <v>0</v>
      </c>
      <c r="AJ23" s="166">
        <f t="shared" si="1"/>
        <v>0</v>
      </c>
      <c r="AK23" s="166"/>
      <c r="AL23" s="230" t="e">
        <f>IF($A23="","",IF(VLOOKUP($A23,'İşçi Bilgileri'!$A$2:$J$700,9,FALSE)=0,"",VLOOKUP($A23,'İşçi Bilgileri'!$A$2:$J$700,9,FALSE)))</f>
        <v>#N/A</v>
      </c>
      <c r="AM23" s="172" t="e">
        <f>IF($A23="","",IF(VLOOKUP($A23,'İşçi Bilgileri'!$A$2:$J$700,10,FALSE)=0,"",VLOOKUP($A23,'İşçi Bilgileri'!$A$2:$J$700,10,FALSE)))</f>
        <v>#N/A</v>
      </c>
    </row>
    <row r="24" spans="1:39" x14ac:dyDescent="0.2">
      <c r="A24" s="170">
        <v>16</v>
      </c>
      <c r="B24" s="147" t="e">
        <f>CONCATENATE(IF($A24="","",VLOOKUP($A24,'İşçi Bilgileri'!$A$2:$D$700,2,FALSE))," ",IF($A24="","",VLOOKUP($A24,'İşçi Bilgileri'!$A$2:$D$700,3,FALSE)))</f>
        <v>#N/A</v>
      </c>
      <c r="C24" s="171" t="e">
        <f>IF($A24="","",VLOOKUP($A24,'İşçi Bilgileri'!$A$2:$D$700,4,FALSE))</f>
        <v>#N/A</v>
      </c>
      <c r="D24" s="298"/>
      <c r="E24" s="298"/>
      <c r="F24" s="298"/>
      <c r="G24" s="298"/>
      <c r="H24" s="298"/>
      <c r="I24" s="298"/>
      <c r="J24" s="298"/>
      <c r="K24" s="298"/>
      <c r="L24" s="298"/>
      <c r="M24" s="298"/>
      <c r="N24" s="298"/>
      <c r="O24" s="298"/>
      <c r="P24" s="298"/>
      <c r="Q24" s="298"/>
      <c r="R24" s="298"/>
      <c r="S24" s="298"/>
      <c r="T24" s="298"/>
      <c r="U24" s="298"/>
      <c r="V24" s="298"/>
      <c r="W24" s="298"/>
      <c r="X24" s="298"/>
      <c r="Y24" s="298"/>
      <c r="Z24" s="298"/>
      <c r="AA24" s="298"/>
      <c r="AB24" s="298"/>
      <c r="AC24" s="298"/>
      <c r="AD24" s="298"/>
      <c r="AE24" s="298"/>
      <c r="AF24" s="298"/>
      <c r="AG24" s="298"/>
      <c r="AH24" s="298"/>
      <c r="AI24" s="166">
        <f t="shared" si="0"/>
        <v>0</v>
      </c>
      <c r="AJ24" s="166">
        <f t="shared" si="1"/>
        <v>0</v>
      </c>
      <c r="AK24" s="166"/>
      <c r="AL24" s="230" t="e">
        <f>IF($A24="","",IF(VLOOKUP($A24,'İşçi Bilgileri'!$A$2:$J$700,9,FALSE)=0,"",VLOOKUP($A24,'İşçi Bilgileri'!$A$2:$J$700,9,FALSE)))</f>
        <v>#N/A</v>
      </c>
      <c r="AM24" s="172" t="e">
        <f>IF($A24="","",IF(VLOOKUP($A24,'İşçi Bilgileri'!$A$2:$J$700,10,FALSE)=0,"",VLOOKUP($A24,'İşçi Bilgileri'!$A$2:$J$700,10,FALSE)))</f>
        <v>#N/A</v>
      </c>
    </row>
    <row r="25" spans="1:39" x14ac:dyDescent="0.2">
      <c r="A25" s="170">
        <v>17</v>
      </c>
      <c r="B25" s="147" t="e">
        <f>CONCATENATE(IF($A25="","",VLOOKUP($A25,'İşçi Bilgileri'!$A$2:$D$700,2,FALSE))," ",IF($A25="","",VLOOKUP($A25,'İşçi Bilgileri'!$A$2:$D$700,3,FALSE)))</f>
        <v>#N/A</v>
      </c>
      <c r="C25" s="171" t="e">
        <f>IF($A25="","",VLOOKUP($A25,'İşçi Bilgileri'!$A$2:$D$700,4,FALSE))</f>
        <v>#N/A</v>
      </c>
      <c r="D25" s="298"/>
      <c r="E25" s="298"/>
      <c r="F25" s="298"/>
      <c r="G25" s="298"/>
      <c r="H25" s="298"/>
      <c r="I25" s="298"/>
      <c r="J25" s="298"/>
      <c r="K25" s="298"/>
      <c r="L25" s="298"/>
      <c r="M25" s="298"/>
      <c r="N25" s="298"/>
      <c r="O25" s="298"/>
      <c r="P25" s="298"/>
      <c r="Q25" s="298"/>
      <c r="R25" s="298"/>
      <c r="S25" s="298"/>
      <c r="T25" s="298"/>
      <c r="U25" s="298"/>
      <c r="V25" s="298"/>
      <c r="W25" s="298"/>
      <c r="X25" s="298"/>
      <c r="Y25" s="298"/>
      <c r="Z25" s="298"/>
      <c r="AA25" s="298"/>
      <c r="AB25" s="298"/>
      <c r="AC25" s="298"/>
      <c r="AD25" s="298"/>
      <c r="AE25" s="298"/>
      <c r="AF25" s="298"/>
      <c r="AG25" s="298"/>
      <c r="AH25" s="298"/>
      <c r="AI25" s="166">
        <f t="shared" si="0"/>
        <v>0</v>
      </c>
      <c r="AJ25" s="166">
        <f t="shared" si="1"/>
        <v>0</v>
      </c>
      <c r="AK25" s="166"/>
      <c r="AL25" s="230" t="e">
        <f>IF($A25="","",IF(VLOOKUP($A25,'İşçi Bilgileri'!$A$2:$J$700,9,FALSE)=0,"",VLOOKUP($A25,'İşçi Bilgileri'!$A$2:$J$700,9,FALSE)))</f>
        <v>#N/A</v>
      </c>
      <c r="AM25" s="172" t="e">
        <f>IF($A25="","",IF(VLOOKUP($A25,'İşçi Bilgileri'!$A$2:$J$700,10,FALSE)=0,"",VLOOKUP($A25,'İşçi Bilgileri'!$A$2:$J$700,10,FALSE)))</f>
        <v>#N/A</v>
      </c>
    </row>
    <row r="26" spans="1:39" x14ac:dyDescent="0.2">
      <c r="A26" s="170">
        <v>18</v>
      </c>
      <c r="B26" s="147" t="e">
        <f>CONCATENATE(IF($A26="","",VLOOKUP($A26,'İşçi Bilgileri'!$A$2:$D$700,2,FALSE))," ",IF($A26="","",VLOOKUP($A26,'İşçi Bilgileri'!$A$2:$D$700,3,FALSE)))</f>
        <v>#N/A</v>
      </c>
      <c r="C26" s="171" t="e">
        <f>IF($A26="","",VLOOKUP($A26,'İşçi Bilgileri'!$A$2:$D$700,4,FALSE))</f>
        <v>#N/A</v>
      </c>
      <c r="D26" s="298"/>
      <c r="E26" s="298"/>
      <c r="F26" s="298"/>
      <c r="G26" s="298"/>
      <c r="H26" s="298"/>
      <c r="I26" s="298"/>
      <c r="J26" s="298"/>
      <c r="K26" s="298"/>
      <c r="L26" s="298"/>
      <c r="M26" s="298"/>
      <c r="N26" s="298"/>
      <c r="O26" s="298"/>
      <c r="P26" s="298"/>
      <c r="Q26" s="298"/>
      <c r="R26" s="298"/>
      <c r="S26" s="298"/>
      <c r="T26" s="298"/>
      <c r="U26" s="298"/>
      <c r="V26" s="298"/>
      <c r="W26" s="298"/>
      <c r="X26" s="298"/>
      <c r="Y26" s="298"/>
      <c r="Z26" s="298"/>
      <c r="AA26" s="298"/>
      <c r="AB26" s="298"/>
      <c r="AC26" s="298"/>
      <c r="AD26" s="298"/>
      <c r="AE26" s="298"/>
      <c r="AF26" s="298"/>
      <c r="AG26" s="298"/>
      <c r="AH26" s="298"/>
      <c r="AI26" s="166">
        <f t="shared" si="0"/>
        <v>0</v>
      </c>
      <c r="AJ26" s="166">
        <f t="shared" si="1"/>
        <v>0</v>
      </c>
      <c r="AK26" s="166"/>
      <c r="AL26" s="230" t="e">
        <f>IF($A26="","",IF(VLOOKUP($A26,'İşçi Bilgileri'!$A$2:$J$700,9,FALSE)=0,"",VLOOKUP($A26,'İşçi Bilgileri'!$A$2:$J$700,9,FALSE)))</f>
        <v>#N/A</v>
      </c>
      <c r="AM26" s="172" t="e">
        <f>IF($A26="","",IF(VLOOKUP($A26,'İşçi Bilgileri'!$A$2:$J$700,10,FALSE)=0,"",VLOOKUP($A26,'İşçi Bilgileri'!$A$2:$J$700,10,FALSE)))</f>
        <v>#N/A</v>
      </c>
    </row>
    <row r="27" spans="1:39" x14ac:dyDescent="0.2">
      <c r="A27" s="170">
        <v>19</v>
      </c>
      <c r="B27" s="147" t="e">
        <f>CONCATENATE(IF($A27="","",VLOOKUP($A27,'İşçi Bilgileri'!$A$2:$D$700,2,FALSE))," ",IF($A27="","",VLOOKUP($A27,'İşçi Bilgileri'!$A$2:$D$700,3,FALSE)))</f>
        <v>#N/A</v>
      </c>
      <c r="C27" s="171" t="e">
        <f>IF($A27="","",VLOOKUP($A27,'İşçi Bilgileri'!$A$2:$D$700,4,FALSE))</f>
        <v>#N/A</v>
      </c>
      <c r="D27" s="298"/>
      <c r="E27" s="298"/>
      <c r="F27" s="298"/>
      <c r="G27" s="298"/>
      <c r="H27" s="298"/>
      <c r="I27" s="298"/>
      <c r="J27" s="298"/>
      <c r="K27" s="298"/>
      <c r="L27" s="298"/>
      <c r="M27" s="298"/>
      <c r="N27" s="298"/>
      <c r="O27" s="298"/>
      <c r="P27" s="298"/>
      <c r="Q27" s="298"/>
      <c r="R27" s="298"/>
      <c r="S27" s="298"/>
      <c r="T27" s="298"/>
      <c r="U27" s="298"/>
      <c r="V27" s="298"/>
      <c r="W27" s="298"/>
      <c r="X27" s="298"/>
      <c r="Y27" s="298"/>
      <c r="Z27" s="298"/>
      <c r="AA27" s="298"/>
      <c r="AB27" s="298"/>
      <c r="AC27" s="298"/>
      <c r="AD27" s="298"/>
      <c r="AE27" s="298"/>
      <c r="AF27" s="298"/>
      <c r="AG27" s="298"/>
      <c r="AH27" s="298"/>
      <c r="AI27" s="166">
        <f t="shared" si="0"/>
        <v>0</v>
      </c>
      <c r="AJ27" s="166">
        <f t="shared" si="1"/>
        <v>0</v>
      </c>
      <c r="AK27" s="166"/>
      <c r="AL27" s="230" t="e">
        <f>IF($A27="","",IF(VLOOKUP($A27,'İşçi Bilgileri'!$A$2:$J$700,9,FALSE)=0,"",VLOOKUP($A27,'İşçi Bilgileri'!$A$2:$J$700,9,FALSE)))</f>
        <v>#N/A</v>
      </c>
      <c r="AM27" s="172" t="e">
        <f>IF($A27="","",IF(VLOOKUP($A27,'İşçi Bilgileri'!$A$2:$J$700,10,FALSE)=0,"",VLOOKUP($A27,'İşçi Bilgileri'!$A$2:$J$700,10,FALSE)))</f>
        <v>#N/A</v>
      </c>
    </row>
    <row r="28" spans="1:39" x14ac:dyDescent="0.2">
      <c r="A28" s="170">
        <v>20</v>
      </c>
      <c r="B28" s="147" t="e">
        <f>CONCATENATE(IF($A28="","",VLOOKUP($A28,'İşçi Bilgileri'!$A$2:$D$700,2,FALSE))," ",IF($A28="","",VLOOKUP($A28,'İşçi Bilgileri'!$A$2:$D$700,3,FALSE)))</f>
        <v>#N/A</v>
      </c>
      <c r="C28" s="171" t="e">
        <f>IF($A28="","",VLOOKUP($A28,'İşçi Bilgileri'!$A$2:$D$700,4,FALSE))</f>
        <v>#N/A</v>
      </c>
      <c r="D28" s="298"/>
      <c r="E28" s="298"/>
      <c r="F28" s="298"/>
      <c r="G28" s="298"/>
      <c r="H28" s="298"/>
      <c r="I28" s="298"/>
      <c r="J28" s="298"/>
      <c r="K28" s="298"/>
      <c r="L28" s="298"/>
      <c r="M28" s="298"/>
      <c r="N28" s="298"/>
      <c r="O28" s="298"/>
      <c r="P28" s="298"/>
      <c r="Q28" s="298"/>
      <c r="R28" s="298"/>
      <c r="S28" s="298"/>
      <c r="T28" s="298"/>
      <c r="U28" s="298"/>
      <c r="V28" s="298"/>
      <c r="W28" s="298"/>
      <c r="X28" s="298"/>
      <c r="Y28" s="298"/>
      <c r="Z28" s="298"/>
      <c r="AA28" s="298"/>
      <c r="AB28" s="298"/>
      <c r="AC28" s="298"/>
      <c r="AD28" s="298"/>
      <c r="AE28" s="298"/>
      <c r="AF28" s="298"/>
      <c r="AG28" s="298"/>
      <c r="AH28" s="298"/>
      <c r="AI28" s="166">
        <f t="shared" si="0"/>
        <v>0</v>
      </c>
      <c r="AJ28" s="166">
        <f t="shared" si="1"/>
        <v>0</v>
      </c>
      <c r="AK28" s="166"/>
      <c r="AL28" s="230" t="e">
        <f>IF($A28="","",IF(VLOOKUP($A28,'İşçi Bilgileri'!$A$2:$J$700,9,FALSE)=0,"",VLOOKUP($A28,'İşçi Bilgileri'!$A$2:$J$700,9,FALSE)))</f>
        <v>#N/A</v>
      </c>
      <c r="AM28" s="172" t="e">
        <f>IF($A28="","",IF(VLOOKUP($A28,'İşçi Bilgileri'!$A$2:$J$700,10,FALSE)=0,"",VLOOKUP($A28,'İşçi Bilgileri'!$A$2:$J$700,10,FALSE)))</f>
        <v>#N/A</v>
      </c>
    </row>
    <row r="29" spans="1:39" ht="14.25" customHeight="1" x14ac:dyDescent="0.2">
      <c r="A29" s="170">
        <v>21</v>
      </c>
      <c r="B29" s="147" t="e">
        <f>CONCATENATE(IF($A29="","",VLOOKUP($A29,'İşçi Bilgileri'!$A$2:$D$700,2,FALSE))," ",IF($A29="","",VLOOKUP($A29,'İşçi Bilgileri'!$A$2:$D$700,3,FALSE)))</f>
        <v>#N/A</v>
      </c>
      <c r="C29" s="171" t="e">
        <f>IF($A29="","",VLOOKUP($A29,'İşçi Bilgileri'!$A$2:$D$700,4,FALSE))</f>
        <v>#N/A</v>
      </c>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c r="AF29" s="298"/>
      <c r="AG29" s="298"/>
      <c r="AH29" s="298"/>
      <c r="AI29" s="166">
        <f t="shared" si="0"/>
        <v>0</v>
      </c>
      <c r="AJ29" s="166">
        <f t="shared" si="1"/>
        <v>0</v>
      </c>
      <c r="AK29" s="166"/>
      <c r="AL29" s="230" t="e">
        <f>IF($A29="","",IF(VLOOKUP($A29,'İşçi Bilgileri'!$A$2:$J$700,9,FALSE)=0,"",VLOOKUP($A29,'İşçi Bilgileri'!$A$2:$J$700,9,FALSE)))</f>
        <v>#N/A</v>
      </c>
      <c r="AM29" s="172" t="e">
        <f>IF($A29="","",IF(VLOOKUP($A29,'İşçi Bilgileri'!$A$2:$J$700,10,FALSE)=0,"",VLOOKUP($A29,'İşçi Bilgileri'!$A$2:$J$700,10,FALSE)))</f>
        <v>#N/A</v>
      </c>
    </row>
    <row r="30" spans="1:39" x14ac:dyDescent="0.2">
      <c r="A30" s="170">
        <v>22</v>
      </c>
      <c r="B30" s="147" t="e">
        <f>CONCATENATE(IF($A30="","",VLOOKUP($A30,'İşçi Bilgileri'!$A$2:$D$700,2,FALSE))," ",IF($A30="","",VLOOKUP($A30,'İşçi Bilgileri'!$A$2:$D$700,3,FALSE)))</f>
        <v>#N/A</v>
      </c>
      <c r="C30" s="171" t="e">
        <f>IF($A30="","",VLOOKUP($A30,'İşçi Bilgileri'!$A$2:$D$700,4,FALSE))</f>
        <v>#N/A</v>
      </c>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c r="AF30" s="298"/>
      <c r="AG30" s="298"/>
      <c r="AH30" s="298"/>
      <c r="AI30" s="166">
        <f t="shared" si="0"/>
        <v>0</v>
      </c>
      <c r="AJ30" s="166">
        <f t="shared" si="1"/>
        <v>0</v>
      </c>
      <c r="AK30" s="166"/>
      <c r="AL30" s="230" t="e">
        <f>IF($A30="","",IF(VLOOKUP($A30,'İşçi Bilgileri'!$A$2:$J$700,9,FALSE)=0,"",VLOOKUP($A30,'İşçi Bilgileri'!$A$2:$J$700,9,FALSE)))</f>
        <v>#N/A</v>
      </c>
      <c r="AM30" s="172" t="e">
        <f>IF($A30="","",IF(VLOOKUP($A30,'İşçi Bilgileri'!$A$2:$J$700,10,FALSE)=0,"",VLOOKUP($A30,'İşçi Bilgileri'!$A$2:$J$700,10,FALSE)))</f>
        <v>#N/A</v>
      </c>
    </row>
    <row r="31" spans="1:39" x14ac:dyDescent="0.2">
      <c r="A31" s="170">
        <v>23</v>
      </c>
      <c r="B31" s="147" t="e">
        <f>CONCATENATE(IF($A31="","",VLOOKUP($A31,'İşçi Bilgileri'!$A$2:$D$700,2,FALSE))," ",IF($A31="","",VLOOKUP($A31,'İşçi Bilgileri'!$A$2:$D$700,3,FALSE)))</f>
        <v>#N/A</v>
      </c>
      <c r="C31" s="171" t="e">
        <f>IF($A31="","",VLOOKUP($A31,'İşçi Bilgileri'!$A$2:$D$700,4,FALSE))</f>
        <v>#N/A</v>
      </c>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c r="AF31" s="298"/>
      <c r="AG31" s="298"/>
      <c r="AH31" s="298"/>
      <c r="AI31" s="166">
        <f t="shared" si="0"/>
        <v>0</v>
      </c>
      <c r="AJ31" s="166">
        <f t="shared" si="1"/>
        <v>0</v>
      </c>
      <c r="AK31" s="166"/>
      <c r="AL31" s="230" t="e">
        <f>IF($A31="","",IF(VLOOKUP($A31,'İşçi Bilgileri'!$A$2:$J$700,9,FALSE)=0,"",VLOOKUP($A31,'İşçi Bilgileri'!$A$2:$J$700,9,FALSE)))</f>
        <v>#N/A</v>
      </c>
      <c r="AM31" s="172" t="e">
        <f>IF($A31="","",IF(VLOOKUP($A31,'İşçi Bilgileri'!$A$2:$J$700,10,FALSE)=0,"",VLOOKUP($A31,'İşçi Bilgileri'!$A$2:$J$700,10,FALSE)))</f>
        <v>#N/A</v>
      </c>
    </row>
    <row r="32" spans="1:39" x14ac:dyDescent="0.2">
      <c r="A32" s="170">
        <v>24</v>
      </c>
      <c r="B32" s="147" t="e">
        <f>CONCATENATE(IF($A32="","",VLOOKUP($A32,'İşçi Bilgileri'!$A$2:$D$700,2,FALSE))," ",IF($A32="","",VLOOKUP($A32,'İşçi Bilgileri'!$A$2:$D$700,3,FALSE)))</f>
        <v>#N/A</v>
      </c>
      <c r="C32" s="171" t="e">
        <f>IF($A32="","",VLOOKUP($A32,'İşçi Bilgileri'!$A$2:$D$700,4,FALSE))</f>
        <v>#N/A</v>
      </c>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c r="AF32" s="298"/>
      <c r="AG32" s="298"/>
      <c r="AH32" s="298"/>
      <c r="AI32" s="166">
        <f t="shared" si="0"/>
        <v>0</v>
      </c>
      <c r="AJ32" s="166">
        <f t="shared" si="1"/>
        <v>0</v>
      </c>
      <c r="AK32" s="166"/>
      <c r="AL32" s="230" t="e">
        <f>IF($A32="","",IF(VLOOKUP($A32,'İşçi Bilgileri'!$A$2:$J$700,9,FALSE)=0,"",VLOOKUP($A32,'İşçi Bilgileri'!$A$2:$J$700,9,FALSE)))</f>
        <v>#N/A</v>
      </c>
      <c r="AM32" s="172" t="e">
        <f>IF($A32="","",IF(VLOOKUP($A32,'İşçi Bilgileri'!$A$2:$J$700,10,FALSE)=0,"",VLOOKUP($A32,'İşçi Bilgileri'!$A$2:$J$700,10,FALSE)))</f>
        <v>#N/A</v>
      </c>
    </row>
    <row r="33" spans="1:39" x14ac:dyDescent="0.2">
      <c r="A33" s="170">
        <v>25</v>
      </c>
      <c r="B33" s="147" t="e">
        <f>CONCATENATE(IF($A33="","",VLOOKUP($A33,'İşçi Bilgileri'!$A$2:$D$700,2,FALSE))," ",IF($A33="","",VLOOKUP($A33,'İşçi Bilgileri'!$A$2:$D$700,3,FALSE)))</f>
        <v>#N/A</v>
      </c>
      <c r="C33" s="171" t="e">
        <f>IF($A33="","",VLOOKUP($A33,'İşçi Bilgileri'!$A$2:$D$700,4,FALSE))</f>
        <v>#N/A</v>
      </c>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c r="AF33" s="298"/>
      <c r="AG33" s="298"/>
      <c r="AH33" s="298"/>
      <c r="AI33" s="166">
        <f t="shared" si="0"/>
        <v>0</v>
      </c>
      <c r="AJ33" s="166">
        <f t="shared" si="1"/>
        <v>0</v>
      </c>
      <c r="AK33" s="166"/>
      <c r="AL33" s="230" t="e">
        <f>IF($A33="","",IF(VLOOKUP($A33,'İşçi Bilgileri'!$A$2:$J$700,9,FALSE)=0,"",VLOOKUP($A33,'İşçi Bilgileri'!$A$2:$J$700,9,FALSE)))</f>
        <v>#N/A</v>
      </c>
      <c r="AM33" s="172" t="e">
        <f>IF($A33="","",IF(VLOOKUP($A33,'İşçi Bilgileri'!$A$2:$J$700,10,FALSE)=0,"",VLOOKUP($A33,'İşçi Bilgileri'!$A$2:$J$700,10,FALSE)))</f>
        <v>#N/A</v>
      </c>
    </row>
    <row r="34" spans="1:39" x14ac:dyDescent="0.2">
      <c r="A34" s="170">
        <v>26</v>
      </c>
      <c r="B34" s="147" t="e">
        <f>CONCATENATE(IF($A34="","",VLOOKUP($A34,'İşçi Bilgileri'!$A$2:$D$700,2,FALSE))," ",IF($A34="","",VLOOKUP($A34,'İşçi Bilgileri'!$A$2:$D$700,3,FALSE)))</f>
        <v>#N/A</v>
      </c>
      <c r="C34" s="171" t="e">
        <f>IF($A34="","",VLOOKUP($A34,'İşçi Bilgileri'!$A$2:$D$700,4,FALSE))</f>
        <v>#N/A</v>
      </c>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c r="AF34" s="298"/>
      <c r="AG34" s="298"/>
      <c r="AH34" s="298"/>
      <c r="AI34" s="166">
        <f t="shared" si="0"/>
        <v>0</v>
      </c>
      <c r="AJ34" s="166">
        <f t="shared" si="1"/>
        <v>0</v>
      </c>
      <c r="AK34" s="166"/>
      <c r="AL34" s="230" t="e">
        <f>IF($A34="","",IF(VLOOKUP($A34,'İşçi Bilgileri'!$A$2:$J$700,9,FALSE)=0,"",VLOOKUP($A34,'İşçi Bilgileri'!$A$2:$J$700,9,FALSE)))</f>
        <v>#N/A</v>
      </c>
      <c r="AM34" s="172" t="e">
        <f>IF($A34="","",IF(VLOOKUP($A34,'İşçi Bilgileri'!$A$2:$J$700,10,FALSE)=0,"",VLOOKUP($A34,'İşçi Bilgileri'!$A$2:$J$700,10,FALSE)))</f>
        <v>#N/A</v>
      </c>
    </row>
    <row r="35" spans="1:39" x14ac:dyDescent="0.2">
      <c r="A35" s="170">
        <v>27</v>
      </c>
      <c r="B35" s="147" t="e">
        <f>CONCATENATE(IF($A35="","",VLOOKUP($A35,'İşçi Bilgileri'!$A$2:$D$700,2,FALSE))," ",IF($A35="","",VLOOKUP($A35,'İşçi Bilgileri'!$A$2:$D$700,3,FALSE)))</f>
        <v>#N/A</v>
      </c>
      <c r="C35" s="171" t="e">
        <f>IF($A35="","",VLOOKUP($A35,'İşçi Bilgileri'!$A$2:$D$700,4,FALSE))</f>
        <v>#N/A</v>
      </c>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c r="AF35" s="298"/>
      <c r="AG35" s="298"/>
      <c r="AH35" s="298"/>
      <c r="AI35" s="166">
        <f t="shared" si="0"/>
        <v>0</v>
      </c>
      <c r="AJ35" s="166">
        <f t="shared" si="1"/>
        <v>0</v>
      </c>
      <c r="AK35" s="166"/>
      <c r="AL35" s="230" t="e">
        <f>IF($A35="","",IF(VLOOKUP($A35,'İşçi Bilgileri'!$A$2:$J$700,9,FALSE)=0,"",VLOOKUP($A35,'İşçi Bilgileri'!$A$2:$J$700,9,FALSE)))</f>
        <v>#N/A</v>
      </c>
      <c r="AM35" s="172" t="e">
        <f>IF($A35="","",IF(VLOOKUP($A35,'İşçi Bilgileri'!$A$2:$J$700,10,FALSE)=0,"",VLOOKUP($A35,'İşçi Bilgileri'!$A$2:$J$700,10,FALSE)))</f>
        <v>#N/A</v>
      </c>
    </row>
    <row r="36" spans="1:39" x14ac:dyDescent="0.2">
      <c r="A36" s="170">
        <v>28</v>
      </c>
      <c r="B36" s="147" t="e">
        <f>CONCATENATE(IF($A36="","",VLOOKUP($A36,'İşçi Bilgileri'!$A$2:$D$700,2,FALSE))," ",IF($A36="","",VLOOKUP($A36,'İşçi Bilgileri'!$A$2:$D$700,3,FALSE)))</f>
        <v>#N/A</v>
      </c>
      <c r="C36" s="171" t="e">
        <f>IF($A36="","",VLOOKUP($A36,'İşçi Bilgileri'!$A$2:$D$700,4,FALSE))</f>
        <v>#N/A</v>
      </c>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c r="AF36" s="298"/>
      <c r="AG36" s="298"/>
      <c r="AH36" s="298"/>
      <c r="AI36" s="166">
        <f t="shared" si="0"/>
        <v>0</v>
      </c>
      <c r="AJ36" s="166">
        <f t="shared" si="1"/>
        <v>0</v>
      </c>
      <c r="AK36" s="166"/>
      <c r="AL36" s="230" t="e">
        <f>IF($A36="","",IF(VLOOKUP($A36,'İşçi Bilgileri'!$A$2:$J$700,9,FALSE)=0,"",VLOOKUP($A36,'İşçi Bilgileri'!$A$2:$J$700,9,FALSE)))</f>
        <v>#N/A</v>
      </c>
      <c r="AM36" s="172" t="e">
        <f>IF($A36="","",IF(VLOOKUP($A36,'İşçi Bilgileri'!$A$2:$J$700,10,FALSE)=0,"",VLOOKUP($A36,'İşçi Bilgileri'!$A$2:$J$700,10,FALSE)))</f>
        <v>#N/A</v>
      </c>
    </row>
    <row r="37" spans="1:39" x14ac:dyDescent="0.2">
      <c r="A37" s="170">
        <v>29</v>
      </c>
      <c r="B37" s="147" t="e">
        <f>CONCATENATE(IF($A37="","",VLOOKUP($A37,'İşçi Bilgileri'!$A$2:$D$700,2,FALSE))," ",IF($A37="","",VLOOKUP($A37,'İşçi Bilgileri'!$A$2:$D$700,3,FALSE)))</f>
        <v>#N/A</v>
      </c>
      <c r="C37" s="171" t="e">
        <f>IF($A37="","",VLOOKUP($A37,'İşçi Bilgileri'!$A$2:$D$700,4,FALSE))</f>
        <v>#N/A</v>
      </c>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c r="AF37" s="298"/>
      <c r="AG37" s="298"/>
      <c r="AH37" s="298"/>
      <c r="AI37" s="166">
        <f t="shared" si="0"/>
        <v>0</v>
      </c>
      <c r="AJ37" s="166">
        <f t="shared" si="1"/>
        <v>0</v>
      </c>
      <c r="AK37" s="166"/>
      <c r="AL37" s="230" t="e">
        <f>IF($A37="","",IF(VLOOKUP($A37,'İşçi Bilgileri'!$A$2:$J$700,9,FALSE)=0,"",VLOOKUP($A37,'İşçi Bilgileri'!$A$2:$J$700,9,FALSE)))</f>
        <v>#N/A</v>
      </c>
      <c r="AM37" s="172" t="e">
        <f>IF($A37="","",IF(VLOOKUP($A37,'İşçi Bilgileri'!$A$2:$J$700,10,FALSE)=0,"",VLOOKUP($A37,'İşçi Bilgileri'!$A$2:$J$700,10,FALSE)))</f>
        <v>#N/A</v>
      </c>
    </row>
    <row r="38" spans="1:39" s="133" customFormat="1" x14ac:dyDescent="0.2">
      <c r="A38" s="170">
        <v>30</v>
      </c>
      <c r="B38" s="147" t="e">
        <f>CONCATENATE(IF($A38="","",VLOOKUP($A38,'İşçi Bilgileri'!$A$2:$D$700,2,FALSE))," ",IF($A38="","",VLOOKUP($A38,'İşçi Bilgileri'!$A$2:$D$700,3,FALSE)))</f>
        <v>#N/A</v>
      </c>
      <c r="C38" s="171" t="e">
        <f>IF($A38="","",VLOOKUP($A38,'İşçi Bilgileri'!$A$2:$D$700,4,FALSE))</f>
        <v>#N/A</v>
      </c>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c r="AF38" s="298"/>
      <c r="AG38" s="298"/>
      <c r="AH38" s="298"/>
      <c r="AI38" s="166">
        <f t="shared" si="0"/>
        <v>0</v>
      </c>
      <c r="AJ38" s="166">
        <f t="shared" si="1"/>
        <v>0</v>
      </c>
      <c r="AK38" s="166"/>
      <c r="AL38" s="230" t="e">
        <f>IF($A38="","",IF(VLOOKUP($A38,'İşçi Bilgileri'!$A$2:$J$700,9,FALSE)=0,"",VLOOKUP($A38,'İşçi Bilgileri'!$A$2:$J$700,9,FALSE)))</f>
        <v>#N/A</v>
      </c>
      <c r="AM38" s="172" t="e">
        <f>IF($A38="","",IF(VLOOKUP($A38,'İşçi Bilgileri'!$A$2:$J$700,10,FALSE)=0,"",VLOOKUP($A38,'İşçi Bilgileri'!$A$2:$J$700,10,FALSE)))</f>
        <v>#N/A</v>
      </c>
    </row>
    <row r="39" spans="1:39" x14ac:dyDescent="0.2">
      <c r="A39" s="170">
        <v>31</v>
      </c>
      <c r="B39" s="147" t="e">
        <f>CONCATENATE(IF($A39="","",VLOOKUP($A39,'İşçi Bilgileri'!$A$2:$D$700,2,FALSE))," ",IF($A39="","",VLOOKUP($A39,'İşçi Bilgileri'!$A$2:$D$700,3,FALSE)))</f>
        <v>#N/A</v>
      </c>
      <c r="C39" s="171" t="e">
        <f>IF($A39="","",VLOOKUP($A39,'İşçi Bilgileri'!$A$2:$D$700,4,FALSE))</f>
        <v>#N/A</v>
      </c>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c r="AF39" s="298"/>
      <c r="AG39" s="298"/>
      <c r="AH39" s="298"/>
      <c r="AI39" s="166">
        <f t="shared" si="0"/>
        <v>0</v>
      </c>
      <c r="AJ39" s="166">
        <f t="shared" si="1"/>
        <v>0</v>
      </c>
      <c r="AK39" s="166"/>
      <c r="AL39" s="230" t="e">
        <f>IF($A39="","",IF(VLOOKUP($A39,'İşçi Bilgileri'!$A$2:$J$700,9,FALSE)=0,"",VLOOKUP($A39,'İşçi Bilgileri'!$A$2:$J$700,9,FALSE)))</f>
        <v>#N/A</v>
      </c>
      <c r="AM39" s="172" t="e">
        <f>IF($A39="","",IF(VLOOKUP($A39,'İşçi Bilgileri'!$A$2:$J$700,10,FALSE)=0,"",VLOOKUP($A39,'İşçi Bilgileri'!$A$2:$J$700,10,FALSE)))</f>
        <v>#N/A</v>
      </c>
    </row>
    <row r="40" spans="1:39" x14ac:dyDescent="0.2">
      <c r="A40" s="170">
        <v>32</v>
      </c>
      <c r="B40" s="147" t="e">
        <f>CONCATENATE(IF($A40="","",VLOOKUP($A40,'İşçi Bilgileri'!$A$2:$D$700,2,FALSE))," ",IF($A40="","",VLOOKUP($A40,'İşçi Bilgileri'!$A$2:$D$700,3,FALSE)))</f>
        <v>#N/A</v>
      </c>
      <c r="C40" s="171" t="e">
        <f>IF($A40="","",VLOOKUP($A40,'İşçi Bilgileri'!$A$2:$D$700,4,FALSE))</f>
        <v>#N/A</v>
      </c>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c r="AF40" s="298"/>
      <c r="AG40" s="298"/>
      <c r="AH40" s="298"/>
      <c r="AI40" s="166">
        <f t="shared" si="0"/>
        <v>0</v>
      </c>
      <c r="AJ40" s="166">
        <f t="shared" si="1"/>
        <v>0</v>
      </c>
      <c r="AK40" s="166"/>
      <c r="AL40" s="230" t="e">
        <f>IF($A40="","",IF(VLOOKUP($A40,'İşçi Bilgileri'!$A$2:$J$700,9,FALSE)=0,"",VLOOKUP($A40,'İşçi Bilgileri'!$A$2:$J$700,9,FALSE)))</f>
        <v>#N/A</v>
      </c>
      <c r="AM40" s="172" t="e">
        <f>IF($A40="","",IF(VLOOKUP($A40,'İşçi Bilgileri'!$A$2:$J$700,10,FALSE)=0,"",VLOOKUP($A40,'İşçi Bilgileri'!$A$2:$J$700,10,FALSE)))</f>
        <v>#N/A</v>
      </c>
    </row>
    <row r="41" spans="1:39" x14ac:dyDescent="0.2">
      <c r="A41" s="170">
        <v>33</v>
      </c>
      <c r="B41" s="147" t="e">
        <f>CONCATENATE(IF($A41="","",VLOOKUP($A41,'İşçi Bilgileri'!$A$2:$D$700,2,FALSE))," ",IF($A41="","",VLOOKUP($A41,'İşçi Bilgileri'!$A$2:$D$700,3,FALSE)))</f>
        <v>#N/A</v>
      </c>
      <c r="C41" s="171" t="e">
        <f>IF($A41="","",VLOOKUP($A41,'İşçi Bilgileri'!$A$2:$D$700,4,FALSE))</f>
        <v>#N/A</v>
      </c>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c r="AF41" s="298"/>
      <c r="AG41" s="298"/>
      <c r="AH41" s="298"/>
      <c r="AI41" s="166">
        <f t="shared" si="0"/>
        <v>0</v>
      </c>
      <c r="AJ41" s="166">
        <f t="shared" si="1"/>
        <v>0</v>
      </c>
      <c r="AK41" s="166"/>
      <c r="AL41" s="230" t="e">
        <f>IF($A41="","",IF(VLOOKUP($A41,'İşçi Bilgileri'!$A$2:$J$700,9,FALSE)=0,"",VLOOKUP($A41,'İşçi Bilgileri'!$A$2:$J$700,9,FALSE)))</f>
        <v>#N/A</v>
      </c>
      <c r="AM41" s="172" t="e">
        <f>IF($A41="","",IF(VLOOKUP($A41,'İşçi Bilgileri'!$A$2:$J$700,10,FALSE)=0,"",VLOOKUP($A41,'İşçi Bilgileri'!$A$2:$J$700,10,FALSE)))</f>
        <v>#N/A</v>
      </c>
    </row>
    <row r="42" spans="1:39" x14ac:dyDescent="0.2">
      <c r="A42" s="170">
        <v>34</v>
      </c>
      <c r="B42" s="147" t="e">
        <f>CONCATENATE(IF($A42="","",VLOOKUP($A42,'İşçi Bilgileri'!$A$2:$D$700,2,FALSE))," ",IF($A42="","",VLOOKUP($A42,'İşçi Bilgileri'!$A$2:$D$700,3,FALSE)))</f>
        <v>#N/A</v>
      </c>
      <c r="C42" s="171" t="e">
        <f>IF($A42="","",VLOOKUP($A42,'İşçi Bilgileri'!$A$2:$D$700,4,FALSE))</f>
        <v>#N/A</v>
      </c>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c r="AF42" s="298"/>
      <c r="AG42" s="298"/>
      <c r="AH42" s="298"/>
      <c r="AI42" s="166">
        <f t="shared" si="0"/>
        <v>0</v>
      </c>
      <c r="AJ42" s="166">
        <f t="shared" si="1"/>
        <v>0</v>
      </c>
      <c r="AK42" s="166"/>
      <c r="AL42" s="230" t="e">
        <f>IF($A42="","",IF(VLOOKUP($A42,'İşçi Bilgileri'!$A$2:$J$700,9,FALSE)=0,"",VLOOKUP($A42,'İşçi Bilgileri'!$A$2:$J$700,9,FALSE)))</f>
        <v>#N/A</v>
      </c>
      <c r="AM42" s="172" t="e">
        <f>IF($A42="","",IF(VLOOKUP($A42,'İşçi Bilgileri'!$A$2:$J$700,10,FALSE)=0,"",VLOOKUP($A42,'İşçi Bilgileri'!$A$2:$J$700,10,FALSE)))</f>
        <v>#N/A</v>
      </c>
    </row>
    <row r="43" spans="1:39" x14ac:dyDescent="0.2">
      <c r="A43" s="170">
        <v>35</v>
      </c>
      <c r="B43" s="147" t="e">
        <f>CONCATENATE(IF($A43="","",VLOOKUP($A43,'İşçi Bilgileri'!$A$2:$D$700,2,FALSE))," ",IF($A43="","",VLOOKUP($A43,'İşçi Bilgileri'!$A$2:$D$700,3,FALSE)))</f>
        <v>#N/A</v>
      </c>
      <c r="C43" s="171" t="e">
        <f>IF($A43="","",VLOOKUP($A43,'İşçi Bilgileri'!$A$2:$D$700,4,FALSE))</f>
        <v>#N/A</v>
      </c>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c r="AF43" s="298"/>
      <c r="AG43" s="298"/>
      <c r="AH43" s="298"/>
      <c r="AI43" s="166">
        <f t="shared" si="0"/>
        <v>0</v>
      </c>
      <c r="AJ43" s="166">
        <f t="shared" si="1"/>
        <v>0</v>
      </c>
      <c r="AK43" s="166"/>
      <c r="AL43" s="230" t="e">
        <f>IF($A43="","",IF(VLOOKUP($A43,'İşçi Bilgileri'!$A$2:$J$700,9,FALSE)=0,"",VLOOKUP($A43,'İşçi Bilgileri'!$A$2:$J$700,9,FALSE)))</f>
        <v>#N/A</v>
      </c>
      <c r="AM43" s="172" t="e">
        <f>IF($A43="","",IF(VLOOKUP($A43,'İşçi Bilgileri'!$A$2:$J$700,10,FALSE)=0,"",VLOOKUP($A43,'İşçi Bilgileri'!$A$2:$J$700,10,FALSE)))</f>
        <v>#N/A</v>
      </c>
    </row>
    <row r="44" spans="1:39" x14ac:dyDescent="0.2">
      <c r="A44" s="170">
        <v>36</v>
      </c>
      <c r="B44" s="147" t="e">
        <f>CONCATENATE(IF($A44="","",VLOOKUP($A44,'İşçi Bilgileri'!$A$2:$D$700,2,FALSE))," ",IF($A44="","",VLOOKUP($A44,'İşçi Bilgileri'!$A$2:$D$700,3,FALSE)))</f>
        <v>#N/A</v>
      </c>
      <c r="C44" s="171" t="e">
        <f>IF($A44="","",VLOOKUP($A44,'İşçi Bilgileri'!$A$2:$D$700,4,FALSE))</f>
        <v>#N/A</v>
      </c>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c r="AF44" s="298"/>
      <c r="AG44" s="298"/>
      <c r="AH44" s="298"/>
      <c r="AI44" s="166">
        <f t="shared" si="0"/>
        <v>0</v>
      </c>
      <c r="AJ44" s="166">
        <f t="shared" si="1"/>
        <v>0</v>
      </c>
      <c r="AK44" s="166"/>
      <c r="AL44" s="230" t="e">
        <f>IF($A44="","",IF(VLOOKUP($A44,'İşçi Bilgileri'!$A$2:$J$700,9,FALSE)=0,"",VLOOKUP($A44,'İşçi Bilgileri'!$A$2:$J$700,9,FALSE)))</f>
        <v>#N/A</v>
      </c>
      <c r="AM44" s="172" t="e">
        <f>IF($A44="","",IF(VLOOKUP($A44,'İşçi Bilgileri'!$A$2:$J$700,10,FALSE)=0,"",VLOOKUP($A44,'İşçi Bilgileri'!$A$2:$J$700,10,FALSE)))</f>
        <v>#N/A</v>
      </c>
    </row>
    <row r="45" spans="1:39" x14ac:dyDescent="0.2">
      <c r="A45" s="170">
        <v>37</v>
      </c>
      <c r="B45" s="147" t="e">
        <f>CONCATENATE(IF($A45="","",VLOOKUP($A45,'İşçi Bilgileri'!$A$2:$D$700,2,FALSE))," ",IF($A45="","",VLOOKUP($A45,'İşçi Bilgileri'!$A$2:$D$700,3,FALSE)))</f>
        <v>#N/A</v>
      </c>
      <c r="C45" s="171" t="e">
        <f>IF($A45="","",VLOOKUP($A45,'İşçi Bilgileri'!$A$2:$D$700,4,FALSE))</f>
        <v>#N/A</v>
      </c>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c r="AF45" s="298"/>
      <c r="AG45" s="298"/>
      <c r="AH45" s="298"/>
      <c r="AI45" s="166">
        <f t="shared" si="0"/>
        <v>0</v>
      </c>
      <c r="AJ45" s="166">
        <f t="shared" si="1"/>
        <v>0</v>
      </c>
      <c r="AK45" s="166"/>
      <c r="AL45" s="230" t="e">
        <f>IF($A45="","",IF(VLOOKUP($A45,'İşçi Bilgileri'!$A$2:$J$700,9,FALSE)=0,"",VLOOKUP($A45,'İşçi Bilgileri'!$A$2:$J$700,9,FALSE)))</f>
        <v>#N/A</v>
      </c>
      <c r="AM45" s="172" t="e">
        <f>IF($A45="","",IF(VLOOKUP($A45,'İşçi Bilgileri'!$A$2:$J$700,10,FALSE)=0,"",VLOOKUP($A45,'İşçi Bilgileri'!$A$2:$J$700,10,FALSE)))</f>
        <v>#N/A</v>
      </c>
    </row>
    <row r="46" spans="1:39" x14ac:dyDescent="0.2">
      <c r="A46" s="170">
        <v>38</v>
      </c>
      <c r="B46" s="147" t="e">
        <f>CONCATENATE(IF($A46="","",VLOOKUP($A46,'İşçi Bilgileri'!$A$2:$D$700,2,FALSE))," ",IF($A46="","",VLOOKUP($A46,'İşçi Bilgileri'!$A$2:$D$700,3,FALSE)))</f>
        <v>#N/A</v>
      </c>
      <c r="C46" s="171" t="e">
        <f>IF($A46="","",VLOOKUP($A46,'İşçi Bilgileri'!$A$2:$D$700,4,FALSE))</f>
        <v>#N/A</v>
      </c>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c r="AF46" s="298"/>
      <c r="AG46" s="298"/>
      <c r="AH46" s="298"/>
      <c r="AI46" s="166">
        <f t="shared" si="0"/>
        <v>0</v>
      </c>
      <c r="AJ46" s="166">
        <f t="shared" si="1"/>
        <v>0</v>
      </c>
      <c r="AK46" s="166"/>
      <c r="AL46" s="230" t="e">
        <f>IF($A46="","",IF(VLOOKUP($A46,'İşçi Bilgileri'!$A$2:$J$700,9,FALSE)=0,"",VLOOKUP($A46,'İşçi Bilgileri'!$A$2:$J$700,9,FALSE)))</f>
        <v>#N/A</v>
      </c>
      <c r="AM46" s="172" t="e">
        <f>IF($A46="","",IF(VLOOKUP($A46,'İşçi Bilgileri'!$A$2:$J$700,10,FALSE)=0,"",VLOOKUP($A46,'İşçi Bilgileri'!$A$2:$J$700,10,FALSE)))</f>
        <v>#N/A</v>
      </c>
    </row>
    <row r="47" spans="1:39" x14ac:dyDescent="0.2">
      <c r="A47" s="170">
        <v>39</v>
      </c>
      <c r="B47" s="147" t="e">
        <f>CONCATENATE(IF($A47="","",VLOOKUP($A47,'İşçi Bilgileri'!$A$2:$D$700,2,FALSE))," ",IF($A47="","",VLOOKUP($A47,'İşçi Bilgileri'!$A$2:$D$700,3,FALSE)))</f>
        <v>#N/A</v>
      </c>
      <c r="C47" s="171" t="e">
        <f>IF($A47="","",VLOOKUP($A47,'İşçi Bilgileri'!$A$2:$D$700,4,FALSE))</f>
        <v>#N/A</v>
      </c>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c r="AF47" s="298"/>
      <c r="AG47" s="298"/>
      <c r="AH47" s="298"/>
      <c r="AI47" s="166">
        <f t="shared" si="0"/>
        <v>0</v>
      </c>
      <c r="AJ47" s="166">
        <f t="shared" si="1"/>
        <v>0</v>
      </c>
      <c r="AK47" s="166"/>
      <c r="AL47" s="230" t="e">
        <f>IF($A47="","",IF(VLOOKUP($A47,'İşçi Bilgileri'!$A$2:$J$700,9,FALSE)=0,"",VLOOKUP($A47,'İşçi Bilgileri'!$A$2:$J$700,9,FALSE)))</f>
        <v>#N/A</v>
      </c>
      <c r="AM47" s="172" t="e">
        <f>IF($A47="","",IF(VLOOKUP($A47,'İşçi Bilgileri'!$A$2:$J$700,10,FALSE)=0,"",VLOOKUP($A47,'İşçi Bilgileri'!$A$2:$J$700,10,FALSE)))</f>
        <v>#N/A</v>
      </c>
    </row>
    <row r="48" spans="1:39" x14ac:dyDescent="0.2">
      <c r="A48" s="170">
        <v>40</v>
      </c>
      <c r="B48" s="147" t="e">
        <f>CONCATENATE(IF($A48="","",VLOOKUP($A48,'İşçi Bilgileri'!$A$2:$D$700,2,FALSE))," ",IF($A48="","",VLOOKUP($A48,'İşçi Bilgileri'!$A$2:$D$700,3,FALSE)))</f>
        <v>#N/A</v>
      </c>
      <c r="C48" s="171" t="e">
        <f>IF($A48="","",VLOOKUP($A48,'İşçi Bilgileri'!$A$2:$D$700,4,FALSE))</f>
        <v>#N/A</v>
      </c>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c r="AF48" s="298"/>
      <c r="AG48" s="298"/>
      <c r="AH48" s="298"/>
      <c r="AI48" s="166">
        <f t="shared" si="0"/>
        <v>0</v>
      </c>
      <c r="AJ48" s="166">
        <f t="shared" si="1"/>
        <v>0</v>
      </c>
      <c r="AK48" s="166"/>
      <c r="AL48" s="230" t="e">
        <f>IF($A48="","",IF(VLOOKUP($A48,'İşçi Bilgileri'!$A$2:$J$700,9,FALSE)=0,"",VLOOKUP($A48,'İşçi Bilgileri'!$A$2:$J$700,9,FALSE)))</f>
        <v>#N/A</v>
      </c>
      <c r="AM48" s="172" t="e">
        <f>IF($A48="","",IF(VLOOKUP($A48,'İşçi Bilgileri'!$A$2:$J$700,10,FALSE)=0,"",VLOOKUP($A48,'İşçi Bilgileri'!$A$2:$J$700,10,FALSE)))</f>
        <v>#N/A</v>
      </c>
    </row>
    <row r="49" spans="1:39" x14ac:dyDescent="0.2">
      <c r="A49" s="170">
        <v>41</v>
      </c>
      <c r="B49" s="147" t="e">
        <f>CONCATENATE(IF($A49="","",VLOOKUP($A49,'İşçi Bilgileri'!$A$2:$D$700,2,FALSE))," ",IF($A49="","",VLOOKUP($A49,'İşçi Bilgileri'!$A$2:$D$700,3,FALSE)))</f>
        <v>#N/A</v>
      </c>
      <c r="C49" s="171" t="e">
        <f>IF($A49="","",VLOOKUP($A49,'İşçi Bilgileri'!$A$2:$D$700,4,FALSE))</f>
        <v>#N/A</v>
      </c>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c r="AF49" s="298"/>
      <c r="AG49" s="298"/>
      <c r="AH49" s="298"/>
      <c r="AI49" s="166">
        <f t="shared" si="0"/>
        <v>0</v>
      </c>
      <c r="AJ49" s="166">
        <f t="shared" si="1"/>
        <v>0</v>
      </c>
      <c r="AK49" s="166"/>
      <c r="AL49" s="230" t="e">
        <f>IF($A49="","",IF(VLOOKUP($A49,'İşçi Bilgileri'!$A$2:$J$700,9,FALSE)=0,"",VLOOKUP($A49,'İşçi Bilgileri'!$A$2:$J$700,9,FALSE)))</f>
        <v>#N/A</v>
      </c>
      <c r="AM49" s="172" t="e">
        <f>IF($A49="","",IF(VLOOKUP($A49,'İşçi Bilgileri'!$A$2:$J$700,10,FALSE)=0,"",VLOOKUP($A49,'İşçi Bilgileri'!$A$2:$J$700,10,FALSE)))</f>
        <v>#N/A</v>
      </c>
    </row>
    <row r="50" spans="1:39" x14ac:dyDescent="0.2">
      <c r="A50" s="170">
        <v>42</v>
      </c>
      <c r="B50" s="147" t="e">
        <f>CONCATENATE(IF($A50="","",VLOOKUP($A50,'İşçi Bilgileri'!$A$2:$D$700,2,FALSE))," ",IF($A50="","",VLOOKUP($A50,'İşçi Bilgileri'!$A$2:$D$700,3,FALSE)))</f>
        <v>#N/A</v>
      </c>
      <c r="C50" s="171" t="e">
        <f>IF($A50="","",VLOOKUP($A50,'İşçi Bilgileri'!$A$2:$D$700,4,FALSE))</f>
        <v>#N/A</v>
      </c>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c r="AF50" s="298"/>
      <c r="AG50" s="298"/>
      <c r="AH50" s="298"/>
      <c r="AI50" s="166">
        <f t="shared" si="0"/>
        <v>0</v>
      </c>
      <c r="AJ50" s="166">
        <f t="shared" si="1"/>
        <v>0</v>
      </c>
      <c r="AK50" s="166"/>
      <c r="AL50" s="230" t="e">
        <f>IF($A50="","",IF(VLOOKUP($A50,'İşçi Bilgileri'!$A$2:$J$700,9,FALSE)=0,"",VLOOKUP($A50,'İşçi Bilgileri'!$A$2:$J$700,9,FALSE)))</f>
        <v>#N/A</v>
      </c>
      <c r="AM50" s="172" t="e">
        <f>IF($A50="","",IF(VLOOKUP($A50,'İşçi Bilgileri'!$A$2:$J$700,10,FALSE)=0,"",VLOOKUP($A50,'İşçi Bilgileri'!$A$2:$J$700,10,FALSE)))</f>
        <v>#N/A</v>
      </c>
    </row>
    <row r="51" spans="1:39" x14ac:dyDescent="0.2">
      <c r="A51" s="170">
        <v>43</v>
      </c>
      <c r="B51" s="147" t="e">
        <f>CONCATENATE(IF($A51="","",VLOOKUP($A51,'İşçi Bilgileri'!$A$2:$D$700,2,FALSE))," ",IF($A51="","",VLOOKUP($A51,'İşçi Bilgileri'!$A$2:$D$700,3,FALSE)))</f>
        <v>#N/A</v>
      </c>
      <c r="C51" s="171" t="e">
        <f>IF($A51="","",VLOOKUP($A51,'İşçi Bilgileri'!$A$2:$D$700,4,FALSE))</f>
        <v>#N/A</v>
      </c>
      <c r="D51" s="298"/>
      <c r="E51" s="298"/>
      <c r="F51" s="298"/>
      <c r="G51" s="298"/>
      <c r="H51" s="298"/>
      <c r="I51" s="298"/>
      <c r="J51" s="298"/>
      <c r="K51" s="298"/>
      <c r="L51" s="298"/>
      <c r="M51" s="298"/>
      <c r="N51" s="298"/>
      <c r="O51" s="298"/>
      <c r="P51" s="298"/>
      <c r="Q51" s="298"/>
      <c r="R51" s="298"/>
      <c r="S51" s="298"/>
      <c r="T51" s="298"/>
      <c r="U51" s="298"/>
      <c r="V51" s="298"/>
      <c r="W51" s="298"/>
      <c r="X51" s="298"/>
      <c r="Y51" s="298"/>
      <c r="Z51" s="298"/>
      <c r="AA51" s="298"/>
      <c r="AB51" s="298"/>
      <c r="AC51" s="298"/>
      <c r="AD51" s="298"/>
      <c r="AE51" s="298"/>
      <c r="AF51" s="298"/>
      <c r="AG51" s="298"/>
      <c r="AH51" s="298"/>
      <c r="AI51" s="166">
        <f t="shared" si="0"/>
        <v>0</v>
      </c>
      <c r="AJ51" s="166">
        <f t="shared" si="1"/>
        <v>0</v>
      </c>
      <c r="AK51" s="166"/>
      <c r="AL51" s="230" t="e">
        <f>IF($A51="","",IF(VLOOKUP($A51,'İşçi Bilgileri'!$A$2:$J$700,9,FALSE)=0,"",VLOOKUP($A51,'İşçi Bilgileri'!$A$2:$J$700,9,FALSE)))</f>
        <v>#N/A</v>
      </c>
      <c r="AM51" s="172" t="e">
        <f>IF($A51="","",IF(VLOOKUP($A51,'İşçi Bilgileri'!$A$2:$J$700,10,FALSE)=0,"",VLOOKUP($A51,'İşçi Bilgileri'!$A$2:$J$700,10,FALSE)))</f>
        <v>#N/A</v>
      </c>
    </row>
    <row r="52" spans="1:39" x14ac:dyDescent="0.2">
      <c r="A52" s="170">
        <v>44</v>
      </c>
      <c r="B52" s="147" t="e">
        <f>CONCATENATE(IF($A52="","",VLOOKUP($A52,'İşçi Bilgileri'!$A$2:$D$700,2,FALSE))," ",IF($A52="","",VLOOKUP($A52,'İşçi Bilgileri'!$A$2:$D$700,3,FALSE)))</f>
        <v>#N/A</v>
      </c>
      <c r="C52" s="171" t="e">
        <f>IF($A52="","",VLOOKUP($A52,'İşçi Bilgileri'!$A$2:$D$700,4,FALSE))</f>
        <v>#N/A</v>
      </c>
      <c r="D52" s="298"/>
      <c r="E52" s="298"/>
      <c r="F52" s="298"/>
      <c r="G52" s="298"/>
      <c r="H52" s="298"/>
      <c r="I52" s="298"/>
      <c r="J52" s="298"/>
      <c r="K52" s="298"/>
      <c r="L52" s="298"/>
      <c r="M52" s="298"/>
      <c r="N52" s="298"/>
      <c r="O52" s="298"/>
      <c r="P52" s="298"/>
      <c r="Q52" s="298"/>
      <c r="R52" s="298"/>
      <c r="S52" s="298"/>
      <c r="T52" s="298"/>
      <c r="U52" s="298"/>
      <c r="V52" s="298"/>
      <c r="W52" s="298"/>
      <c r="X52" s="298"/>
      <c r="Y52" s="298"/>
      <c r="Z52" s="298"/>
      <c r="AA52" s="298"/>
      <c r="AB52" s="298"/>
      <c r="AC52" s="298"/>
      <c r="AD52" s="298"/>
      <c r="AE52" s="298"/>
      <c r="AF52" s="298"/>
      <c r="AG52" s="298"/>
      <c r="AH52" s="298"/>
      <c r="AI52" s="166">
        <f t="shared" si="0"/>
        <v>0</v>
      </c>
      <c r="AJ52" s="166">
        <f t="shared" si="1"/>
        <v>0</v>
      </c>
      <c r="AK52" s="166"/>
      <c r="AL52" s="230" t="e">
        <f>IF($A52="","",IF(VLOOKUP($A52,'İşçi Bilgileri'!$A$2:$J$700,9,FALSE)=0,"",VLOOKUP($A52,'İşçi Bilgileri'!$A$2:$J$700,9,FALSE)))</f>
        <v>#N/A</v>
      </c>
      <c r="AM52" s="172" t="e">
        <f>IF($A52="","",IF(VLOOKUP($A52,'İşçi Bilgileri'!$A$2:$J$700,10,FALSE)=0,"",VLOOKUP($A52,'İşçi Bilgileri'!$A$2:$J$700,10,FALSE)))</f>
        <v>#N/A</v>
      </c>
    </row>
    <row r="53" spans="1:39" x14ac:dyDescent="0.2">
      <c r="A53" s="170">
        <v>45</v>
      </c>
      <c r="B53" s="147" t="e">
        <f>CONCATENATE(IF($A53="","",VLOOKUP($A53,'İşçi Bilgileri'!$A$2:$D$700,2,FALSE))," ",IF($A53="","",VLOOKUP($A53,'İşçi Bilgileri'!$A$2:$D$700,3,FALSE)))</f>
        <v>#N/A</v>
      </c>
      <c r="C53" s="171" t="e">
        <f>IF($A53="","",VLOOKUP($A53,'İşçi Bilgileri'!$A$2:$D$700,4,FALSE))</f>
        <v>#N/A</v>
      </c>
      <c r="D53" s="298"/>
      <c r="E53" s="298"/>
      <c r="F53" s="298"/>
      <c r="G53" s="298"/>
      <c r="H53" s="298"/>
      <c r="I53" s="298"/>
      <c r="J53" s="298"/>
      <c r="K53" s="298"/>
      <c r="L53" s="298"/>
      <c r="M53" s="298"/>
      <c r="N53" s="298"/>
      <c r="O53" s="298"/>
      <c r="P53" s="298"/>
      <c r="Q53" s="298"/>
      <c r="R53" s="298"/>
      <c r="S53" s="298"/>
      <c r="T53" s="298"/>
      <c r="U53" s="298"/>
      <c r="V53" s="298"/>
      <c r="W53" s="298"/>
      <c r="X53" s="298"/>
      <c r="Y53" s="298"/>
      <c r="Z53" s="298"/>
      <c r="AA53" s="298"/>
      <c r="AB53" s="298"/>
      <c r="AC53" s="298"/>
      <c r="AD53" s="298"/>
      <c r="AE53" s="298"/>
      <c r="AF53" s="298"/>
      <c r="AG53" s="298"/>
      <c r="AH53" s="298"/>
      <c r="AI53" s="166">
        <f t="shared" si="0"/>
        <v>0</v>
      </c>
      <c r="AJ53" s="166">
        <f t="shared" si="1"/>
        <v>0</v>
      </c>
      <c r="AK53" s="166"/>
      <c r="AL53" s="230" t="e">
        <f>IF($A53="","",IF(VLOOKUP($A53,'İşçi Bilgileri'!$A$2:$J$700,9,FALSE)=0,"",VLOOKUP($A53,'İşçi Bilgileri'!$A$2:$J$700,9,FALSE)))</f>
        <v>#N/A</v>
      </c>
      <c r="AM53" s="172" t="e">
        <f>IF($A53="","",IF(VLOOKUP($A53,'İşçi Bilgileri'!$A$2:$J$700,10,FALSE)=0,"",VLOOKUP($A53,'İşçi Bilgileri'!$A$2:$J$700,10,FALSE)))</f>
        <v>#N/A</v>
      </c>
    </row>
    <row r="54" spans="1:39" x14ac:dyDescent="0.2">
      <c r="A54" s="170">
        <v>46</v>
      </c>
      <c r="B54" s="147" t="e">
        <f>CONCATENATE(IF($A54="","",VLOOKUP($A54,'İşçi Bilgileri'!$A$2:$D$700,2,FALSE))," ",IF($A54="","",VLOOKUP($A54,'İşçi Bilgileri'!$A$2:$D$700,3,FALSE)))</f>
        <v>#N/A</v>
      </c>
      <c r="C54" s="171" t="e">
        <f>IF($A54="","",VLOOKUP($A54,'İşçi Bilgileri'!$A$2:$D$700,4,FALSE))</f>
        <v>#N/A</v>
      </c>
      <c r="D54" s="298"/>
      <c r="E54" s="298"/>
      <c r="F54" s="298"/>
      <c r="G54" s="298"/>
      <c r="H54" s="298"/>
      <c r="I54" s="298"/>
      <c r="J54" s="298"/>
      <c r="K54" s="298"/>
      <c r="L54" s="298"/>
      <c r="M54" s="298"/>
      <c r="N54" s="298"/>
      <c r="O54" s="298"/>
      <c r="P54" s="298"/>
      <c r="Q54" s="298"/>
      <c r="R54" s="298"/>
      <c r="S54" s="298"/>
      <c r="T54" s="298"/>
      <c r="U54" s="298"/>
      <c r="V54" s="298"/>
      <c r="W54" s="298"/>
      <c r="X54" s="298"/>
      <c r="Y54" s="298"/>
      <c r="Z54" s="298"/>
      <c r="AA54" s="298"/>
      <c r="AB54" s="298"/>
      <c r="AC54" s="298"/>
      <c r="AD54" s="298"/>
      <c r="AE54" s="298"/>
      <c r="AF54" s="298"/>
      <c r="AG54" s="298"/>
      <c r="AH54" s="298"/>
      <c r="AI54" s="166">
        <f t="shared" si="0"/>
        <v>0</v>
      </c>
      <c r="AJ54" s="166">
        <f t="shared" si="1"/>
        <v>0</v>
      </c>
      <c r="AK54" s="166"/>
      <c r="AL54" s="230" t="e">
        <f>IF($A54="","",IF(VLOOKUP($A54,'İşçi Bilgileri'!$A$2:$J$700,9,FALSE)=0,"",VLOOKUP($A54,'İşçi Bilgileri'!$A$2:$J$700,9,FALSE)))</f>
        <v>#N/A</v>
      </c>
      <c r="AM54" s="172" t="e">
        <f>IF($A54="","",IF(VLOOKUP($A54,'İşçi Bilgileri'!$A$2:$J$700,10,FALSE)=0,"",VLOOKUP($A54,'İşçi Bilgileri'!$A$2:$J$700,10,FALSE)))</f>
        <v>#N/A</v>
      </c>
    </row>
    <row r="55" spans="1:39" x14ac:dyDescent="0.2">
      <c r="A55" s="170">
        <v>47</v>
      </c>
      <c r="B55" s="147" t="e">
        <f>CONCATENATE(IF($A55="","",VLOOKUP($A55,'İşçi Bilgileri'!$A$2:$D$700,2,FALSE))," ",IF($A55="","",VLOOKUP($A55,'İşçi Bilgileri'!$A$2:$D$700,3,FALSE)))</f>
        <v>#N/A</v>
      </c>
      <c r="C55" s="171" t="e">
        <f>IF($A55="","",VLOOKUP($A55,'İşçi Bilgileri'!$A$2:$D$700,4,FALSE))</f>
        <v>#N/A</v>
      </c>
      <c r="D55" s="298"/>
      <c r="E55" s="298"/>
      <c r="F55" s="298"/>
      <c r="G55" s="298"/>
      <c r="H55" s="298"/>
      <c r="I55" s="298"/>
      <c r="J55" s="298"/>
      <c r="K55" s="298"/>
      <c r="L55" s="298"/>
      <c r="M55" s="298"/>
      <c r="N55" s="298"/>
      <c r="O55" s="298"/>
      <c r="P55" s="298"/>
      <c r="Q55" s="298"/>
      <c r="R55" s="298"/>
      <c r="S55" s="298"/>
      <c r="T55" s="298"/>
      <c r="U55" s="298"/>
      <c r="V55" s="298"/>
      <c r="W55" s="298"/>
      <c r="X55" s="298"/>
      <c r="Y55" s="298"/>
      <c r="Z55" s="298"/>
      <c r="AA55" s="298"/>
      <c r="AB55" s="298"/>
      <c r="AC55" s="298"/>
      <c r="AD55" s="298"/>
      <c r="AE55" s="298"/>
      <c r="AF55" s="298"/>
      <c r="AG55" s="298"/>
      <c r="AH55" s="298"/>
      <c r="AI55" s="166">
        <f t="shared" si="0"/>
        <v>0</v>
      </c>
      <c r="AJ55" s="166">
        <f t="shared" si="1"/>
        <v>0</v>
      </c>
      <c r="AK55" s="166"/>
      <c r="AL55" s="230" t="e">
        <f>IF($A55="","",IF(VLOOKUP($A55,'İşçi Bilgileri'!$A$2:$J$700,9,FALSE)=0,"",VLOOKUP($A55,'İşçi Bilgileri'!$A$2:$J$700,9,FALSE)))</f>
        <v>#N/A</v>
      </c>
      <c r="AM55" s="172" t="e">
        <f>IF($A55="","",IF(VLOOKUP($A55,'İşçi Bilgileri'!$A$2:$J$700,10,FALSE)=0,"",VLOOKUP($A55,'İşçi Bilgileri'!$A$2:$J$700,10,FALSE)))</f>
        <v>#N/A</v>
      </c>
    </row>
    <row r="56" spans="1:39" x14ac:dyDescent="0.2">
      <c r="A56" s="170">
        <v>48</v>
      </c>
      <c r="B56" s="147" t="e">
        <f>CONCATENATE(IF($A56="","",VLOOKUP($A56,'İşçi Bilgileri'!$A$2:$D$700,2,FALSE))," ",IF($A56="","",VLOOKUP($A56,'İşçi Bilgileri'!$A$2:$D$700,3,FALSE)))</f>
        <v>#N/A</v>
      </c>
      <c r="C56" s="171" t="e">
        <f>IF($A56="","",VLOOKUP($A56,'İşçi Bilgileri'!$A$2:$D$700,4,FALSE))</f>
        <v>#N/A</v>
      </c>
      <c r="D56" s="298"/>
      <c r="E56" s="298"/>
      <c r="F56" s="298"/>
      <c r="G56" s="298"/>
      <c r="H56" s="298"/>
      <c r="I56" s="298"/>
      <c r="J56" s="298"/>
      <c r="K56" s="298"/>
      <c r="L56" s="298"/>
      <c r="M56" s="298"/>
      <c r="N56" s="298"/>
      <c r="O56" s="298"/>
      <c r="P56" s="298"/>
      <c r="Q56" s="298"/>
      <c r="R56" s="298"/>
      <c r="S56" s="298"/>
      <c r="T56" s="298"/>
      <c r="U56" s="298"/>
      <c r="V56" s="298"/>
      <c r="W56" s="298"/>
      <c r="X56" s="298"/>
      <c r="Y56" s="298"/>
      <c r="Z56" s="298"/>
      <c r="AA56" s="298"/>
      <c r="AB56" s="298"/>
      <c r="AC56" s="298"/>
      <c r="AD56" s="298"/>
      <c r="AE56" s="298"/>
      <c r="AF56" s="298"/>
      <c r="AG56" s="298"/>
      <c r="AH56" s="298"/>
      <c r="AI56" s="166">
        <f t="shared" si="0"/>
        <v>0</v>
      </c>
      <c r="AJ56" s="166">
        <f t="shared" si="1"/>
        <v>0</v>
      </c>
      <c r="AK56" s="166"/>
      <c r="AL56" s="230" t="e">
        <f>IF($A56="","",IF(VLOOKUP($A56,'İşçi Bilgileri'!$A$2:$J$700,9,FALSE)=0,"",VLOOKUP($A56,'İşçi Bilgileri'!$A$2:$J$700,9,FALSE)))</f>
        <v>#N/A</v>
      </c>
      <c r="AM56" s="172" t="e">
        <f>IF($A56="","",IF(VLOOKUP($A56,'İşçi Bilgileri'!$A$2:$J$700,10,FALSE)=0,"",VLOOKUP($A56,'İşçi Bilgileri'!$A$2:$J$700,10,FALSE)))</f>
        <v>#N/A</v>
      </c>
    </row>
    <row r="57" spans="1:39" x14ac:dyDescent="0.2">
      <c r="A57" s="170">
        <v>49</v>
      </c>
      <c r="B57" s="147" t="e">
        <f>CONCATENATE(IF($A57="","",VLOOKUP($A57,'İşçi Bilgileri'!$A$2:$D$700,2,FALSE))," ",IF($A57="","",VLOOKUP($A57,'İşçi Bilgileri'!$A$2:$D$700,3,FALSE)))</f>
        <v>#N/A</v>
      </c>
      <c r="C57" s="171" t="e">
        <f>IF($A57="","",VLOOKUP($A57,'İşçi Bilgileri'!$A$2:$D$700,4,FALSE))</f>
        <v>#N/A</v>
      </c>
      <c r="D57" s="298"/>
      <c r="E57" s="298"/>
      <c r="F57" s="298"/>
      <c r="G57" s="298"/>
      <c r="H57" s="298"/>
      <c r="I57" s="298"/>
      <c r="J57" s="298"/>
      <c r="K57" s="298"/>
      <c r="L57" s="298"/>
      <c r="M57" s="298"/>
      <c r="N57" s="298"/>
      <c r="O57" s="298"/>
      <c r="P57" s="298"/>
      <c r="Q57" s="298"/>
      <c r="R57" s="298"/>
      <c r="S57" s="298"/>
      <c r="T57" s="298"/>
      <c r="U57" s="298"/>
      <c r="V57" s="298"/>
      <c r="W57" s="298"/>
      <c r="X57" s="298"/>
      <c r="Y57" s="298"/>
      <c r="Z57" s="298"/>
      <c r="AA57" s="298"/>
      <c r="AB57" s="298"/>
      <c r="AC57" s="298"/>
      <c r="AD57" s="298"/>
      <c r="AE57" s="298"/>
      <c r="AF57" s="298"/>
      <c r="AG57" s="298"/>
      <c r="AH57" s="298"/>
      <c r="AI57" s="166">
        <f t="shared" si="0"/>
        <v>0</v>
      </c>
      <c r="AJ57" s="166">
        <f t="shared" si="1"/>
        <v>0</v>
      </c>
      <c r="AK57" s="166"/>
      <c r="AL57" s="230" t="e">
        <f>IF($A57="","",IF(VLOOKUP($A57,'İşçi Bilgileri'!$A$2:$J$700,9,FALSE)=0,"",VLOOKUP($A57,'İşçi Bilgileri'!$A$2:$J$700,9,FALSE)))</f>
        <v>#N/A</v>
      </c>
      <c r="AM57" s="172" t="e">
        <f>IF($A57="","",IF(VLOOKUP($A57,'İşçi Bilgileri'!$A$2:$J$700,10,FALSE)=0,"",VLOOKUP($A57,'İşçi Bilgileri'!$A$2:$J$700,10,FALSE)))</f>
        <v>#N/A</v>
      </c>
    </row>
    <row r="58" spans="1:39" x14ac:dyDescent="0.2">
      <c r="A58" s="170">
        <v>50</v>
      </c>
      <c r="B58" s="147" t="e">
        <f>CONCATENATE(IF($A58="","",VLOOKUP($A58,'İşçi Bilgileri'!$A$2:$D$700,2,FALSE))," ",IF($A58="","",VLOOKUP($A58,'İşçi Bilgileri'!$A$2:$D$700,3,FALSE)))</f>
        <v>#N/A</v>
      </c>
      <c r="C58" s="171" t="e">
        <f>IF($A58="","",VLOOKUP($A58,'İşçi Bilgileri'!$A$2:$D$700,4,FALSE))</f>
        <v>#N/A</v>
      </c>
      <c r="D58" s="298"/>
      <c r="E58" s="298"/>
      <c r="F58" s="298"/>
      <c r="G58" s="298"/>
      <c r="H58" s="298"/>
      <c r="I58" s="298"/>
      <c r="J58" s="298"/>
      <c r="K58" s="298"/>
      <c r="L58" s="298"/>
      <c r="M58" s="298"/>
      <c r="N58" s="298"/>
      <c r="O58" s="298"/>
      <c r="P58" s="298"/>
      <c r="Q58" s="298"/>
      <c r="R58" s="298"/>
      <c r="S58" s="298"/>
      <c r="T58" s="298"/>
      <c r="U58" s="298"/>
      <c r="V58" s="298"/>
      <c r="W58" s="298"/>
      <c r="X58" s="298"/>
      <c r="Y58" s="298"/>
      <c r="Z58" s="298"/>
      <c r="AA58" s="298"/>
      <c r="AB58" s="298"/>
      <c r="AC58" s="298"/>
      <c r="AD58" s="298"/>
      <c r="AE58" s="298"/>
      <c r="AF58" s="298"/>
      <c r="AG58" s="298"/>
      <c r="AH58" s="298"/>
      <c r="AI58" s="166">
        <f t="shared" si="0"/>
        <v>0</v>
      </c>
      <c r="AJ58" s="166">
        <f t="shared" si="1"/>
        <v>0</v>
      </c>
      <c r="AK58" s="166"/>
      <c r="AL58" s="230" t="e">
        <f>IF($A58="","",IF(VLOOKUP($A58,'İşçi Bilgileri'!$A$2:$J$700,9,FALSE)=0,"",VLOOKUP($A58,'İşçi Bilgileri'!$A$2:$J$700,9,FALSE)))</f>
        <v>#N/A</v>
      </c>
      <c r="AM58" s="172" t="e">
        <f>IF($A58="","",IF(VLOOKUP($A58,'İşçi Bilgileri'!$A$2:$J$700,10,FALSE)=0,"",VLOOKUP($A58,'İşçi Bilgileri'!$A$2:$J$700,10,FALSE)))</f>
        <v>#N/A</v>
      </c>
    </row>
    <row r="59" spans="1:39" x14ac:dyDescent="0.2">
      <c r="A59" s="170">
        <v>51</v>
      </c>
      <c r="B59" s="147" t="e">
        <f>CONCATENATE(IF($A59="","",VLOOKUP($A59,'İşçi Bilgileri'!$A$2:$D$700,2,FALSE))," ",IF($A59="","",VLOOKUP($A59,'İşçi Bilgileri'!$A$2:$D$700,3,FALSE)))</f>
        <v>#N/A</v>
      </c>
      <c r="C59" s="171" t="e">
        <f>IF($A59="","",VLOOKUP($A59,'İşçi Bilgileri'!$A$2:$D$700,4,FALSE))</f>
        <v>#N/A</v>
      </c>
      <c r="D59" s="298"/>
      <c r="E59" s="298"/>
      <c r="F59" s="298"/>
      <c r="G59" s="298"/>
      <c r="H59" s="298"/>
      <c r="I59" s="298"/>
      <c r="J59" s="298"/>
      <c r="K59" s="298"/>
      <c r="L59" s="298"/>
      <c r="M59" s="298"/>
      <c r="N59" s="298"/>
      <c r="O59" s="298"/>
      <c r="P59" s="298"/>
      <c r="Q59" s="298"/>
      <c r="R59" s="298"/>
      <c r="S59" s="298"/>
      <c r="T59" s="298"/>
      <c r="U59" s="298"/>
      <c r="V59" s="298"/>
      <c r="W59" s="298"/>
      <c r="X59" s="298"/>
      <c r="Y59" s="298"/>
      <c r="Z59" s="298"/>
      <c r="AA59" s="298"/>
      <c r="AB59" s="298"/>
      <c r="AC59" s="298"/>
      <c r="AD59" s="298"/>
      <c r="AE59" s="298"/>
      <c r="AF59" s="298"/>
      <c r="AG59" s="298"/>
      <c r="AH59" s="298"/>
      <c r="AI59" s="166">
        <f t="shared" si="0"/>
        <v>0</v>
      </c>
      <c r="AJ59" s="166">
        <f t="shared" si="1"/>
        <v>0</v>
      </c>
      <c r="AK59" s="166"/>
      <c r="AL59" s="230" t="e">
        <f>IF($A59="","",IF(VLOOKUP($A59,'İşçi Bilgileri'!$A$2:$J$700,9,FALSE)=0,"",VLOOKUP($A59,'İşçi Bilgileri'!$A$2:$J$700,9,FALSE)))</f>
        <v>#N/A</v>
      </c>
      <c r="AM59" s="172" t="e">
        <f>IF($A59="","",IF(VLOOKUP($A59,'İşçi Bilgileri'!$A$2:$J$700,10,FALSE)=0,"",VLOOKUP($A59,'İşçi Bilgileri'!$A$2:$J$700,10,FALSE)))</f>
        <v>#N/A</v>
      </c>
    </row>
    <row r="60" spans="1:39" x14ac:dyDescent="0.2">
      <c r="A60" s="170">
        <v>52</v>
      </c>
      <c r="B60" s="147" t="e">
        <f>CONCATENATE(IF($A60="","",VLOOKUP($A60,'İşçi Bilgileri'!$A$2:$D$700,2,FALSE))," ",IF($A60="","",VLOOKUP($A60,'İşçi Bilgileri'!$A$2:$D$700,3,FALSE)))</f>
        <v>#N/A</v>
      </c>
      <c r="C60" s="171" t="e">
        <f>IF($A60="","",VLOOKUP($A60,'İşçi Bilgileri'!$A$2:$D$700,4,FALSE))</f>
        <v>#N/A</v>
      </c>
      <c r="D60" s="298"/>
      <c r="E60" s="298"/>
      <c r="F60" s="298"/>
      <c r="G60" s="298"/>
      <c r="H60" s="298"/>
      <c r="I60" s="298"/>
      <c r="J60" s="298"/>
      <c r="K60" s="298"/>
      <c r="L60" s="298"/>
      <c r="M60" s="298"/>
      <c r="N60" s="298"/>
      <c r="O60" s="298"/>
      <c r="P60" s="298"/>
      <c r="Q60" s="298"/>
      <c r="R60" s="298"/>
      <c r="S60" s="298"/>
      <c r="T60" s="298"/>
      <c r="U60" s="298"/>
      <c r="V60" s="298"/>
      <c r="W60" s="298"/>
      <c r="X60" s="298"/>
      <c r="Y60" s="298"/>
      <c r="Z60" s="298"/>
      <c r="AA60" s="298"/>
      <c r="AB60" s="298"/>
      <c r="AC60" s="298"/>
      <c r="AD60" s="298"/>
      <c r="AE60" s="298"/>
      <c r="AF60" s="298"/>
      <c r="AG60" s="298"/>
      <c r="AH60" s="298"/>
      <c r="AI60" s="166">
        <f t="shared" si="0"/>
        <v>0</v>
      </c>
      <c r="AJ60" s="166">
        <f t="shared" si="1"/>
        <v>0</v>
      </c>
      <c r="AK60" s="166"/>
      <c r="AL60" s="230" t="e">
        <f>IF($A60="","",IF(VLOOKUP($A60,'İşçi Bilgileri'!$A$2:$J$700,9,FALSE)=0,"",VLOOKUP($A60,'İşçi Bilgileri'!$A$2:$J$700,9,FALSE)))</f>
        <v>#N/A</v>
      </c>
      <c r="AM60" s="172" t="e">
        <f>IF($A60="","",IF(VLOOKUP($A60,'İşçi Bilgileri'!$A$2:$J$700,10,FALSE)=0,"",VLOOKUP($A60,'İşçi Bilgileri'!$A$2:$J$700,10,FALSE)))</f>
        <v>#N/A</v>
      </c>
    </row>
    <row r="61" spans="1:39" x14ac:dyDescent="0.2">
      <c r="A61" s="170">
        <v>53</v>
      </c>
      <c r="B61" s="147" t="e">
        <f>CONCATENATE(IF($A61="","",VLOOKUP($A61,'İşçi Bilgileri'!$A$2:$D$700,2,FALSE))," ",IF($A61="","",VLOOKUP($A61,'İşçi Bilgileri'!$A$2:$D$700,3,FALSE)))</f>
        <v>#N/A</v>
      </c>
      <c r="C61" s="171" t="e">
        <f>IF($A61="","",VLOOKUP($A61,'İşçi Bilgileri'!$A$2:$D$700,4,FALSE))</f>
        <v>#N/A</v>
      </c>
      <c r="D61" s="298"/>
      <c r="E61" s="298"/>
      <c r="F61" s="298"/>
      <c r="G61" s="298"/>
      <c r="H61" s="298"/>
      <c r="I61" s="298"/>
      <c r="J61" s="298"/>
      <c r="K61" s="298"/>
      <c r="L61" s="298"/>
      <c r="M61" s="298"/>
      <c r="N61" s="298"/>
      <c r="O61" s="298"/>
      <c r="P61" s="298"/>
      <c r="Q61" s="298"/>
      <c r="R61" s="298"/>
      <c r="S61" s="298"/>
      <c r="T61" s="298"/>
      <c r="U61" s="298"/>
      <c r="V61" s="298"/>
      <c r="W61" s="298"/>
      <c r="X61" s="298"/>
      <c r="Y61" s="298"/>
      <c r="Z61" s="298"/>
      <c r="AA61" s="298"/>
      <c r="AB61" s="298"/>
      <c r="AC61" s="298"/>
      <c r="AD61" s="298"/>
      <c r="AE61" s="298"/>
      <c r="AF61" s="298"/>
      <c r="AG61" s="298"/>
      <c r="AH61" s="298"/>
      <c r="AI61" s="166">
        <f t="shared" si="0"/>
        <v>0</v>
      </c>
      <c r="AJ61" s="166">
        <f t="shared" si="1"/>
        <v>0</v>
      </c>
      <c r="AK61" s="166"/>
      <c r="AL61" s="230" t="e">
        <f>IF($A61="","",IF(VLOOKUP($A61,'İşçi Bilgileri'!$A$2:$J$700,9,FALSE)=0,"",VLOOKUP($A61,'İşçi Bilgileri'!$A$2:$J$700,9,FALSE)))</f>
        <v>#N/A</v>
      </c>
      <c r="AM61" s="172" t="e">
        <f>IF($A61="","",IF(VLOOKUP($A61,'İşçi Bilgileri'!$A$2:$J$700,10,FALSE)=0,"",VLOOKUP($A61,'İşçi Bilgileri'!$A$2:$J$700,10,FALSE)))</f>
        <v>#N/A</v>
      </c>
    </row>
    <row r="62" spans="1:39" x14ac:dyDescent="0.2">
      <c r="A62" s="170">
        <v>54</v>
      </c>
      <c r="B62" s="147" t="e">
        <f>CONCATENATE(IF($A62="","",VLOOKUP($A62,'İşçi Bilgileri'!$A$2:$D$700,2,FALSE))," ",IF($A62="","",VLOOKUP($A62,'İşçi Bilgileri'!$A$2:$D$700,3,FALSE)))</f>
        <v>#N/A</v>
      </c>
      <c r="C62" s="171" t="e">
        <f>IF($A62="","",VLOOKUP($A62,'İşçi Bilgileri'!$A$2:$D$700,4,FALSE))</f>
        <v>#N/A</v>
      </c>
      <c r="D62" s="298"/>
      <c r="E62" s="298"/>
      <c r="F62" s="298"/>
      <c r="G62" s="298"/>
      <c r="H62" s="298"/>
      <c r="I62" s="298"/>
      <c r="J62" s="298"/>
      <c r="K62" s="298"/>
      <c r="L62" s="298"/>
      <c r="M62" s="298"/>
      <c r="N62" s="298"/>
      <c r="O62" s="298"/>
      <c r="P62" s="298"/>
      <c r="Q62" s="298"/>
      <c r="R62" s="298"/>
      <c r="S62" s="298"/>
      <c r="T62" s="298"/>
      <c r="U62" s="298"/>
      <c r="V62" s="298"/>
      <c r="W62" s="298"/>
      <c r="X62" s="298"/>
      <c r="Y62" s="298"/>
      <c r="Z62" s="298"/>
      <c r="AA62" s="298"/>
      <c r="AB62" s="298"/>
      <c r="AC62" s="298"/>
      <c r="AD62" s="298"/>
      <c r="AE62" s="298"/>
      <c r="AF62" s="298"/>
      <c r="AG62" s="298"/>
      <c r="AH62" s="298"/>
      <c r="AI62" s="166">
        <f t="shared" si="0"/>
        <v>0</v>
      </c>
      <c r="AJ62" s="166">
        <f t="shared" si="1"/>
        <v>0</v>
      </c>
      <c r="AK62" s="166"/>
      <c r="AL62" s="230" t="e">
        <f>IF($A62="","",IF(VLOOKUP($A62,'İşçi Bilgileri'!$A$2:$J$700,9,FALSE)=0,"",VLOOKUP($A62,'İşçi Bilgileri'!$A$2:$J$700,9,FALSE)))</f>
        <v>#N/A</v>
      </c>
      <c r="AM62" s="172" t="e">
        <f>IF($A62="","",IF(VLOOKUP($A62,'İşçi Bilgileri'!$A$2:$J$700,10,FALSE)=0,"",VLOOKUP($A62,'İşçi Bilgileri'!$A$2:$J$700,10,FALSE)))</f>
        <v>#N/A</v>
      </c>
    </row>
    <row r="63" spans="1:39" x14ac:dyDescent="0.2">
      <c r="A63" s="170">
        <v>55</v>
      </c>
      <c r="B63" s="147" t="e">
        <f>CONCATENATE(IF($A63="","",VLOOKUP($A63,'İşçi Bilgileri'!$A$2:$D$700,2,FALSE))," ",IF($A63="","",VLOOKUP($A63,'İşçi Bilgileri'!$A$2:$D$700,3,FALSE)))</f>
        <v>#N/A</v>
      </c>
      <c r="C63" s="171" t="e">
        <f>IF($A63="","",VLOOKUP($A63,'İşçi Bilgileri'!$A$2:$D$700,4,FALSE))</f>
        <v>#N/A</v>
      </c>
      <c r="D63" s="298"/>
      <c r="E63" s="298"/>
      <c r="F63" s="298"/>
      <c r="G63" s="298"/>
      <c r="H63" s="298"/>
      <c r="I63" s="298"/>
      <c r="J63" s="298"/>
      <c r="K63" s="298"/>
      <c r="L63" s="298"/>
      <c r="M63" s="298"/>
      <c r="N63" s="298"/>
      <c r="O63" s="298"/>
      <c r="P63" s="298"/>
      <c r="Q63" s="298"/>
      <c r="R63" s="298"/>
      <c r="S63" s="298"/>
      <c r="T63" s="298"/>
      <c r="U63" s="298"/>
      <c r="V63" s="298"/>
      <c r="W63" s="298"/>
      <c r="X63" s="298"/>
      <c r="Y63" s="298"/>
      <c r="Z63" s="298"/>
      <c r="AA63" s="298"/>
      <c r="AB63" s="298"/>
      <c r="AC63" s="298"/>
      <c r="AD63" s="298"/>
      <c r="AE63" s="298"/>
      <c r="AF63" s="298"/>
      <c r="AG63" s="298"/>
      <c r="AH63" s="298"/>
      <c r="AI63" s="166">
        <f t="shared" si="0"/>
        <v>0</v>
      </c>
      <c r="AJ63" s="166">
        <f t="shared" si="1"/>
        <v>0</v>
      </c>
      <c r="AK63" s="166"/>
      <c r="AL63" s="230" t="e">
        <f>IF($A63="","",IF(VLOOKUP($A63,'İşçi Bilgileri'!$A$2:$J$700,9,FALSE)=0,"",VLOOKUP($A63,'İşçi Bilgileri'!$A$2:$J$700,9,FALSE)))</f>
        <v>#N/A</v>
      </c>
      <c r="AM63" s="172" t="e">
        <f>IF($A63="","",IF(VLOOKUP($A63,'İşçi Bilgileri'!$A$2:$J$700,10,FALSE)=0,"",VLOOKUP($A63,'İşçi Bilgileri'!$A$2:$J$700,10,FALSE)))</f>
        <v>#N/A</v>
      </c>
    </row>
    <row r="64" spans="1:39" x14ac:dyDescent="0.2">
      <c r="A64" s="170">
        <v>56</v>
      </c>
      <c r="B64" s="147" t="e">
        <f>CONCATENATE(IF($A64="","",VLOOKUP($A64,'İşçi Bilgileri'!$A$2:$D$700,2,FALSE))," ",IF($A64="","",VLOOKUP($A64,'İşçi Bilgileri'!$A$2:$D$700,3,FALSE)))</f>
        <v>#N/A</v>
      </c>
      <c r="C64" s="171" t="e">
        <f>IF($A64="","",VLOOKUP($A64,'İşçi Bilgileri'!$A$2:$D$700,4,FALSE))</f>
        <v>#N/A</v>
      </c>
      <c r="D64" s="298"/>
      <c r="E64" s="298"/>
      <c r="F64" s="298"/>
      <c r="G64" s="298"/>
      <c r="H64" s="298"/>
      <c r="I64" s="298"/>
      <c r="J64" s="298"/>
      <c r="K64" s="298"/>
      <c r="L64" s="298"/>
      <c r="M64" s="298"/>
      <c r="N64" s="298"/>
      <c r="O64" s="298"/>
      <c r="P64" s="298"/>
      <c r="Q64" s="298"/>
      <c r="R64" s="298"/>
      <c r="S64" s="298"/>
      <c r="T64" s="298"/>
      <c r="U64" s="298"/>
      <c r="V64" s="298"/>
      <c r="W64" s="298"/>
      <c r="X64" s="298"/>
      <c r="Y64" s="298"/>
      <c r="Z64" s="298"/>
      <c r="AA64" s="298"/>
      <c r="AB64" s="298"/>
      <c r="AC64" s="298"/>
      <c r="AD64" s="298"/>
      <c r="AE64" s="298"/>
      <c r="AF64" s="298"/>
      <c r="AG64" s="298"/>
      <c r="AH64" s="298"/>
      <c r="AI64" s="166">
        <f t="shared" si="0"/>
        <v>0</v>
      </c>
      <c r="AJ64" s="166">
        <f t="shared" si="1"/>
        <v>0</v>
      </c>
      <c r="AK64" s="166"/>
      <c r="AL64" s="230" t="e">
        <f>IF($A64="","",IF(VLOOKUP($A64,'İşçi Bilgileri'!$A$2:$J$700,9,FALSE)=0,"",VLOOKUP($A64,'İşçi Bilgileri'!$A$2:$J$700,9,FALSE)))</f>
        <v>#N/A</v>
      </c>
      <c r="AM64" s="172" t="e">
        <f>IF($A64="","",IF(VLOOKUP($A64,'İşçi Bilgileri'!$A$2:$J$700,10,FALSE)=0,"",VLOOKUP($A64,'İşçi Bilgileri'!$A$2:$J$700,10,FALSE)))</f>
        <v>#N/A</v>
      </c>
    </row>
    <row r="65" spans="1:39" x14ac:dyDescent="0.2">
      <c r="A65" s="170">
        <v>57</v>
      </c>
      <c r="B65" s="147" t="e">
        <f>CONCATENATE(IF($A65="","",VLOOKUP($A65,'İşçi Bilgileri'!$A$2:$D$700,2,FALSE))," ",IF($A65="","",VLOOKUP($A65,'İşçi Bilgileri'!$A$2:$D$700,3,FALSE)))</f>
        <v>#N/A</v>
      </c>
      <c r="C65" s="171" t="e">
        <f>IF($A65="","",VLOOKUP($A65,'İşçi Bilgileri'!$A$2:$D$700,4,FALSE))</f>
        <v>#N/A</v>
      </c>
      <c r="D65" s="298"/>
      <c r="E65" s="298"/>
      <c r="F65" s="298"/>
      <c r="G65" s="298"/>
      <c r="H65" s="298"/>
      <c r="I65" s="298"/>
      <c r="J65" s="298"/>
      <c r="K65" s="298"/>
      <c r="L65" s="298"/>
      <c r="M65" s="298"/>
      <c r="N65" s="298"/>
      <c r="O65" s="298"/>
      <c r="P65" s="298"/>
      <c r="Q65" s="298"/>
      <c r="R65" s="298"/>
      <c r="S65" s="298"/>
      <c r="T65" s="298"/>
      <c r="U65" s="298"/>
      <c r="V65" s="298"/>
      <c r="W65" s="298"/>
      <c r="X65" s="298"/>
      <c r="Y65" s="298"/>
      <c r="Z65" s="298"/>
      <c r="AA65" s="298"/>
      <c r="AB65" s="298"/>
      <c r="AC65" s="298"/>
      <c r="AD65" s="298"/>
      <c r="AE65" s="298"/>
      <c r="AF65" s="298"/>
      <c r="AG65" s="298"/>
      <c r="AH65" s="298"/>
      <c r="AI65" s="166">
        <f t="shared" si="0"/>
        <v>0</v>
      </c>
      <c r="AJ65" s="166">
        <f t="shared" si="1"/>
        <v>0</v>
      </c>
      <c r="AK65" s="166"/>
      <c r="AL65" s="230" t="e">
        <f>IF($A65="","",IF(VLOOKUP($A65,'İşçi Bilgileri'!$A$2:$J$700,9,FALSE)=0,"",VLOOKUP($A65,'İşçi Bilgileri'!$A$2:$J$700,9,FALSE)))</f>
        <v>#N/A</v>
      </c>
      <c r="AM65" s="172" t="e">
        <f>IF($A65="","",IF(VLOOKUP($A65,'İşçi Bilgileri'!$A$2:$J$700,10,FALSE)=0,"",VLOOKUP($A65,'İşçi Bilgileri'!$A$2:$J$700,10,FALSE)))</f>
        <v>#N/A</v>
      </c>
    </row>
    <row r="66" spans="1:39" x14ac:dyDescent="0.2">
      <c r="A66" s="170">
        <v>58</v>
      </c>
      <c r="B66" s="147" t="e">
        <f>CONCATENATE(IF($A66="","",VLOOKUP($A66,'İşçi Bilgileri'!$A$2:$D$700,2,FALSE))," ",IF($A66="","",VLOOKUP($A66,'İşçi Bilgileri'!$A$2:$D$700,3,FALSE)))</f>
        <v>#N/A</v>
      </c>
      <c r="C66" s="171" t="e">
        <f>IF($A66="","",VLOOKUP($A66,'İşçi Bilgileri'!$A$2:$D$700,4,FALSE))</f>
        <v>#N/A</v>
      </c>
      <c r="D66" s="298"/>
      <c r="E66" s="298"/>
      <c r="F66" s="298"/>
      <c r="G66" s="298"/>
      <c r="H66" s="298"/>
      <c r="I66" s="298"/>
      <c r="J66" s="298"/>
      <c r="K66" s="298"/>
      <c r="L66" s="298"/>
      <c r="M66" s="298"/>
      <c r="N66" s="298"/>
      <c r="O66" s="298"/>
      <c r="P66" s="298"/>
      <c r="Q66" s="298"/>
      <c r="R66" s="298"/>
      <c r="S66" s="298"/>
      <c r="T66" s="298"/>
      <c r="U66" s="298"/>
      <c r="V66" s="298"/>
      <c r="W66" s="298"/>
      <c r="X66" s="298"/>
      <c r="Y66" s="298"/>
      <c r="Z66" s="298"/>
      <c r="AA66" s="298"/>
      <c r="AB66" s="298"/>
      <c r="AC66" s="298"/>
      <c r="AD66" s="298"/>
      <c r="AE66" s="298"/>
      <c r="AF66" s="298"/>
      <c r="AG66" s="298"/>
      <c r="AH66" s="298"/>
      <c r="AI66" s="166">
        <f t="shared" si="0"/>
        <v>0</v>
      </c>
      <c r="AJ66" s="166">
        <f t="shared" si="1"/>
        <v>0</v>
      </c>
      <c r="AK66" s="166"/>
      <c r="AL66" s="230" t="e">
        <f>IF($A66="","",IF(VLOOKUP($A66,'İşçi Bilgileri'!$A$2:$J$700,9,FALSE)=0,"",VLOOKUP($A66,'İşçi Bilgileri'!$A$2:$J$700,9,FALSE)))</f>
        <v>#N/A</v>
      </c>
      <c r="AM66" s="172" t="e">
        <f>IF($A66="","",IF(VLOOKUP($A66,'İşçi Bilgileri'!$A$2:$J$700,10,FALSE)=0,"",VLOOKUP($A66,'İşçi Bilgileri'!$A$2:$J$700,10,FALSE)))</f>
        <v>#N/A</v>
      </c>
    </row>
    <row r="67" spans="1:39" x14ac:dyDescent="0.2">
      <c r="A67" s="170">
        <v>59</v>
      </c>
      <c r="B67" s="147" t="e">
        <f>CONCATENATE(IF($A67="","",VLOOKUP($A67,'İşçi Bilgileri'!$A$2:$D$700,2,FALSE))," ",IF($A67="","",VLOOKUP($A67,'İşçi Bilgileri'!$A$2:$D$700,3,FALSE)))</f>
        <v>#N/A</v>
      </c>
      <c r="C67" s="171" t="e">
        <f>IF($A67="","",VLOOKUP($A67,'İşçi Bilgileri'!$A$2:$D$700,4,FALSE))</f>
        <v>#N/A</v>
      </c>
      <c r="D67" s="298"/>
      <c r="E67" s="298"/>
      <c r="F67" s="298"/>
      <c r="G67" s="298"/>
      <c r="H67" s="298"/>
      <c r="I67" s="298"/>
      <c r="J67" s="298"/>
      <c r="K67" s="298"/>
      <c r="L67" s="298"/>
      <c r="M67" s="298"/>
      <c r="N67" s="298"/>
      <c r="O67" s="298"/>
      <c r="P67" s="298"/>
      <c r="Q67" s="298"/>
      <c r="R67" s="298"/>
      <c r="S67" s="298"/>
      <c r="T67" s="298"/>
      <c r="U67" s="298"/>
      <c r="V67" s="298"/>
      <c r="W67" s="298"/>
      <c r="X67" s="298"/>
      <c r="Y67" s="298"/>
      <c r="Z67" s="298"/>
      <c r="AA67" s="298"/>
      <c r="AB67" s="298"/>
      <c r="AC67" s="298"/>
      <c r="AD67" s="298"/>
      <c r="AE67" s="298"/>
      <c r="AF67" s="298"/>
      <c r="AG67" s="298"/>
      <c r="AH67" s="298"/>
      <c r="AI67" s="166">
        <f t="shared" si="0"/>
        <v>0</v>
      </c>
      <c r="AJ67" s="166">
        <f t="shared" si="1"/>
        <v>0</v>
      </c>
      <c r="AK67" s="166"/>
      <c r="AL67" s="230" t="e">
        <f>IF($A67="","",IF(VLOOKUP($A67,'İşçi Bilgileri'!$A$2:$J$700,9,FALSE)=0,"",VLOOKUP($A67,'İşçi Bilgileri'!$A$2:$J$700,9,FALSE)))</f>
        <v>#N/A</v>
      </c>
      <c r="AM67" s="172" t="e">
        <f>IF($A67="","",IF(VLOOKUP($A67,'İşçi Bilgileri'!$A$2:$J$700,10,FALSE)=0,"",VLOOKUP($A67,'İşçi Bilgileri'!$A$2:$J$700,10,FALSE)))</f>
        <v>#N/A</v>
      </c>
    </row>
    <row r="68" spans="1:39" x14ac:dyDescent="0.2">
      <c r="A68" s="170">
        <v>60</v>
      </c>
      <c r="B68" s="147" t="e">
        <f>CONCATENATE(IF($A68="","",VLOOKUP($A68,'İşçi Bilgileri'!$A$2:$D$700,2,FALSE))," ",IF($A68="","",VLOOKUP($A68,'İşçi Bilgileri'!$A$2:$D$700,3,FALSE)))</f>
        <v>#N/A</v>
      </c>
      <c r="C68" s="171" t="e">
        <f>IF($A68="","",VLOOKUP($A68,'İşçi Bilgileri'!$A$2:$D$700,4,FALSE))</f>
        <v>#N/A</v>
      </c>
      <c r="D68" s="298"/>
      <c r="E68" s="298"/>
      <c r="F68" s="298"/>
      <c r="G68" s="298"/>
      <c r="H68" s="298"/>
      <c r="I68" s="298"/>
      <c r="J68" s="298"/>
      <c r="K68" s="298"/>
      <c r="L68" s="298"/>
      <c r="M68" s="298"/>
      <c r="N68" s="298"/>
      <c r="O68" s="298"/>
      <c r="P68" s="298"/>
      <c r="Q68" s="298"/>
      <c r="R68" s="298"/>
      <c r="S68" s="298"/>
      <c r="T68" s="298"/>
      <c r="U68" s="298"/>
      <c r="V68" s="298"/>
      <c r="W68" s="298"/>
      <c r="X68" s="298"/>
      <c r="Y68" s="298"/>
      <c r="Z68" s="298"/>
      <c r="AA68" s="298"/>
      <c r="AB68" s="298"/>
      <c r="AC68" s="298"/>
      <c r="AD68" s="298"/>
      <c r="AE68" s="298"/>
      <c r="AF68" s="298"/>
      <c r="AG68" s="298"/>
      <c r="AH68" s="298"/>
      <c r="AI68" s="166">
        <f t="shared" si="0"/>
        <v>0</v>
      </c>
      <c r="AJ68" s="166">
        <f t="shared" si="1"/>
        <v>0</v>
      </c>
      <c r="AK68" s="166"/>
      <c r="AL68" s="230" t="e">
        <f>IF($A68="","",IF(VLOOKUP($A68,'İşçi Bilgileri'!$A$2:$J$700,9,FALSE)=0,"",VLOOKUP($A68,'İşçi Bilgileri'!$A$2:$J$700,9,FALSE)))</f>
        <v>#N/A</v>
      </c>
      <c r="AM68" s="172" t="e">
        <f>IF($A68="","",IF(VLOOKUP($A68,'İşçi Bilgileri'!$A$2:$J$700,10,FALSE)=0,"",VLOOKUP($A68,'İşçi Bilgileri'!$A$2:$J$700,10,FALSE)))</f>
        <v>#N/A</v>
      </c>
    </row>
    <row r="69" spans="1:39" x14ac:dyDescent="0.2">
      <c r="A69" s="170">
        <v>61</v>
      </c>
      <c r="B69" s="147" t="e">
        <f>CONCATENATE(IF($A69="","",VLOOKUP($A69,'İşçi Bilgileri'!$A$2:$D$700,2,FALSE))," ",IF($A69="","",VLOOKUP($A69,'İşçi Bilgileri'!$A$2:$D$700,3,FALSE)))</f>
        <v>#N/A</v>
      </c>
      <c r="C69" s="171" t="e">
        <f>IF($A69="","",VLOOKUP($A69,'İşçi Bilgileri'!$A$2:$D$700,4,FALSE))</f>
        <v>#N/A</v>
      </c>
      <c r="D69" s="298"/>
      <c r="E69" s="298"/>
      <c r="F69" s="298"/>
      <c r="G69" s="298"/>
      <c r="H69" s="298"/>
      <c r="I69" s="298"/>
      <c r="J69" s="298"/>
      <c r="K69" s="298"/>
      <c r="L69" s="298"/>
      <c r="M69" s="298"/>
      <c r="N69" s="298"/>
      <c r="O69" s="298"/>
      <c r="P69" s="298"/>
      <c r="Q69" s="298"/>
      <c r="R69" s="298"/>
      <c r="S69" s="298"/>
      <c r="T69" s="298"/>
      <c r="U69" s="298"/>
      <c r="V69" s="298"/>
      <c r="W69" s="298"/>
      <c r="X69" s="298"/>
      <c r="Y69" s="298"/>
      <c r="Z69" s="298"/>
      <c r="AA69" s="298"/>
      <c r="AB69" s="298"/>
      <c r="AC69" s="298"/>
      <c r="AD69" s="298"/>
      <c r="AE69" s="298"/>
      <c r="AF69" s="298"/>
      <c r="AG69" s="298"/>
      <c r="AH69" s="298"/>
      <c r="AI69" s="166">
        <f t="shared" si="0"/>
        <v>0</v>
      </c>
      <c r="AJ69" s="166">
        <f t="shared" si="1"/>
        <v>0</v>
      </c>
      <c r="AK69" s="166"/>
      <c r="AL69" s="230" t="e">
        <f>IF($A69="","",IF(VLOOKUP($A69,'İşçi Bilgileri'!$A$2:$J$700,9,FALSE)=0,"",VLOOKUP($A69,'İşçi Bilgileri'!$A$2:$J$700,9,FALSE)))</f>
        <v>#N/A</v>
      </c>
      <c r="AM69" s="172" t="e">
        <f>IF($A69="","",IF(VLOOKUP($A69,'İşçi Bilgileri'!$A$2:$J$700,10,FALSE)=0,"",VLOOKUP($A69,'İşçi Bilgileri'!$A$2:$J$700,10,FALSE)))</f>
        <v>#N/A</v>
      </c>
    </row>
    <row r="70" spans="1:39" x14ac:dyDescent="0.2">
      <c r="A70" s="170">
        <v>62</v>
      </c>
      <c r="B70" s="147" t="e">
        <f>CONCATENATE(IF($A70="","",VLOOKUP($A70,'İşçi Bilgileri'!$A$2:$D$700,2,FALSE))," ",IF($A70="","",VLOOKUP($A70,'İşçi Bilgileri'!$A$2:$D$700,3,FALSE)))</f>
        <v>#N/A</v>
      </c>
      <c r="C70" s="171" t="e">
        <f>IF($A70="","",VLOOKUP($A70,'İşçi Bilgileri'!$A$2:$D$700,4,FALSE))</f>
        <v>#N/A</v>
      </c>
      <c r="D70" s="298"/>
      <c r="E70" s="298"/>
      <c r="F70" s="298"/>
      <c r="G70" s="298"/>
      <c r="H70" s="298"/>
      <c r="I70" s="298"/>
      <c r="J70" s="298"/>
      <c r="K70" s="298"/>
      <c r="L70" s="298"/>
      <c r="M70" s="298"/>
      <c r="N70" s="298"/>
      <c r="O70" s="298"/>
      <c r="P70" s="298"/>
      <c r="Q70" s="298"/>
      <c r="R70" s="298"/>
      <c r="S70" s="298"/>
      <c r="T70" s="298"/>
      <c r="U70" s="298"/>
      <c r="V70" s="298"/>
      <c r="W70" s="298"/>
      <c r="X70" s="298"/>
      <c r="Y70" s="298"/>
      <c r="Z70" s="298"/>
      <c r="AA70" s="298"/>
      <c r="AB70" s="298"/>
      <c r="AC70" s="298"/>
      <c r="AD70" s="298"/>
      <c r="AE70" s="298"/>
      <c r="AF70" s="298"/>
      <c r="AG70" s="298"/>
      <c r="AH70" s="298"/>
      <c r="AI70" s="166">
        <f t="shared" si="0"/>
        <v>0</v>
      </c>
      <c r="AJ70" s="166">
        <f t="shared" si="1"/>
        <v>0</v>
      </c>
      <c r="AK70" s="166"/>
      <c r="AL70" s="230" t="e">
        <f>IF($A70="","",IF(VLOOKUP($A70,'İşçi Bilgileri'!$A$2:$J$700,9,FALSE)=0,"",VLOOKUP($A70,'İşçi Bilgileri'!$A$2:$J$700,9,FALSE)))</f>
        <v>#N/A</v>
      </c>
      <c r="AM70" s="172" t="e">
        <f>IF($A70="","",IF(VLOOKUP($A70,'İşçi Bilgileri'!$A$2:$J$700,10,FALSE)=0,"",VLOOKUP($A70,'İşçi Bilgileri'!$A$2:$J$700,10,FALSE)))</f>
        <v>#N/A</v>
      </c>
    </row>
    <row r="71" spans="1:39" ht="18" customHeight="1" x14ac:dyDescent="0.2">
      <c r="A71" s="170">
        <v>63</v>
      </c>
      <c r="B71" s="147" t="e">
        <f>CONCATENATE(IF($A71="","",VLOOKUP($A71,'İşçi Bilgileri'!$A$2:$D$700,2,FALSE))," ",IF($A71="","",VLOOKUP($A71,'İşçi Bilgileri'!$A$2:$D$700,3,FALSE)))</f>
        <v>#N/A</v>
      </c>
      <c r="C71" s="171" t="e">
        <f>IF($A71="","",VLOOKUP($A71,'İşçi Bilgileri'!$A$2:$D$700,4,FALSE))</f>
        <v>#N/A</v>
      </c>
      <c r="D71" s="298"/>
      <c r="E71" s="298"/>
      <c r="F71" s="298"/>
      <c r="G71" s="298"/>
      <c r="H71" s="298"/>
      <c r="I71" s="298"/>
      <c r="J71" s="298"/>
      <c r="K71" s="298"/>
      <c r="L71" s="298"/>
      <c r="M71" s="298"/>
      <c r="N71" s="298"/>
      <c r="O71" s="298"/>
      <c r="P71" s="298"/>
      <c r="Q71" s="298"/>
      <c r="R71" s="298"/>
      <c r="S71" s="298"/>
      <c r="T71" s="298"/>
      <c r="U71" s="298"/>
      <c r="V71" s="298"/>
      <c r="W71" s="298"/>
      <c r="X71" s="298"/>
      <c r="Y71" s="298"/>
      <c r="Z71" s="298"/>
      <c r="AA71" s="298"/>
      <c r="AB71" s="298"/>
      <c r="AC71" s="298"/>
      <c r="AD71" s="298"/>
      <c r="AE71" s="298"/>
      <c r="AF71" s="298"/>
      <c r="AG71" s="298"/>
      <c r="AH71" s="298"/>
      <c r="AI71" s="166">
        <f t="shared" si="0"/>
        <v>0</v>
      </c>
      <c r="AJ71" s="166">
        <f t="shared" si="1"/>
        <v>0</v>
      </c>
      <c r="AK71" s="166"/>
      <c r="AL71" s="230" t="e">
        <f>IF($A71="","",IF(VLOOKUP($A71,'İşçi Bilgileri'!$A$2:$J$700,9,FALSE)=0,"",VLOOKUP($A71,'İşçi Bilgileri'!$A$2:$J$700,9,FALSE)))</f>
        <v>#N/A</v>
      </c>
      <c r="AM71" s="172" t="e">
        <f>IF($A71="","",IF(VLOOKUP($A71,'İşçi Bilgileri'!$A$2:$J$700,10,FALSE)=0,"",VLOOKUP($A71,'İşçi Bilgileri'!$A$2:$J$700,10,FALSE)))</f>
        <v>#N/A</v>
      </c>
    </row>
    <row r="72" spans="1:39" x14ac:dyDescent="0.2">
      <c r="A72" s="170">
        <v>64</v>
      </c>
      <c r="B72" s="147" t="e">
        <f>CONCATENATE(IF($A72="","",VLOOKUP($A72,'İşçi Bilgileri'!$A$2:$D$700,2,FALSE))," ",IF($A72="","",VLOOKUP($A72,'İşçi Bilgileri'!$A$2:$D$700,3,FALSE)))</f>
        <v>#N/A</v>
      </c>
      <c r="C72" s="171" t="e">
        <f>IF($A72="","",VLOOKUP($A72,'İşçi Bilgileri'!$A$2:$D$700,4,FALSE))</f>
        <v>#N/A</v>
      </c>
      <c r="D72" s="298"/>
      <c r="E72" s="298"/>
      <c r="F72" s="298"/>
      <c r="G72" s="298"/>
      <c r="H72" s="298"/>
      <c r="I72" s="298"/>
      <c r="J72" s="298"/>
      <c r="K72" s="298"/>
      <c r="L72" s="298"/>
      <c r="M72" s="298"/>
      <c r="N72" s="298"/>
      <c r="O72" s="298"/>
      <c r="P72" s="298"/>
      <c r="Q72" s="298"/>
      <c r="R72" s="298"/>
      <c r="S72" s="298"/>
      <c r="T72" s="298"/>
      <c r="U72" s="298"/>
      <c r="V72" s="298"/>
      <c r="W72" s="298"/>
      <c r="X72" s="298"/>
      <c r="Y72" s="298"/>
      <c r="Z72" s="298"/>
      <c r="AA72" s="298"/>
      <c r="AB72" s="298"/>
      <c r="AC72" s="298"/>
      <c r="AD72" s="298"/>
      <c r="AE72" s="298"/>
      <c r="AF72" s="298"/>
      <c r="AG72" s="298"/>
      <c r="AH72" s="298"/>
      <c r="AI72" s="166">
        <f t="shared" si="0"/>
        <v>0</v>
      </c>
      <c r="AJ72" s="166">
        <f t="shared" si="1"/>
        <v>0</v>
      </c>
      <c r="AK72" s="166"/>
      <c r="AL72" s="230" t="e">
        <f>IF($A72="","",IF(VLOOKUP($A72,'İşçi Bilgileri'!$A$2:$J$700,9,FALSE)=0,"",VLOOKUP($A72,'İşçi Bilgileri'!$A$2:$J$700,9,FALSE)))</f>
        <v>#N/A</v>
      </c>
      <c r="AM72" s="172" t="e">
        <f>IF($A72="","",IF(VLOOKUP($A72,'İşçi Bilgileri'!$A$2:$J$700,10,FALSE)=0,"",VLOOKUP($A72,'İşçi Bilgileri'!$A$2:$J$700,10,FALSE)))</f>
        <v>#N/A</v>
      </c>
    </row>
    <row r="73" spans="1:39" x14ac:dyDescent="0.2">
      <c r="A73" s="170">
        <v>65</v>
      </c>
      <c r="B73" s="147" t="e">
        <f>CONCATENATE(IF($A73="","",VLOOKUP($A73,'İşçi Bilgileri'!$A$2:$D$700,2,FALSE))," ",IF($A73="","",VLOOKUP($A73,'İşçi Bilgileri'!$A$2:$D$700,3,FALSE)))</f>
        <v>#N/A</v>
      </c>
      <c r="C73" s="171" t="e">
        <f>IF($A73="","",VLOOKUP($A73,'İşçi Bilgileri'!$A$2:$D$700,4,FALSE))</f>
        <v>#N/A</v>
      </c>
      <c r="D73" s="298"/>
      <c r="E73" s="298"/>
      <c r="F73" s="298"/>
      <c r="G73" s="298"/>
      <c r="H73" s="298"/>
      <c r="I73" s="298"/>
      <c r="J73" s="298"/>
      <c r="K73" s="298"/>
      <c r="L73" s="298"/>
      <c r="M73" s="298"/>
      <c r="N73" s="298"/>
      <c r="O73" s="298"/>
      <c r="P73" s="298"/>
      <c r="Q73" s="298"/>
      <c r="R73" s="298"/>
      <c r="S73" s="298"/>
      <c r="T73" s="298"/>
      <c r="U73" s="298"/>
      <c r="V73" s="298"/>
      <c r="W73" s="298"/>
      <c r="X73" s="298"/>
      <c r="Y73" s="298"/>
      <c r="Z73" s="298"/>
      <c r="AA73" s="298"/>
      <c r="AB73" s="298"/>
      <c r="AC73" s="298"/>
      <c r="AD73" s="298"/>
      <c r="AE73" s="298"/>
      <c r="AF73" s="298"/>
      <c r="AG73" s="298"/>
      <c r="AH73" s="298"/>
      <c r="AI73" s="166">
        <f t="shared" si="0"/>
        <v>0</v>
      </c>
      <c r="AJ73" s="166">
        <f t="shared" si="1"/>
        <v>0</v>
      </c>
      <c r="AK73" s="166"/>
      <c r="AL73" s="230" t="e">
        <f>IF($A73="","",IF(VLOOKUP($A73,'İşçi Bilgileri'!$A$2:$J$700,9,FALSE)=0,"",VLOOKUP($A73,'İşçi Bilgileri'!$A$2:$J$700,9,FALSE)))</f>
        <v>#N/A</v>
      </c>
      <c r="AM73" s="172" t="e">
        <f>IF($A73="","",IF(VLOOKUP($A73,'İşçi Bilgileri'!$A$2:$J$700,10,FALSE)=0,"",VLOOKUP($A73,'İşçi Bilgileri'!$A$2:$J$700,10,FALSE)))</f>
        <v>#N/A</v>
      </c>
    </row>
    <row r="74" spans="1:39" x14ac:dyDescent="0.2">
      <c r="A74" s="170">
        <v>66</v>
      </c>
      <c r="B74" s="147" t="e">
        <f>CONCATENATE(IF($A74="","",VLOOKUP($A74,'İşçi Bilgileri'!$A$2:$D$700,2,FALSE))," ",IF($A74="","",VLOOKUP($A74,'İşçi Bilgileri'!$A$2:$D$700,3,FALSE)))</f>
        <v>#N/A</v>
      </c>
      <c r="C74" s="171" t="e">
        <f>IF($A74="","",VLOOKUP($A74,'İşçi Bilgileri'!$A$2:$D$700,4,FALSE))</f>
        <v>#N/A</v>
      </c>
      <c r="D74" s="298"/>
      <c r="E74" s="298"/>
      <c r="F74" s="298"/>
      <c r="G74" s="298"/>
      <c r="H74" s="298"/>
      <c r="I74" s="298"/>
      <c r="J74" s="298"/>
      <c r="K74" s="298"/>
      <c r="L74" s="298"/>
      <c r="M74" s="298"/>
      <c r="N74" s="298"/>
      <c r="O74" s="298"/>
      <c r="P74" s="298"/>
      <c r="Q74" s="298"/>
      <c r="R74" s="298"/>
      <c r="S74" s="298"/>
      <c r="T74" s="298"/>
      <c r="U74" s="298"/>
      <c r="V74" s="298"/>
      <c r="W74" s="298"/>
      <c r="X74" s="298"/>
      <c r="Y74" s="298"/>
      <c r="Z74" s="298"/>
      <c r="AA74" s="298"/>
      <c r="AB74" s="298"/>
      <c r="AC74" s="298"/>
      <c r="AD74" s="298"/>
      <c r="AE74" s="298"/>
      <c r="AF74" s="298"/>
      <c r="AG74" s="298"/>
      <c r="AH74" s="298"/>
      <c r="AI74" s="166">
        <f t="shared" ref="AI74:AI137" si="2">SUM(COUNTIF(D74:AH74,"İ"),COUNTIF(D74:AH74,"R"),COUNTIF(D74:AH74,"D"),COUNTIF(D74:AH74,"C"))</f>
        <v>0</v>
      </c>
      <c r="AJ74" s="166">
        <f t="shared" ref="AJ74:AJ137" si="3">IF(COUNTIF(D74:AH74,"X")=$AL$6,30,COUNTIF(D74:AH74,"X"))</f>
        <v>0</v>
      </c>
      <c r="AK74" s="166"/>
      <c r="AL74" s="230" t="e">
        <f>IF($A74="","",IF(VLOOKUP($A74,'İşçi Bilgileri'!$A$2:$J$700,9,FALSE)=0,"",VLOOKUP($A74,'İşçi Bilgileri'!$A$2:$J$700,9,FALSE)))</f>
        <v>#N/A</v>
      </c>
      <c r="AM74" s="172" t="e">
        <f>IF($A74="","",IF(VLOOKUP($A74,'İşçi Bilgileri'!$A$2:$J$700,10,FALSE)=0,"",VLOOKUP($A74,'İşçi Bilgileri'!$A$2:$J$700,10,FALSE)))</f>
        <v>#N/A</v>
      </c>
    </row>
    <row r="75" spans="1:39" x14ac:dyDescent="0.2">
      <c r="A75" s="170">
        <v>67</v>
      </c>
      <c r="B75" s="147" t="e">
        <f>CONCATENATE(IF($A75="","",VLOOKUP($A75,'İşçi Bilgileri'!$A$2:$D$700,2,FALSE))," ",IF($A75="","",VLOOKUP($A75,'İşçi Bilgileri'!$A$2:$D$700,3,FALSE)))</f>
        <v>#N/A</v>
      </c>
      <c r="C75" s="171" t="e">
        <f>IF($A75="","",VLOOKUP($A75,'İşçi Bilgileri'!$A$2:$D$700,4,FALSE))</f>
        <v>#N/A</v>
      </c>
      <c r="D75" s="298"/>
      <c r="E75" s="298"/>
      <c r="F75" s="298"/>
      <c r="G75" s="298"/>
      <c r="H75" s="298"/>
      <c r="I75" s="298"/>
      <c r="J75" s="298"/>
      <c r="K75" s="298"/>
      <c r="L75" s="298"/>
      <c r="M75" s="298"/>
      <c r="N75" s="298"/>
      <c r="O75" s="298"/>
      <c r="P75" s="298"/>
      <c r="Q75" s="298"/>
      <c r="R75" s="298"/>
      <c r="S75" s="298"/>
      <c r="T75" s="298"/>
      <c r="U75" s="298"/>
      <c r="V75" s="298"/>
      <c r="W75" s="298"/>
      <c r="X75" s="298"/>
      <c r="Y75" s="298"/>
      <c r="Z75" s="298"/>
      <c r="AA75" s="298"/>
      <c r="AB75" s="298"/>
      <c r="AC75" s="298"/>
      <c r="AD75" s="298"/>
      <c r="AE75" s="298"/>
      <c r="AF75" s="298"/>
      <c r="AG75" s="298"/>
      <c r="AH75" s="298"/>
      <c r="AI75" s="166">
        <f t="shared" si="2"/>
        <v>0</v>
      </c>
      <c r="AJ75" s="166">
        <f t="shared" si="3"/>
        <v>0</v>
      </c>
      <c r="AK75" s="166"/>
      <c r="AL75" s="230" t="e">
        <f>IF($A75="","",IF(VLOOKUP($A75,'İşçi Bilgileri'!$A$2:$J$700,9,FALSE)=0,"",VLOOKUP($A75,'İşçi Bilgileri'!$A$2:$J$700,9,FALSE)))</f>
        <v>#N/A</v>
      </c>
      <c r="AM75" s="172" t="e">
        <f>IF($A75="","",IF(VLOOKUP($A75,'İşçi Bilgileri'!$A$2:$J$700,10,FALSE)=0,"",VLOOKUP($A75,'İşçi Bilgileri'!$A$2:$J$700,10,FALSE)))</f>
        <v>#N/A</v>
      </c>
    </row>
    <row r="76" spans="1:39" x14ac:dyDescent="0.2">
      <c r="A76" s="170">
        <v>68</v>
      </c>
      <c r="B76" s="147" t="e">
        <f>CONCATENATE(IF($A76="","",VLOOKUP($A76,'İşçi Bilgileri'!$A$2:$D$700,2,FALSE))," ",IF($A76="","",VLOOKUP($A76,'İşçi Bilgileri'!$A$2:$D$700,3,FALSE)))</f>
        <v>#N/A</v>
      </c>
      <c r="C76" s="171" t="e">
        <f>IF($A76="","",VLOOKUP($A76,'İşçi Bilgileri'!$A$2:$D$700,4,FALSE))</f>
        <v>#N/A</v>
      </c>
      <c r="D76" s="298"/>
      <c r="E76" s="298"/>
      <c r="F76" s="298"/>
      <c r="G76" s="298"/>
      <c r="H76" s="298"/>
      <c r="I76" s="298"/>
      <c r="J76" s="298"/>
      <c r="K76" s="298"/>
      <c r="L76" s="298"/>
      <c r="M76" s="298"/>
      <c r="N76" s="298"/>
      <c r="O76" s="298"/>
      <c r="P76" s="298"/>
      <c r="Q76" s="298"/>
      <c r="R76" s="298"/>
      <c r="S76" s="298"/>
      <c r="T76" s="298"/>
      <c r="U76" s="298"/>
      <c r="V76" s="298"/>
      <c r="W76" s="298"/>
      <c r="X76" s="298"/>
      <c r="Y76" s="298"/>
      <c r="Z76" s="298"/>
      <c r="AA76" s="298"/>
      <c r="AB76" s="298"/>
      <c r="AC76" s="298"/>
      <c r="AD76" s="298"/>
      <c r="AE76" s="298"/>
      <c r="AF76" s="298"/>
      <c r="AG76" s="298"/>
      <c r="AH76" s="298"/>
      <c r="AI76" s="166">
        <f t="shared" si="2"/>
        <v>0</v>
      </c>
      <c r="AJ76" s="166">
        <f t="shared" si="3"/>
        <v>0</v>
      </c>
      <c r="AK76" s="166"/>
      <c r="AL76" s="230" t="e">
        <f>IF($A76="","",IF(VLOOKUP($A76,'İşçi Bilgileri'!$A$2:$J$700,9,FALSE)=0,"",VLOOKUP($A76,'İşçi Bilgileri'!$A$2:$J$700,9,FALSE)))</f>
        <v>#N/A</v>
      </c>
      <c r="AM76" s="172" t="e">
        <f>IF($A76="","",IF(VLOOKUP($A76,'İşçi Bilgileri'!$A$2:$J$700,10,FALSE)=0,"",VLOOKUP($A76,'İşçi Bilgileri'!$A$2:$J$700,10,FALSE)))</f>
        <v>#N/A</v>
      </c>
    </row>
    <row r="77" spans="1:39" x14ac:dyDescent="0.2">
      <c r="A77" s="170">
        <v>69</v>
      </c>
      <c r="B77" s="147" t="e">
        <f>CONCATENATE(IF($A77="","",VLOOKUP($A77,'İşçi Bilgileri'!$A$2:$D$700,2,FALSE))," ",IF($A77="","",VLOOKUP($A77,'İşçi Bilgileri'!$A$2:$D$700,3,FALSE)))</f>
        <v>#N/A</v>
      </c>
      <c r="C77" s="171" t="e">
        <f>IF($A77="","",VLOOKUP($A77,'İşçi Bilgileri'!$A$2:$D$700,4,FALSE))</f>
        <v>#N/A</v>
      </c>
      <c r="D77" s="298"/>
      <c r="E77" s="298"/>
      <c r="F77" s="298"/>
      <c r="G77" s="298"/>
      <c r="H77" s="298"/>
      <c r="I77" s="298"/>
      <c r="J77" s="298"/>
      <c r="K77" s="298"/>
      <c r="L77" s="298"/>
      <c r="M77" s="298"/>
      <c r="N77" s="298"/>
      <c r="O77" s="298"/>
      <c r="P77" s="298"/>
      <c r="Q77" s="298"/>
      <c r="R77" s="298"/>
      <c r="S77" s="298"/>
      <c r="T77" s="298"/>
      <c r="U77" s="298"/>
      <c r="V77" s="298"/>
      <c r="W77" s="298"/>
      <c r="X77" s="298"/>
      <c r="Y77" s="298"/>
      <c r="Z77" s="298"/>
      <c r="AA77" s="298"/>
      <c r="AB77" s="298"/>
      <c r="AC77" s="298"/>
      <c r="AD77" s="298"/>
      <c r="AE77" s="298"/>
      <c r="AF77" s="298"/>
      <c r="AG77" s="298"/>
      <c r="AH77" s="298"/>
      <c r="AI77" s="166">
        <f t="shared" si="2"/>
        <v>0</v>
      </c>
      <c r="AJ77" s="166">
        <f t="shared" si="3"/>
        <v>0</v>
      </c>
      <c r="AK77" s="166"/>
      <c r="AL77" s="230" t="e">
        <f>IF($A77="","",IF(VLOOKUP($A77,'İşçi Bilgileri'!$A$2:$J$700,9,FALSE)=0,"",VLOOKUP($A77,'İşçi Bilgileri'!$A$2:$J$700,9,FALSE)))</f>
        <v>#N/A</v>
      </c>
      <c r="AM77" s="172" t="e">
        <f>IF($A77="","",IF(VLOOKUP($A77,'İşçi Bilgileri'!$A$2:$J$700,10,FALSE)=0,"",VLOOKUP($A77,'İşçi Bilgileri'!$A$2:$J$700,10,FALSE)))</f>
        <v>#N/A</v>
      </c>
    </row>
    <row r="78" spans="1:39" x14ac:dyDescent="0.2">
      <c r="A78" s="170">
        <v>70</v>
      </c>
      <c r="B78" s="147" t="e">
        <f>CONCATENATE(IF($A78="","",VLOOKUP($A78,'İşçi Bilgileri'!$A$2:$D$700,2,FALSE))," ",IF($A78="","",VLOOKUP($A78,'İşçi Bilgileri'!$A$2:$D$700,3,FALSE)))</f>
        <v>#N/A</v>
      </c>
      <c r="C78" s="171" t="e">
        <f>IF($A78="","",VLOOKUP($A78,'İşçi Bilgileri'!$A$2:$D$700,4,FALSE))</f>
        <v>#N/A</v>
      </c>
      <c r="D78" s="298"/>
      <c r="E78" s="298"/>
      <c r="F78" s="298"/>
      <c r="G78" s="298"/>
      <c r="H78" s="298"/>
      <c r="I78" s="298"/>
      <c r="J78" s="298"/>
      <c r="K78" s="298"/>
      <c r="L78" s="298"/>
      <c r="M78" s="298"/>
      <c r="N78" s="298"/>
      <c r="O78" s="298"/>
      <c r="P78" s="298"/>
      <c r="Q78" s="298"/>
      <c r="R78" s="298"/>
      <c r="S78" s="298"/>
      <c r="T78" s="298"/>
      <c r="U78" s="298"/>
      <c r="V78" s="298"/>
      <c r="W78" s="298"/>
      <c r="X78" s="298"/>
      <c r="Y78" s="298"/>
      <c r="Z78" s="298"/>
      <c r="AA78" s="298"/>
      <c r="AB78" s="298"/>
      <c r="AC78" s="298"/>
      <c r="AD78" s="298"/>
      <c r="AE78" s="298"/>
      <c r="AF78" s="298"/>
      <c r="AG78" s="298"/>
      <c r="AH78" s="298"/>
      <c r="AI78" s="166">
        <f t="shared" si="2"/>
        <v>0</v>
      </c>
      <c r="AJ78" s="166">
        <f t="shared" si="3"/>
        <v>0</v>
      </c>
      <c r="AK78" s="166"/>
      <c r="AL78" s="230" t="e">
        <f>IF($A78="","",IF(VLOOKUP($A78,'İşçi Bilgileri'!$A$2:$J$700,9,FALSE)=0,"",VLOOKUP($A78,'İşçi Bilgileri'!$A$2:$J$700,9,FALSE)))</f>
        <v>#N/A</v>
      </c>
      <c r="AM78" s="172" t="e">
        <f>IF($A78="","",IF(VLOOKUP($A78,'İşçi Bilgileri'!$A$2:$J$700,10,FALSE)=0,"",VLOOKUP($A78,'İşçi Bilgileri'!$A$2:$J$700,10,FALSE)))</f>
        <v>#N/A</v>
      </c>
    </row>
    <row r="79" spans="1:39" x14ac:dyDescent="0.2">
      <c r="A79" s="170">
        <v>71</v>
      </c>
      <c r="B79" s="147" t="e">
        <f>CONCATENATE(IF($A79="","",VLOOKUP($A79,'İşçi Bilgileri'!$A$2:$D$700,2,FALSE))," ",IF($A79="","",VLOOKUP($A79,'İşçi Bilgileri'!$A$2:$D$700,3,FALSE)))</f>
        <v>#N/A</v>
      </c>
      <c r="C79" s="171" t="e">
        <f>IF($A79="","",VLOOKUP($A79,'İşçi Bilgileri'!$A$2:$D$700,4,FALSE))</f>
        <v>#N/A</v>
      </c>
      <c r="D79" s="298"/>
      <c r="E79" s="298"/>
      <c r="F79" s="298"/>
      <c r="G79" s="298"/>
      <c r="H79" s="298"/>
      <c r="I79" s="298"/>
      <c r="J79" s="298"/>
      <c r="K79" s="298"/>
      <c r="L79" s="298"/>
      <c r="M79" s="298"/>
      <c r="N79" s="298"/>
      <c r="O79" s="298"/>
      <c r="P79" s="298"/>
      <c r="Q79" s="298"/>
      <c r="R79" s="298"/>
      <c r="S79" s="298"/>
      <c r="T79" s="298"/>
      <c r="U79" s="298"/>
      <c r="V79" s="298"/>
      <c r="W79" s="298"/>
      <c r="X79" s="298"/>
      <c r="Y79" s="298"/>
      <c r="Z79" s="298"/>
      <c r="AA79" s="298"/>
      <c r="AB79" s="298"/>
      <c r="AC79" s="298"/>
      <c r="AD79" s="298"/>
      <c r="AE79" s="298"/>
      <c r="AF79" s="298"/>
      <c r="AG79" s="298"/>
      <c r="AH79" s="298"/>
      <c r="AI79" s="166">
        <f t="shared" si="2"/>
        <v>0</v>
      </c>
      <c r="AJ79" s="166">
        <f t="shared" si="3"/>
        <v>0</v>
      </c>
      <c r="AK79" s="166"/>
      <c r="AL79" s="230" t="e">
        <f>IF($A79="","",IF(VLOOKUP($A79,'İşçi Bilgileri'!$A$2:$J$700,9,FALSE)=0,"",VLOOKUP($A79,'İşçi Bilgileri'!$A$2:$J$700,9,FALSE)))</f>
        <v>#N/A</v>
      </c>
      <c r="AM79" s="172" t="e">
        <f>IF($A79="","",IF(VLOOKUP($A79,'İşçi Bilgileri'!$A$2:$J$700,10,FALSE)=0,"",VLOOKUP($A79,'İşçi Bilgileri'!$A$2:$J$700,10,FALSE)))</f>
        <v>#N/A</v>
      </c>
    </row>
    <row r="80" spans="1:39" x14ac:dyDescent="0.2">
      <c r="A80" s="170">
        <v>72</v>
      </c>
      <c r="B80" s="147" t="e">
        <f>CONCATENATE(IF($A80="","",VLOOKUP($A80,'İşçi Bilgileri'!$A$2:$D$700,2,FALSE))," ",IF($A80="","",VLOOKUP($A80,'İşçi Bilgileri'!$A$2:$D$700,3,FALSE)))</f>
        <v>#N/A</v>
      </c>
      <c r="C80" s="171" t="e">
        <f>IF($A80="","",VLOOKUP($A80,'İşçi Bilgileri'!$A$2:$D$700,4,FALSE))</f>
        <v>#N/A</v>
      </c>
      <c r="D80" s="298"/>
      <c r="E80" s="298"/>
      <c r="F80" s="298"/>
      <c r="G80" s="298"/>
      <c r="H80" s="298"/>
      <c r="I80" s="298"/>
      <c r="J80" s="298"/>
      <c r="K80" s="298"/>
      <c r="L80" s="298"/>
      <c r="M80" s="298"/>
      <c r="N80" s="298"/>
      <c r="O80" s="298"/>
      <c r="P80" s="298"/>
      <c r="Q80" s="298"/>
      <c r="R80" s="298"/>
      <c r="S80" s="298"/>
      <c r="T80" s="298"/>
      <c r="U80" s="298"/>
      <c r="V80" s="298"/>
      <c r="W80" s="298"/>
      <c r="X80" s="298"/>
      <c r="Y80" s="298"/>
      <c r="Z80" s="298"/>
      <c r="AA80" s="298"/>
      <c r="AB80" s="298"/>
      <c r="AC80" s="298"/>
      <c r="AD80" s="298"/>
      <c r="AE80" s="298"/>
      <c r="AF80" s="298"/>
      <c r="AG80" s="298"/>
      <c r="AH80" s="298"/>
      <c r="AI80" s="166">
        <f t="shared" si="2"/>
        <v>0</v>
      </c>
      <c r="AJ80" s="166">
        <f t="shared" si="3"/>
        <v>0</v>
      </c>
      <c r="AK80" s="166"/>
      <c r="AL80" s="230" t="e">
        <f>IF($A80="","",IF(VLOOKUP($A80,'İşçi Bilgileri'!$A$2:$J$700,9,FALSE)=0,"",VLOOKUP($A80,'İşçi Bilgileri'!$A$2:$J$700,9,FALSE)))</f>
        <v>#N/A</v>
      </c>
      <c r="AM80" s="172" t="e">
        <f>IF($A80="","",IF(VLOOKUP($A80,'İşçi Bilgileri'!$A$2:$J$700,10,FALSE)=0,"",VLOOKUP($A80,'İşçi Bilgileri'!$A$2:$J$700,10,FALSE)))</f>
        <v>#N/A</v>
      </c>
    </row>
    <row r="81" spans="1:39" x14ac:dyDescent="0.2">
      <c r="A81" s="170">
        <v>73</v>
      </c>
      <c r="B81" s="147" t="e">
        <f>CONCATENATE(IF($A81="","",VLOOKUP($A81,'İşçi Bilgileri'!$A$2:$D$700,2,FALSE))," ",IF($A81="","",VLOOKUP($A81,'İşçi Bilgileri'!$A$2:$D$700,3,FALSE)))</f>
        <v>#N/A</v>
      </c>
      <c r="C81" s="171" t="e">
        <f>IF($A81="","",VLOOKUP($A81,'İşçi Bilgileri'!$A$2:$D$700,4,FALSE))</f>
        <v>#N/A</v>
      </c>
      <c r="D81" s="298"/>
      <c r="E81" s="298"/>
      <c r="F81" s="298"/>
      <c r="G81" s="298"/>
      <c r="H81" s="298"/>
      <c r="I81" s="298"/>
      <c r="J81" s="298"/>
      <c r="K81" s="298"/>
      <c r="L81" s="298"/>
      <c r="M81" s="298"/>
      <c r="N81" s="298"/>
      <c r="O81" s="298"/>
      <c r="P81" s="298"/>
      <c r="Q81" s="298"/>
      <c r="R81" s="298"/>
      <c r="S81" s="298"/>
      <c r="T81" s="298"/>
      <c r="U81" s="298"/>
      <c r="V81" s="298"/>
      <c r="W81" s="298"/>
      <c r="X81" s="298"/>
      <c r="Y81" s="298"/>
      <c r="Z81" s="298"/>
      <c r="AA81" s="298"/>
      <c r="AB81" s="298"/>
      <c r="AC81" s="298"/>
      <c r="AD81" s="298"/>
      <c r="AE81" s="298"/>
      <c r="AF81" s="298"/>
      <c r="AG81" s="298"/>
      <c r="AH81" s="298"/>
      <c r="AI81" s="166">
        <f t="shared" si="2"/>
        <v>0</v>
      </c>
      <c r="AJ81" s="166">
        <f t="shared" si="3"/>
        <v>0</v>
      </c>
      <c r="AK81" s="166"/>
      <c r="AL81" s="230" t="e">
        <f>IF($A81="","",IF(VLOOKUP($A81,'İşçi Bilgileri'!$A$2:$J$700,9,FALSE)=0,"",VLOOKUP($A81,'İşçi Bilgileri'!$A$2:$J$700,9,FALSE)))</f>
        <v>#N/A</v>
      </c>
      <c r="AM81" s="172" t="e">
        <f>IF($A81="","",IF(VLOOKUP($A81,'İşçi Bilgileri'!$A$2:$J$700,10,FALSE)=0,"",VLOOKUP($A81,'İşçi Bilgileri'!$A$2:$J$700,10,FALSE)))</f>
        <v>#N/A</v>
      </c>
    </row>
    <row r="82" spans="1:39" x14ac:dyDescent="0.2">
      <c r="A82" s="170">
        <v>74</v>
      </c>
      <c r="B82" s="147" t="e">
        <f>CONCATENATE(IF($A82="","",VLOOKUP($A82,'İşçi Bilgileri'!$A$2:$D$700,2,FALSE))," ",IF($A82="","",VLOOKUP($A82,'İşçi Bilgileri'!$A$2:$D$700,3,FALSE)))</f>
        <v>#N/A</v>
      </c>
      <c r="C82" s="171" t="e">
        <f>IF($A82="","",VLOOKUP($A82,'İşçi Bilgileri'!$A$2:$D$700,4,FALSE))</f>
        <v>#N/A</v>
      </c>
      <c r="D82" s="298"/>
      <c r="E82" s="298"/>
      <c r="F82" s="298"/>
      <c r="G82" s="298"/>
      <c r="H82" s="298"/>
      <c r="I82" s="298"/>
      <c r="J82" s="298"/>
      <c r="K82" s="298"/>
      <c r="L82" s="298"/>
      <c r="M82" s="298"/>
      <c r="N82" s="298"/>
      <c r="O82" s="298"/>
      <c r="P82" s="298"/>
      <c r="Q82" s="298"/>
      <c r="R82" s="298"/>
      <c r="S82" s="298"/>
      <c r="T82" s="298"/>
      <c r="U82" s="298"/>
      <c r="V82" s="298"/>
      <c r="W82" s="298"/>
      <c r="X82" s="298"/>
      <c r="Y82" s="298"/>
      <c r="Z82" s="298"/>
      <c r="AA82" s="298"/>
      <c r="AB82" s="298"/>
      <c r="AC82" s="298"/>
      <c r="AD82" s="298"/>
      <c r="AE82" s="298"/>
      <c r="AF82" s="298"/>
      <c r="AG82" s="298"/>
      <c r="AH82" s="298"/>
      <c r="AI82" s="166">
        <f t="shared" si="2"/>
        <v>0</v>
      </c>
      <c r="AJ82" s="166">
        <f t="shared" si="3"/>
        <v>0</v>
      </c>
      <c r="AK82" s="166"/>
      <c r="AL82" s="230" t="e">
        <f>IF($A82="","",IF(VLOOKUP($A82,'İşçi Bilgileri'!$A$2:$J$700,9,FALSE)=0,"",VLOOKUP($A82,'İşçi Bilgileri'!$A$2:$J$700,9,FALSE)))</f>
        <v>#N/A</v>
      </c>
      <c r="AM82" s="172" t="e">
        <f>IF($A82="","",IF(VLOOKUP($A82,'İşçi Bilgileri'!$A$2:$J$700,10,FALSE)=0,"",VLOOKUP($A82,'İşçi Bilgileri'!$A$2:$J$700,10,FALSE)))</f>
        <v>#N/A</v>
      </c>
    </row>
    <row r="83" spans="1:39" x14ac:dyDescent="0.2">
      <c r="A83" s="170">
        <v>75</v>
      </c>
      <c r="B83" s="147" t="e">
        <f>CONCATENATE(IF($A83="","",VLOOKUP($A83,'İşçi Bilgileri'!$A$2:$D$700,2,FALSE))," ",IF($A83="","",VLOOKUP($A83,'İşçi Bilgileri'!$A$2:$D$700,3,FALSE)))</f>
        <v>#N/A</v>
      </c>
      <c r="C83" s="171" t="e">
        <f>IF($A83="","",VLOOKUP($A83,'İşçi Bilgileri'!$A$2:$D$700,4,FALSE))</f>
        <v>#N/A</v>
      </c>
      <c r="D83" s="298"/>
      <c r="E83" s="298"/>
      <c r="F83" s="298"/>
      <c r="G83" s="298"/>
      <c r="H83" s="298"/>
      <c r="I83" s="298"/>
      <c r="J83" s="298"/>
      <c r="K83" s="298"/>
      <c r="L83" s="298"/>
      <c r="M83" s="298"/>
      <c r="N83" s="298"/>
      <c r="O83" s="298"/>
      <c r="P83" s="298"/>
      <c r="Q83" s="298"/>
      <c r="R83" s="298"/>
      <c r="S83" s="298"/>
      <c r="T83" s="298"/>
      <c r="U83" s="298"/>
      <c r="V83" s="298"/>
      <c r="W83" s="298"/>
      <c r="X83" s="298"/>
      <c r="Y83" s="298"/>
      <c r="Z83" s="298"/>
      <c r="AA83" s="298"/>
      <c r="AB83" s="298"/>
      <c r="AC83" s="298"/>
      <c r="AD83" s="298"/>
      <c r="AE83" s="298"/>
      <c r="AF83" s="298"/>
      <c r="AG83" s="298"/>
      <c r="AH83" s="298"/>
      <c r="AI83" s="166">
        <f t="shared" si="2"/>
        <v>0</v>
      </c>
      <c r="AJ83" s="166">
        <f t="shared" si="3"/>
        <v>0</v>
      </c>
      <c r="AK83" s="166"/>
      <c r="AL83" s="230" t="e">
        <f>IF($A83="","",IF(VLOOKUP($A83,'İşçi Bilgileri'!$A$2:$J$700,9,FALSE)=0,"",VLOOKUP($A83,'İşçi Bilgileri'!$A$2:$J$700,9,FALSE)))</f>
        <v>#N/A</v>
      </c>
      <c r="AM83" s="172" t="e">
        <f>IF($A83="","",IF(VLOOKUP($A83,'İşçi Bilgileri'!$A$2:$J$700,10,FALSE)=0,"",VLOOKUP($A83,'İşçi Bilgileri'!$A$2:$J$700,10,FALSE)))</f>
        <v>#N/A</v>
      </c>
    </row>
    <row r="84" spans="1:39" x14ac:dyDescent="0.2">
      <c r="A84" s="170">
        <v>76</v>
      </c>
      <c r="B84" s="147" t="e">
        <f>CONCATENATE(IF($A84="","",VLOOKUP($A84,'İşçi Bilgileri'!$A$2:$D$700,2,FALSE))," ",IF($A84="","",VLOOKUP($A84,'İşçi Bilgileri'!$A$2:$D$700,3,FALSE)))</f>
        <v>#N/A</v>
      </c>
      <c r="C84" s="171" t="e">
        <f>IF($A84="","",VLOOKUP($A84,'İşçi Bilgileri'!$A$2:$D$700,4,FALSE))</f>
        <v>#N/A</v>
      </c>
      <c r="D84" s="298"/>
      <c r="E84" s="298"/>
      <c r="F84" s="298"/>
      <c r="G84" s="298"/>
      <c r="H84" s="298"/>
      <c r="I84" s="298"/>
      <c r="J84" s="298"/>
      <c r="K84" s="298"/>
      <c r="L84" s="298"/>
      <c r="M84" s="298"/>
      <c r="N84" s="298"/>
      <c r="O84" s="298"/>
      <c r="P84" s="298"/>
      <c r="Q84" s="298"/>
      <c r="R84" s="298"/>
      <c r="S84" s="298"/>
      <c r="T84" s="298"/>
      <c r="U84" s="298"/>
      <c r="V84" s="298"/>
      <c r="W84" s="298"/>
      <c r="X84" s="298"/>
      <c r="Y84" s="298"/>
      <c r="Z84" s="298"/>
      <c r="AA84" s="298"/>
      <c r="AB84" s="298"/>
      <c r="AC84" s="298"/>
      <c r="AD84" s="298"/>
      <c r="AE84" s="298"/>
      <c r="AF84" s="298"/>
      <c r="AG84" s="298"/>
      <c r="AH84" s="298"/>
      <c r="AI84" s="166">
        <f t="shared" si="2"/>
        <v>0</v>
      </c>
      <c r="AJ84" s="166">
        <f t="shared" si="3"/>
        <v>0</v>
      </c>
      <c r="AK84" s="166"/>
      <c r="AL84" s="230" t="e">
        <f>IF($A84="","",IF(VLOOKUP($A84,'İşçi Bilgileri'!$A$2:$J$700,9,FALSE)=0,"",VLOOKUP($A84,'İşçi Bilgileri'!$A$2:$J$700,9,FALSE)))</f>
        <v>#N/A</v>
      </c>
      <c r="AM84" s="172" t="e">
        <f>IF($A84="","",IF(VLOOKUP($A84,'İşçi Bilgileri'!$A$2:$J$700,10,FALSE)=0,"",VLOOKUP($A84,'İşçi Bilgileri'!$A$2:$J$700,10,FALSE)))</f>
        <v>#N/A</v>
      </c>
    </row>
    <row r="85" spans="1:39" x14ac:dyDescent="0.2">
      <c r="A85" s="170">
        <v>77</v>
      </c>
      <c r="B85" s="147" t="e">
        <f>CONCATENATE(IF($A85="","",VLOOKUP($A85,'İşçi Bilgileri'!$A$2:$D$700,2,FALSE))," ",IF($A85="","",VLOOKUP($A85,'İşçi Bilgileri'!$A$2:$D$700,3,FALSE)))</f>
        <v>#N/A</v>
      </c>
      <c r="C85" s="171" t="e">
        <f>IF($A85="","",VLOOKUP($A85,'İşçi Bilgileri'!$A$2:$D$700,4,FALSE))</f>
        <v>#N/A</v>
      </c>
      <c r="D85" s="298"/>
      <c r="E85" s="298"/>
      <c r="F85" s="298"/>
      <c r="G85" s="298"/>
      <c r="H85" s="298"/>
      <c r="I85" s="298"/>
      <c r="J85" s="298"/>
      <c r="K85" s="298"/>
      <c r="L85" s="298"/>
      <c r="M85" s="298"/>
      <c r="N85" s="298"/>
      <c r="O85" s="298"/>
      <c r="P85" s="298"/>
      <c r="Q85" s="298"/>
      <c r="R85" s="298"/>
      <c r="S85" s="298"/>
      <c r="T85" s="298"/>
      <c r="U85" s="298"/>
      <c r="V85" s="298"/>
      <c r="W85" s="298"/>
      <c r="X85" s="298"/>
      <c r="Y85" s="298"/>
      <c r="Z85" s="298"/>
      <c r="AA85" s="298"/>
      <c r="AB85" s="298"/>
      <c r="AC85" s="298"/>
      <c r="AD85" s="298"/>
      <c r="AE85" s="298"/>
      <c r="AF85" s="298"/>
      <c r="AG85" s="298"/>
      <c r="AH85" s="298"/>
      <c r="AI85" s="166">
        <f t="shared" si="2"/>
        <v>0</v>
      </c>
      <c r="AJ85" s="166">
        <f t="shared" si="3"/>
        <v>0</v>
      </c>
      <c r="AK85" s="166"/>
      <c r="AL85" s="230" t="e">
        <f>IF($A85="","",IF(VLOOKUP($A85,'İşçi Bilgileri'!$A$2:$J$700,9,FALSE)=0,"",VLOOKUP($A85,'İşçi Bilgileri'!$A$2:$J$700,9,FALSE)))</f>
        <v>#N/A</v>
      </c>
      <c r="AM85" s="172" t="e">
        <f>IF($A85="","",IF(VLOOKUP($A85,'İşçi Bilgileri'!$A$2:$J$700,10,FALSE)=0,"",VLOOKUP($A85,'İşçi Bilgileri'!$A$2:$J$700,10,FALSE)))</f>
        <v>#N/A</v>
      </c>
    </row>
    <row r="86" spans="1:39" x14ac:dyDescent="0.2">
      <c r="A86" s="170">
        <v>78</v>
      </c>
      <c r="B86" s="147" t="e">
        <f>CONCATENATE(IF($A86="","",VLOOKUP($A86,'İşçi Bilgileri'!$A$2:$D$700,2,FALSE))," ",IF($A86="","",VLOOKUP($A86,'İşçi Bilgileri'!$A$2:$D$700,3,FALSE)))</f>
        <v>#N/A</v>
      </c>
      <c r="C86" s="171" t="e">
        <f>IF($A86="","",VLOOKUP($A86,'İşçi Bilgileri'!$A$2:$D$700,4,FALSE))</f>
        <v>#N/A</v>
      </c>
      <c r="D86" s="298"/>
      <c r="E86" s="298"/>
      <c r="F86" s="298"/>
      <c r="G86" s="298"/>
      <c r="H86" s="298"/>
      <c r="I86" s="298"/>
      <c r="J86" s="298"/>
      <c r="K86" s="298"/>
      <c r="L86" s="298"/>
      <c r="M86" s="298"/>
      <c r="N86" s="298"/>
      <c r="O86" s="298"/>
      <c r="P86" s="298"/>
      <c r="Q86" s="298"/>
      <c r="R86" s="298"/>
      <c r="S86" s="298"/>
      <c r="T86" s="298"/>
      <c r="U86" s="298"/>
      <c r="V86" s="298"/>
      <c r="W86" s="298"/>
      <c r="X86" s="298"/>
      <c r="Y86" s="298"/>
      <c r="Z86" s="298"/>
      <c r="AA86" s="298"/>
      <c r="AB86" s="298"/>
      <c r="AC86" s="298"/>
      <c r="AD86" s="298"/>
      <c r="AE86" s="298"/>
      <c r="AF86" s="298"/>
      <c r="AG86" s="298"/>
      <c r="AH86" s="298"/>
      <c r="AI86" s="166">
        <f t="shared" si="2"/>
        <v>0</v>
      </c>
      <c r="AJ86" s="166">
        <f t="shared" si="3"/>
        <v>0</v>
      </c>
      <c r="AK86" s="166"/>
      <c r="AL86" s="230" t="e">
        <f>IF($A86="","",IF(VLOOKUP($A86,'İşçi Bilgileri'!$A$2:$J$700,9,FALSE)=0,"",VLOOKUP($A86,'İşçi Bilgileri'!$A$2:$J$700,9,FALSE)))</f>
        <v>#N/A</v>
      </c>
      <c r="AM86" s="172" t="e">
        <f>IF($A86="","",IF(VLOOKUP($A86,'İşçi Bilgileri'!$A$2:$J$700,10,FALSE)=0,"",VLOOKUP($A86,'İşçi Bilgileri'!$A$2:$J$700,10,FALSE)))</f>
        <v>#N/A</v>
      </c>
    </row>
    <row r="87" spans="1:39" x14ac:dyDescent="0.2">
      <c r="A87" s="170">
        <v>79</v>
      </c>
      <c r="B87" s="147" t="e">
        <f>CONCATENATE(IF($A87="","",VLOOKUP($A87,'İşçi Bilgileri'!$A$2:$D$700,2,FALSE))," ",IF($A87="","",VLOOKUP($A87,'İşçi Bilgileri'!$A$2:$D$700,3,FALSE)))</f>
        <v>#N/A</v>
      </c>
      <c r="C87" s="171" t="e">
        <f>IF($A87="","",VLOOKUP($A87,'İşçi Bilgileri'!$A$2:$D$700,4,FALSE))</f>
        <v>#N/A</v>
      </c>
      <c r="D87" s="298"/>
      <c r="E87" s="298"/>
      <c r="F87" s="298"/>
      <c r="G87" s="298"/>
      <c r="H87" s="298"/>
      <c r="I87" s="298"/>
      <c r="J87" s="298"/>
      <c r="K87" s="298"/>
      <c r="L87" s="298"/>
      <c r="M87" s="298"/>
      <c r="N87" s="298"/>
      <c r="O87" s="298"/>
      <c r="P87" s="298"/>
      <c r="Q87" s="298"/>
      <c r="R87" s="298"/>
      <c r="S87" s="298"/>
      <c r="T87" s="298"/>
      <c r="U87" s="298"/>
      <c r="V87" s="298"/>
      <c r="W87" s="298"/>
      <c r="X87" s="298"/>
      <c r="Y87" s="298"/>
      <c r="Z87" s="298"/>
      <c r="AA87" s="298"/>
      <c r="AB87" s="298"/>
      <c r="AC87" s="298"/>
      <c r="AD87" s="298"/>
      <c r="AE87" s="298"/>
      <c r="AF87" s="298"/>
      <c r="AG87" s="298"/>
      <c r="AH87" s="298"/>
      <c r="AI87" s="166">
        <f t="shared" si="2"/>
        <v>0</v>
      </c>
      <c r="AJ87" s="166">
        <f t="shared" si="3"/>
        <v>0</v>
      </c>
      <c r="AK87" s="166"/>
      <c r="AL87" s="230" t="e">
        <f>IF($A87="","",IF(VLOOKUP($A87,'İşçi Bilgileri'!$A$2:$J$700,9,FALSE)=0,"",VLOOKUP($A87,'İşçi Bilgileri'!$A$2:$J$700,9,FALSE)))</f>
        <v>#N/A</v>
      </c>
      <c r="AM87" s="172" t="e">
        <f>IF($A87="","",IF(VLOOKUP($A87,'İşçi Bilgileri'!$A$2:$J$700,10,FALSE)=0,"",VLOOKUP($A87,'İşçi Bilgileri'!$A$2:$J$700,10,FALSE)))</f>
        <v>#N/A</v>
      </c>
    </row>
    <row r="88" spans="1:39" x14ac:dyDescent="0.2">
      <c r="A88" s="170">
        <v>80</v>
      </c>
      <c r="B88" s="147" t="e">
        <f>CONCATENATE(IF($A88="","",VLOOKUP($A88,'İşçi Bilgileri'!$A$2:$D$700,2,FALSE))," ",IF($A88="","",VLOOKUP($A88,'İşçi Bilgileri'!$A$2:$D$700,3,FALSE)))</f>
        <v>#N/A</v>
      </c>
      <c r="C88" s="171" t="e">
        <f>IF($A88="","",VLOOKUP($A88,'İşçi Bilgileri'!$A$2:$D$700,4,FALSE))</f>
        <v>#N/A</v>
      </c>
      <c r="D88" s="298"/>
      <c r="E88" s="298"/>
      <c r="F88" s="298"/>
      <c r="G88" s="298"/>
      <c r="H88" s="298"/>
      <c r="I88" s="298"/>
      <c r="J88" s="298"/>
      <c r="K88" s="298"/>
      <c r="L88" s="298"/>
      <c r="M88" s="298"/>
      <c r="N88" s="298"/>
      <c r="O88" s="298"/>
      <c r="P88" s="298"/>
      <c r="Q88" s="298"/>
      <c r="R88" s="298"/>
      <c r="S88" s="298"/>
      <c r="T88" s="298"/>
      <c r="U88" s="298"/>
      <c r="V88" s="298"/>
      <c r="W88" s="298"/>
      <c r="X88" s="298"/>
      <c r="Y88" s="298"/>
      <c r="Z88" s="298"/>
      <c r="AA88" s="298"/>
      <c r="AB88" s="298"/>
      <c r="AC88" s="298"/>
      <c r="AD88" s="298"/>
      <c r="AE88" s="298"/>
      <c r="AF88" s="298"/>
      <c r="AG88" s="298"/>
      <c r="AH88" s="298"/>
      <c r="AI88" s="166">
        <f t="shared" si="2"/>
        <v>0</v>
      </c>
      <c r="AJ88" s="166">
        <f t="shared" si="3"/>
        <v>0</v>
      </c>
      <c r="AK88" s="166"/>
      <c r="AL88" s="230" t="e">
        <f>IF($A88="","",IF(VLOOKUP($A88,'İşçi Bilgileri'!$A$2:$J$700,9,FALSE)=0,"",VLOOKUP($A88,'İşçi Bilgileri'!$A$2:$J$700,9,FALSE)))</f>
        <v>#N/A</v>
      </c>
      <c r="AM88" s="172" t="e">
        <f>IF($A88="","",IF(VLOOKUP($A88,'İşçi Bilgileri'!$A$2:$J$700,10,FALSE)=0,"",VLOOKUP($A88,'İşçi Bilgileri'!$A$2:$J$700,10,FALSE)))</f>
        <v>#N/A</v>
      </c>
    </row>
    <row r="89" spans="1:39" x14ac:dyDescent="0.2">
      <c r="A89" s="170">
        <v>81</v>
      </c>
      <c r="B89" s="147" t="e">
        <f>CONCATENATE(IF($A89="","",VLOOKUP($A89,'İşçi Bilgileri'!$A$2:$D$700,2,FALSE))," ",IF($A89="","",VLOOKUP($A89,'İşçi Bilgileri'!$A$2:$D$700,3,FALSE)))</f>
        <v>#N/A</v>
      </c>
      <c r="C89" s="171" t="e">
        <f>IF($A89="","",VLOOKUP($A89,'İşçi Bilgileri'!$A$2:$D$700,4,FALSE))</f>
        <v>#N/A</v>
      </c>
      <c r="D89" s="298"/>
      <c r="E89" s="298"/>
      <c r="F89" s="298"/>
      <c r="G89" s="298"/>
      <c r="H89" s="298"/>
      <c r="I89" s="298"/>
      <c r="J89" s="298"/>
      <c r="K89" s="298"/>
      <c r="L89" s="298"/>
      <c r="M89" s="298"/>
      <c r="N89" s="298"/>
      <c r="O89" s="298"/>
      <c r="P89" s="298"/>
      <c r="Q89" s="298"/>
      <c r="R89" s="298"/>
      <c r="S89" s="298"/>
      <c r="T89" s="298"/>
      <c r="U89" s="298"/>
      <c r="V89" s="298"/>
      <c r="W89" s="298"/>
      <c r="X89" s="298"/>
      <c r="Y89" s="298"/>
      <c r="Z89" s="298"/>
      <c r="AA89" s="298"/>
      <c r="AB89" s="298"/>
      <c r="AC89" s="298"/>
      <c r="AD89" s="298"/>
      <c r="AE89" s="298"/>
      <c r="AF89" s="298"/>
      <c r="AG89" s="298"/>
      <c r="AH89" s="298"/>
      <c r="AI89" s="166">
        <f t="shared" si="2"/>
        <v>0</v>
      </c>
      <c r="AJ89" s="166">
        <f t="shared" si="3"/>
        <v>0</v>
      </c>
      <c r="AK89" s="166"/>
      <c r="AL89" s="230" t="e">
        <f>IF($A89="","",IF(VLOOKUP($A89,'İşçi Bilgileri'!$A$2:$J$700,9,FALSE)=0,"",VLOOKUP($A89,'İşçi Bilgileri'!$A$2:$J$700,9,FALSE)))</f>
        <v>#N/A</v>
      </c>
      <c r="AM89" s="172" t="e">
        <f>IF($A89="","",IF(VLOOKUP($A89,'İşçi Bilgileri'!$A$2:$J$700,10,FALSE)=0,"",VLOOKUP($A89,'İşçi Bilgileri'!$A$2:$J$700,10,FALSE)))</f>
        <v>#N/A</v>
      </c>
    </row>
    <row r="90" spans="1:39" x14ac:dyDescent="0.2">
      <c r="A90" s="170">
        <v>82</v>
      </c>
      <c r="B90" s="147" t="e">
        <f>CONCATENATE(IF($A90="","",VLOOKUP($A90,'İşçi Bilgileri'!$A$2:$D$700,2,FALSE))," ",IF($A90="","",VLOOKUP($A90,'İşçi Bilgileri'!$A$2:$D$700,3,FALSE)))</f>
        <v>#N/A</v>
      </c>
      <c r="C90" s="171" t="e">
        <f>IF($A90="","",VLOOKUP($A90,'İşçi Bilgileri'!$A$2:$D$700,4,FALSE))</f>
        <v>#N/A</v>
      </c>
      <c r="D90" s="298"/>
      <c r="E90" s="298"/>
      <c r="F90" s="298"/>
      <c r="G90" s="298"/>
      <c r="H90" s="298"/>
      <c r="I90" s="298"/>
      <c r="J90" s="298"/>
      <c r="K90" s="298"/>
      <c r="L90" s="298"/>
      <c r="M90" s="298"/>
      <c r="N90" s="298"/>
      <c r="O90" s="298"/>
      <c r="P90" s="298"/>
      <c r="Q90" s="298"/>
      <c r="R90" s="298"/>
      <c r="S90" s="298"/>
      <c r="T90" s="298"/>
      <c r="U90" s="298"/>
      <c r="V90" s="298"/>
      <c r="W90" s="298"/>
      <c r="X90" s="298"/>
      <c r="Y90" s="298"/>
      <c r="Z90" s="298"/>
      <c r="AA90" s="298"/>
      <c r="AB90" s="298"/>
      <c r="AC90" s="298"/>
      <c r="AD90" s="298"/>
      <c r="AE90" s="298"/>
      <c r="AF90" s="298"/>
      <c r="AG90" s="298"/>
      <c r="AH90" s="298"/>
      <c r="AI90" s="166">
        <f t="shared" si="2"/>
        <v>0</v>
      </c>
      <c r="AJ90" s="166">
        <f t="shared" si="3"/>
        <v>0</v>
      </c>
      <c r="AK90" s="166"/>
      <c r="AL90" s="230" t="e">
        <f>IF($A90="","",IF(VLOOKUP($A90,'İşçi Bilgileri'!$A$2:$J$700,9,FALSE)=0,"",VLOOKUP($A90,'İşçi Bilgileri'!$A$2:$J$700,9,FALSE)))</f>
        <v>#N/A</v>
      </c>
      <c r="AM90" s="172" t="e">
        <f>IF($A90="","",IF(VLOOKUP($A90,'İşçi Bilgileri'!$A$2:$J$700,10,FALSE)=0,"",VLOOKUP($A90,'İşçi Bilgileri'!$A$2:$J$700,10,FALSE)))</f>
        <v>#N/A</v>
      </c>
    </row>
    <row r="91" spans="1:39" x14ac:dyDescent="0.2">
      <c r="A91" s="170">
        <v>83</v>
      </c>
      <c r="B91" s="147" t="e">
        <f>CONCATENATE(IF($A91="","",VLOOKUP($A91,'İşçi Bilgileri'!$A$2:$D$700,2,FALSE))," ",IF($A91="","",VLOOKUP($A91,'İşçi Bilgileri'!$A$2:$D$700,3,FALSE)))</f>
        <v>#N/A</v>
      </c>
      <c r="C91" s="171" t="e">
        <f>IF($A91="","",VLOOKUP($A91,'İşçi Bilgileri'!$A$2:$D$700,4,FALSE))</f>
        <v>#N/A</v>
      </c>
      <c r="D91" s="298"/>
      <c r="E91" s="298"/>
      <c r="F91" s="298"/>
      <c r="G91" s="298"/>
      <c r="H91" s="298"/>
      <c r="I91" s="298"/>
      <c r="J91" s="298"/>
      <c r="K91" s="298"/>
      <c r="L91" s="298"/>
      <c r="M91" s="298"/>
      <c r="N91" s="298"/>
      <c r="O91" s="298"/>
      <c r="P91" s="298"/>
      <c r="Q91" s="298"/>
      <c r="R91" s="298"/>
      <c r="S91" s="298"/>
      <c r="T91" s="298"/>
      <c r="U91" s="298"/>
      <c r="V91" s="298"/>
      <c r="W91" s="298"/>
      <c r="X91" s="298"/>
      <c r="Y91" s="298"/>
      <c r="Z91" s="298"/>
      <c r="AA91" s="298"/>
      <c r="AB91" s="298"/>
      <c r="AC91" s="298"/>
      <c r="AD91" s="298"/>
      <c r="AE91" s="298"/>
      <c r="AF91" s="298"/>
      <c r="AG91" s="298"/>
      <c r="AH91" s="298"/>
      <c r="AI91" s="166">
        <f t="shared" si="2"/>
        <v>0</v>
      </c>
      <c r="AJ91" s="166">
        <f t="shared" si="3"/>
        <v>0</v>
      </c>
      <c r="AK91" s="166"/>
      <c r="AL91" s="230" t="e">
        <f>IF($A91="","",IF(VLOOKUP($A91,'İşçi Bilgileri'!$A$2:$J$700,9,FALSE)=0,"",VLOOKUP($A91,'İşçi Bilgileri'!$A$2:$J$700,9,FALSE)))</f>
        <v>#N/A</v>
      </c>
      <c r="AM91" s="172" t="e">
        <f>IF($A91="","",IF(VLOOKUP($A91,'İşçi Bilgileri'!$A$2:$J$700,10,FALSE)=0,"",VLOOKUP($A91,'İşçi Bilgileri'!$A$2:$J$700,10,FALSE)))</f>
        <v>#N/A</v>
      </c>
    </row>
    <row r="92" spans="1:39" x14ac:dyDescent="0.2">
      <c r="A92" s="170">
        <v>84</v>
      </c>
      <c r="B92" s="147" t="e">
        <f>CONCATENATE(IF($A92="","",VLOOKUP($A92,'İşçi Bilgileri'!$A$2:$D$700,2,FALSE))," ",IF($A92="","",VLOOKUP($A92,'İşçi Bilgileri'!$A$2:$D$700,3,FALSE)))</f>
        <v>#N/A</v>
      </c>
      <c r="C92" s="171" t="e">
        <f>IF($A92="","",VLOOKUP($A92,'İşçi Bilgileri'!$A$2:$D$700,4,FALSE))</f>
        <v>#N/A</v>
      </c>
      <c r="D92" s="298"/>
      <c r="E92" s="298"/>
      <c r="F92" s="298"/>
      <c r="G92" s="298"/>
      <c r="H92" s="298"/>
      <c r="I92" s="298"/>
      <c r="J92" s="298"/>
      <c r="K92" s="298"/>
      <c r="L92" s="298"/>
      <c r="M92" s="298"/>
      <c r="N92" s="298"/>
      <c r="O92" s="298"/>
      <c r="P92" s="298"/>
      <c r="Q92" s="298"/>
      <c r="R92" s="298"/>
      <c r="S92" s="298"/>
      <c r="T92" s="298"/>
      <c r="U92" s="298"/>
      <c r="V92" s="298"/>
      <c r="W92" s="298"/>
      <c r="X92" s="298"/>
      <c r="Y92" s="298"/>
      <c r="Z92" s="298"/>
      <c r="AA92" s="298"/>
      <c r="AB92" s="298"/>
      <c r="AC92" s="298"/>
      <c r="AD92" s="298"/>
      <c r="AE92" s="298"/>
      <c r="AF92" s="298"/>
      <c r="AG92" s="298"/>
      <c r="AH92" s="298"/>
      <c r="AI92" s="166">
        <f t="shared" si="2"/>
        <v>0</v>
      </c>
      <c r="AJ92" s="166">
        <f t="shared" si="3"/>
        <v>0</v>
      </c>
      <c r="AK92" s="166"/>
      <c r="AL92" s="230" t="e">
        <f>IF($A92="","",IF(VLOOKUP($A92,'İşçi Bilgileri'!$A$2:$J$700,9,FALSE)=0,"",VLOOKUP($A92,'İşçi Bilgileri'!$A$2:$J$700,9,FALSE)))</f>
        <v>#N/A</v>
      </c>
      <c r="AM92" s="172" t="e">
        <f>IF($A92="","",IF(VLOOKUP($A92,'İşçi Bilgileri'!$A$2:$J$700,10,FALSE)=0,"",VLOOKUP($A92,'İşçi Bilgileri'!$A$2:$J$700,10,FALSE)))</f>
        <v>#N/A</v>
      </c>
    </row>
    <row r="93" spans="1:39" x14ac:dyDescent="0.2">
      <c r="A93" s="170">
        <v>85</v>
      </c>
      <c r="B93" s="147" t="e">
        <f>CONCATENATE(IF($A93="","",VLOOKUP($A93,'İşçi Bilgileri'!$A$2:$D$700,2,FALSE))," ",IF($A93="","",VLOOKUP($A93,'İşçi Bilgileri'!$A$2:$D$700,3,FALSE)))</f>
        <v>#N/A</v>
      </c>
      <c r="C93" s="171" t="e">
        <f>IF($A93="","",VLOOKUP($A93,'İşçi Bilgileri'!$A$2:$D$700,4,FALSE))</f>
        <v>#N/A</v>
      </c>
      <c r="D93" s="298"/>
      <c r="E93" s="298"/>
      <c r="F93" s="298"/>
      <c r="G93" s="298"/>
      <c r="H93" s="298"/>
      <c r="I93" s="298"/>
      <c r="J93" s="298"/>
      <c r="K93" s="298"/>
      <c r="L93" s="298"/>
      <c r="M93" s="298"/>
      <c r="N93" s="298"/>
      <c r="O93" s="298"/>
      <c r="P93" s="298"/>
      <c r="Q93" s="298"/>
      <c r="R93" s="298"/>
      <c r="S93" s="298"/>
      <c r="T93" s="298"/>
      <c r="U93" s="298"/>
      <c r="V93" s="298"/>
      <c r="W93" s="298"/>
      <c r="X93" s="298"/>
      <c r="Y93" s="298"/>
      <c r="Z93" s="298"/>
      <c r="AA93" s="298"/>
      <c r="AB93" s="298"/>
      <c r="AC93" s="298"/>
      <c r="AD93" s="298"/>
      <c r="AE93" s="298"/>
      <c r="AF93" s="298"/>
      <c r="AG93" s="298"/>
      <c r="AH93" s="298"/>
      <c r="AI93" s="166">
        <f t="shared" si="2"/>
        <v>0</v>
      </c>
      <c r="AJ93" s="166">
        <f t="shared" si="3"/>
        <v>0</v>
      </c>
      <c r="AK93" s="166"/>
      <c r="AL93" s="230" t="e">
        <f>IF($A93="","",IF(VLOOKUP($A93,'İşçi Bilgileri'!$A$2:$J$700,9,FALSE)=0,"",VLOOKUP($A93,'İşçi Bilgileri'!$A$2:$J$700,9,FALSE)))</f>
        <v>#N/A</v>
      </c>
      <c r="AM93" s="172" t="e">
        <f>IF($A93="","",IF(VLOOKUP($A93,'İşçi Bilgileri'!$A$2:$J$700,10,FALSE)=0,"",VLOOKUP($A93,'İşçi Bilgileri'!$A$2:$J$700,10,FALSE)))</f>
        <v>#N/A</v>
      </c>
    </row>
    <row r="94" spans="1:39" x14ac:dyDescent="0.2">
      <c r="A94" s="170">
        <v>86</v>
      </c>
      <c r="B94" s="147" t="e">
        <f>CONCATENATE(IF($A94="","",VLOOKUP($A94,'İşçi Bilgileri'!$A$2:$D$700,2,FALSE))," ",IF($A94="","",VLOOKUP($A94,'İşçi Bilgileri'!$A$2:$D$700,3,FALSE)))</f>
        <v>#N/A</v>
      </c>
      <c r="C94" s="171" t="e">
        <f>IF($A94="","",VLOOKUP($A94,'İşçi Bilgileri'!$A$2:$D$700,4,FALSE))</f>
        <v>#N/A</v>
      </c>
      <c r="D94" s="298"/>
      <c r="E94" s="298"/>
      <c r="F94" s="298"/>
      <c r="G94" s="298"/>
      <c r="H94" s="298"/>
      <c r="I94" s="298"/>
      <c r="J94" s="298"/>
      <c r="K94" s="298"/>
      <c r="L94" s="298"/>
      <c r="M94" s="298"/>
      <c r="N94" s="298"/>
      <c r="O94" s="298"/>
      <c r="P94" s="298"/>
      <c r="Q94" s="298"/>
      <c r="R94" s="298"/>
      <c r="S94" s="298"/>
      <c r="T94" s="298"/>
      <c r="U94" s="298"/>
      <c r="V94" s="298"/>
      <c r="W94" s="298"/>
      <c r="X94" s="298"/>
      <c r="Y94" s="298"/>
      <c r="Z94" s="298"/>
      <c r="AA94" s="298"/>
      <c r="AB94" s="298"/>
      <c r="AC94" s="298"/>
      <c r="AD94" s="298"/>
      <c r="AE94" s="298"/>
      <c r="AF94" s="298"/>
      <c r="AG94" s="298"/>
      <c r="AH94" s="298"/>
      <c r="AI94" s="166">
        <f t="shared" si="2"/>
        <v>0</v>
      </c>
      <c r="AJ94" s="166">
        <f t="shared" si="3"/>
        <v>0</v>
      </c>
      <c r="AK94" s="166"/>
      <c r="AL94" s="230" t="e">
        <f>IF($A94="","",IF(VLOOKUP($A94,'İşçi Bilgileri'!$A$2:$J$700,9,FALSE)=0,"",VLOOKUP($A94,'İşçi Bilgileri'!$A$2:$J$700,9,FALSE)))</f>
        <v>#N/A</v>
      </c>
      <c r="AM94" s="172" t="e">
        <f>IF($A94="","",IF(VLOOKUP($A94,'İşçi Bilgileri'!$A$2:$J$700,10,FALSE)=0,"",VLOOKUP($A94,'İşçi Bilgileri'!$A$2:$J$700,10,FALSE)))</f>
        <v>#N/A</v>
      </c>
    </row>
    <row r="95" spans="1:39" x14ac:dyDescent="0.2">
      <c r="A95" s="170">
        <v>87</v>
      </c>
      <c r="B95" s="147" t="e">
        <f>CONCATENATE(IF($A95="","",VLOOKUP($A95,'İşçi Bilgileri'!$A$2:$D$700,2,FALSE))," ",IF($A95="","",VLOOKUP($A95,'İşçi Bilgileri'!$A$2:$D$700,3,FALSE)))</f>
        <v>#N/A</v>
      </c>
      <c r="C95" s="171" t="e">
        <f>IF($A95="","",VLOOKUP($A95,'İşçi Bilgileri'!$A$2:$D$700,4,FALSE))</f>
        <v>#N/A</v>
      </c>
      <c r="D95" s="298"/>
      <c r="E95" s="298"/>
      <c r="F95" s="298"/>
      <c r="G95" s="298"/>
      <c r="H95" s="298"/>
      <c r="I95" s="298"/>
      <c r="J95" s="298"/>
      <c r="K95" s="298"/>
      <c r="L95" s="298"/>
      <c r="M95" s="298"/>
      <c r="N95" s="298"/>
      <c r="O95" s="298"/>
      <c r="P95" s="298"/>
      <c r="Q95" s="298"/>
      <c r="R95" s="298"/>
      <c r="S95" s="298"/>
      <c r="T95" s="298"/>
      <c r="U95" s="298"/>
      <c r="V95" s="298"/>
      <c r="W95" s="298"/>
      <c r="X95" s="298"/>
      <c r="Y95" s="298"/>
      <c r="Z95" s="298"/>
      <c r="AA95" s="298"/>
      <c r="AB95" s="298"/>
      <c r="AC95" s="298"/>
      <c r="AD95" s="298"/>
      <c r="AE95" s="298"/>
      <c r="AF95" s="298"/>
      <c r="AG95" s="298"/>
      <c r="AH95" s="298"/>
      <c r="AI95" s="166">
        <f t="shared" si="2"/>
        <v>0</v>
      </c>
      <c r="AJ95" s="166">
        <f t="shared" si="3"/>
        <v>0</v>
      </c>
      <c r="AK95" s="166"/>
      <c r="AL95" s="230" t="e">
        <f>IF($A95="","",IF(VLOOKUP($A95,'İşçi Bilgileri'!$A$2:$J$700,9,FALSE)=0,"",VLOOKUP($A95,'İşçi Bilgileri'!$A$2:$J$700,9,FALSE)))</f>
        <v>#N/A</v>
      </c>
      <c r="AM95" s="172" t="e">
        <f>IF($A95="","",IF(VLOOKUP($A95,'İşçi Bilgileri'!$A$2:$J$700,10,FALSE)=0,"",VLOOKUP($A95,'İşçi Bilgileri'!$A$2:$J$700,10,FALSE)))</f>
        <v>#N/A</v>
      </c>
    </row>
    <row r="96" spans="1:39" x14ac:dyDescent="0.2">
      <c r="A96" s="170">
        <v>88</v>
      </c>
      <c r="B96" s="147" t="e">
        <f>CONCATENATE(IF($A96="","",VLOOKUP($A96,'İşçi Bilgileri'!$A$2:$D$700,2,FALSE))," ",IF($A96="","",VLOOKUP($A96,'İşçi Bilgileri'!$A$2:$D$700,3,FALSE)))</f>
        <v>#N/A</v>
      </c>
      <c r="C96" s="171" t="e">
        <f>IF($A96="","",VLOOKUP($A96,'İşçi Bilgileri'!$A$2:$D$700,4,FALSE))</f>
        <v>#N/A</v>
      </c>
      <c r="D96" s="298"/>
      <c r="E96" s="298"/>
      <c r="F96" s="298"/>
      <c r="G96" s="298"/>
      <c r="H96" s="298"/>
      <c r="I96" s="298"/>
      <c r="J96" s="298"/>
      <c r="K96" s="298"/>
      <c r="L96" s="298"/>
      <c r="M96" s="298"/>
      <c r="N96" s="298"/>
      <c r="O96" s="298"/>
      <c r="P96" s="298"/>
      <c r="Q96" s="298"/>
      <c r="R96" s="298"/>
      <c r="S96" s="298"/>
      <c r="T96" s="298"/>
      <c r="U96" s="298"/>
      <c r="V96" s="298"/>
      <c r="W96" s="298"/>
      <c r="X96" s="298"/>
      <c r="Y96" s="298"/>
      <c r="Z96" s="298"/>
      <c r="AA96" s="298"/>
      <c r="AB96" s="298"/>
      <c r="AC96" s="298"/>
      <c r="AD96" s="298"/>
      <c r="AE96" s="298"/>
      <c r="AF96" s="298"/>
      <c r="AG96" s="298"/>
      <c r="AH96" s="298"/>
      <c r="AI96" s="166">
        <f t="shared" si="2"/>
        <v>0</v>
      </c>
      <c r="AJ96" s="166">
        <f t="shared" si="3"/>
        <v>0</v>
      </c>
      <c r="AK96" s="166"/>
      <c r="AL96" s="230" t="e">
        <f>IF($A96="","",IF(VLOOKUP($A96,'İşçi Bilgileri'!$A$2:$J$700,9,FALSE)=0,"",VLOOKUP($A96,'İşçi Bilgileri'!$A$2:$J$700,9,FALSE)))</f>
        <v>#N/A</v>
      </c>
      <c r="AM96" s="172" t="e">
        <f>IF($A96="","",IF(VLOOKUP($A96,'İşçi Bilgileri'!$A$2:$J$700,10,FALSE)=0,"",VLOOKUP($A96,'İşçi Bilgileri'!$A$2:$J$700,10,FALSE)))</f>
        <v>#N/A</v>
      </c>
    </row>
    <row r="97" spans="1:39" x14ac:dyDescent="0.2">
      <c r="A97" s="170">
        <v>89</v>
      </c>
      <c r="B97" s="147" t="e">
        <f>CONCATENATE(IF($A97="","",VLOOKUP($A97,'İşçi Bilgileri'!$A$2:$D$700,2,FALSE))," ",IF($A97="","",VLOOKUP($A97,'İşçi Bilgileri'!$A$2:$D$700,3,FALSE)))</f>
        <v>#N/A</v>
      </c>
      <c r="C97" s="171" t="e">
        <f>IF($A97="","",VLOOKUP($A97,'İşçi Bilgileri'!$A$2:$D$700,4,FALSE))</f>
        <v>#N/A</v>
      </c>
      <c r="D97" s="298"/>
      <c r="E97" s="298"/>
      <c r="F97" s="298"/>
      <c r="G97" s="298"/>
      <c r="H97" s="298"/>
      <c r="I97" s="298"/>
      <c r="J97" s="298"/>
      <c r="K97" s="298"/>
      <c r="L97" s="298"/>
      <c r="M97" s="298"/>
      <c r="N97" s="298"/>
      <c r="O97" s="298"/>
      <c r="P97" s="298"/>
      <c r="Q97" s="298"/>
      <c r="R97" s="298"/>
      <c r="S97" s="298"/>
      <c r="T97" s="298"/>
      <c r="U97" s="298"/>
      <c r="V97" s="298"/>
      <c r="W97" s="298"/>
      <c r="X97" s="298"/>
      <c r="Y97" s="298"/>
      <c r="Z97" s="298"/>
      <c r="AA97" s="298"/>
      <c r="AB97" s="298"/>
      <c r="AC97" s="298"/>
      <c r="AD97" s="298"/>
      <c r="AE97" s="298"/>
      <c r="AF97" s="298"/>
      <c r="AG97" s="298"/>
      <c r="AH97" s="298"/>
      <c r="AI97" s="166">
        <f t="shared" si="2"/>
        <v>0</v>
      </c>
      <c r="AJ97" s="166">
        <f t="shared" si="3"/>
        <v>0</v>
      </c>
      <c r="AK97" s="166"/>
      <c r="AL97" s="230" t="e">
        <f>IF($A97="","",IF(VLOOKUP($A97,'İşçi Bilgileri'!$A$2:$J$700,9,FALSE)=0,"",VLOOKUP($A97,'İşçi Bilgileri'!$A$2:$J$700,9,FALSE)))</f>
        <v>#N/A</v>
      </c>
      <c r="AM97" s="172" t="e">
        <f>IF($A97="","",IF(VLOOKUP($A97,'İşçi Bilgileri'!$A$2:$J$700,10,FALSE)=0,"",VLOOKUP($A97,'İşçi Bilgileri'!$A$2:$J$700,10,FALSE)))</f>
        <v>#N/A</v>
      </c>
    </row>
    <row r="98" spans="1:39" x14ac:dyDescent="0.2">
      <c r="A98" s="170">
        <v>90</v>
      </c>
      <c r="B98" s="147" t="e">
        <f>CONCATENATE(IF($A98="","",VLOOKUP($A98,'İşçi Bilgileri'!$A$2:$D$700,2,FALSE))," ",IF($A98="","",VLOOKUP($A98,'İşçi Bilgileri'!$A$2:$D$700,3,FALSE)))</f>
        <v>#N/A</v>
      </c>
      <c r="C98" s="171" t="e">
        <f>IF($A98="","",VLOOKUP($A98,'İşçi Bilgileri'!$A$2:$D$700,4,FALSE))</f>
        <v>#N/A</v>
      </c>
      <c r="D98" s="298"/>
      <c r="E98" s="298"/>
      <c r="F98" s="298"/>
      <c r="G98" s="298"/>
      <c r="H98" s="298"/>
      <c r="I98" s="298"/>
      <c r="J98" s="298"/>
      <c r="K98" s="298"/>
      <c r="L98" s="298"/>
      <c r="M98" s="298"/>
      <c r="N98" s="298"/>
      <c r="O98" s="298"/>
      <c r="P98" s="298"/>
      <c r="Q98" s="298"/>
      <c r="R98" s="298"/>
      <c r="S98" s="298"/>
      <c r="T98" s="298"/>
      <c r="U98" s="298"/>
      <c r="V98" s="298"/>
      <c r="W98" s="298"/>
      <c r="X98" s="298"/>
      <c r="Y98" s="298"/>
      <c r="Z98" s="298"/>
      <c r="AA98" s="298"/>
      <c r="AB98" s="298"/>
      <c r="AC98" s="298"/>
      <c r="AD98" s="298"/>
      <c r="AE98" s="298"/>
      <c r="AF98" s="298"/>
      <c r="AG98" s="298"/>
      <c r="AH98" s="298"/>
      <c r="AI98" s="166">
        <f t="shared" si="2"/>
        <v>0</v>
      </c>
      <c r="AJ98" s="166">
        <f t="shared" si="3"/>
        <v>0</v>
      </c>
      <c r="AK98" s="166"/>
      <c r="AL98" s="230" t="e">
        <f>IF($A98="","",IF(VLOOKUP($A98,'İşçi Bilgileri'!$A$2:$J$700,9,FALSE)=0,"",VLOOKUP($A98,'İşçi Bilgileri'!$A$2:$J$700,9,FALSE)))</f>
        <v>#N/A</v>
      </c>
      <c r="AM98" s="172" t="e">
        <f>IF($A98="","",IF(VLOOKUP($A98,'İşçi Bilgileri'!$A$2:$J$700,10,FALSE)=0,"",VLOOKUP($A98,'İşçi Bilgileri'!$A$2:$J$700,10,FALSE)))</f>
        <v>#N/A</v>
      </c>
    </row>
    <row r="99" spans="1:39" x14ac:dyDescent="0.2">
      <c r="A99" s="170">
        <v>91</v>
      </c>
      <c r="B99" s="147" t="e">
        <f>CONCATENATE(IF($A99="","",VLOOKUP($A99,'İşçi Bilgileri'!$A$2:$D$700,2,FALSE))," ",IF($A99="","",VLOOKUP($A99,'İşçi Bilgileri'!$A$2:$D$700,3,FALSE)))</f>
        <v>#N/A</v>
      </c>
      <c r="C99" s="171" t="e">
        <f>IF($A99="","",VLOOKUP($A99,'İşçi Bilgileri'!$A$2:$D$700,4,FALSE))</f>
        <v>#N/A</v>
      </c>
      <c r="D99" s="298"/>
      <c r="E99" s="298"/>
      <c r="F99" s="298"/>
      <c r="G99" s="298"/>
      <c r="H99" s="298"/>
      <c r="I99" s="298"/>
      <c r="J99" s="298"/>
      <c r="K99" s="298"/>
      <c r="L99" s="298"/>
      <c r="M99" s="298"/>
      <c r="N99" s="298"/>
      <c r="O99" s="298"/>
      <c r="P99" s="298"/>
      <c r="Q99" s="298"/>
      <c r="R99" s="298"/>
      <c r="S99" s="298"/>
      <c r="T99" s="298"/>
      <c r="U99" s="298"/>
      <c r="V99" s="298"/>
      <c r="W99" s="298"/>
      <c r="X99" s="298"/>
      <c r="Y99" s="298"/>
      <c r="Z99" s="298"/>
      <c r="AA99" s="298"/>
      <c r="AB99" s="298"/>
      <c r="AC99" s="298"/>
      <c r="AD99" s="298"/>
      <c r="AE99" s="298"/>
      <c r="AF99" s="298"/>
      <c r="AG99" s="298"/>
      <c r="AH99" s="298"/>
      <c r="AI99" s="166">
        <f t="shared" si="2"/>
        <v>0</v>
      </c>
      <c r="AJ99" s="166">
        <f t="shared" si="3"/>
        <v>0</v>
      </c>
      <c r="AK99" s="166"/>
      <c r="AL99" s="230" t="e">
        <f>IF($A99="","",IF(VLOOKUP($A99,'İşçi Bilgileri'!$A$2:$J$700,9,FALSE)=0,"",VLOOKUP($A99,'İşçi Bilgileri'!$A$2:$J$700,9,FALSE)))</f>
        <v>#N/A</v>
      </c>
      <c r="AM99" s="172" t="e">
        <f>IF($A99="","",IF(VLOOKUP($A99,'İşçi Bilgileri'!$A$2:$J$700,10,FALSE)=0,"",VLOOKUP($A99,'İşçi Bilgileri'!$A$2:$J$700,10,FALSE)))</f>
        <v>#N/A</v>
      </c>
    </row>
    <row r="100" spans="1:39" x14ac:dyDescent="0.2">
      <c r="A100" s="170">
        <v>92</v>
      </c>
      <c r="B100" s="147" t="e">
        <f>CONCATENATE(IF($A100="","",VLOOKUP($A100,'İşçi Bilgileri'!$A$2:$D$700,2,FALSE))," ",IF($A100="","",VLOOKUP($A100,'İşçi Bilgileri'!$A$2:$D$700,3,FALSE)))</f>
        <v>#N/A</v>
      </c>
      <c r="C100" s="171" t="e">
        <f>IF($A100="","",VLOOKUP($A100,'İşçi Bilgileri'!$A$2:$D$700,4,FALSE))</f>
        <v>#N/A</v>
      </c>
      <c r="D100" s="298"/>
      <c r="E100" s="298"/>
      <c r="F100" s="298"/>
      <c r="G100" s="298"/>
      <c r="H100" s="298"/>
      <c r="I100" s="298"/>
      <c r="J100" s="298"/>
      <c r="K100" s="298"/>
      <c r="L100" s="298"/>
      <c r="M100" s="298"/>
      <c r="N100" s="298"/>
      <c r="O100" s="298"/>
      <c r="P100" s="298"/>
      <c r="Q100" s="298"/>
      <c r="R100" s="298"/>
      <c r="S100" s="298"/>
      <c r="T100" s="298"/>
      <c r="U100" s="298"/>
      <c r="V100" s="298"/>
      <c r="W100" s="298"/>
      <c r="X100" s="298"/>
      <c r="Y100" s="298"/>
      <c r="Z100" s="298"/>
      <c r="AA100" s="298"/>
      <c r="AB100" s="298"/>
      <c r="AC100" s="298"/>
      <c r="AD100" s="298"/>
      <c r="AE100" s="298"/>
      <c r="AF100" s="298"/>
      <c r="AG100" s="298"/>
      <c r="AH100" s="298"/>
      <c r="AI100" s="166">
        <f t="shared" si="2"/>
        <v>0</v>
      </c>
      <c r="AJ100" s="166">
        <f t="shared" si="3"/>
        <v>0</v>
      </c>
      <c r="AK100" s="166"/>
      <c r="AL100" s="230" t="e">
        <f>IF($A100="","",IF(VLOOKUP($A100,'İşçi Bilgileri'!$A$2:$J$700,9,FALSE)=0,"",VLOOKUP($A100,'İşçi Bilgileri'!$A$2:$J$700,9,FALSE)))</f>
        <v>#N/A</v>
      </c>
      <c r="AM100" s="172" t="e">
        <f>IF($A100="","",IF(VLOOKUP($A100,'İşçi Bilgileri'!$A$2:$J$700,10,FALSE)=0,"",VLOOKUP($A100,'İşçi Bilgileri'!$A$2:$J$700,10,FALSE)))</f>
        <v>#N/A</v>
      </c>
    </row>
    <row r="101" spans="1:39" x14ac:dyDescent="0.2">
      <c r="A101" s="170">
        <v>93</v>
      </c>
      <c r="B101" s="147" t="e">
        <f>CONCATENATE(IF($A101="","",VLOOKUP($A101,'İşçi Bilgileri'!$A$2:$D$700,2,FALSE))," ",IF($A101="","",VLOOKUP($A101,'İşçi Bilgileri'!$A$2:$D$700,3,FALSE)))</f>
        <v>#N/A</v>
      </c>
      <c r="C101" s="171" t="e">
        <f>IF($A101="","",VLOOKUP($A101,'İşçi Bilgileri'!$A$2:$D$700,4,FALSE))</f>
        <v>#N/A</v>
      </c>
      <c r="D101" s="298"/>
      <c r="E101" s="298"/>
      <c r="F101" s="298"/>
      <c r="G101" s="298"/>
      <c r="H101" s="298"/>
      <c r="I101" s="298"/>
      <c r="J101" s="298"/>
      <c r="K101" s="298"/>
      <c r="L101" s="298"/>
      <c r="M101" s="298"/>
      <c r="N101" s="298"/>
      <c r="O101" s="298"/>
      <c r="P101" s="298"/>
      <c r="Q101" s="298"/>
      <c r="R101" s="298"/>
      <c r="S101" s="298"/>
      <c r="T101" s="298"/>
      <c r="U101" s="298"/>
      <c r="V101" s="298"/>
      <c r="W101" s="298"/>
      <c r="X101" s="298"/>
      <c r="Y101" s="298"/>
      <c r="Z101" s="298"/>
      <c r="AA101" s="298"/>
      <c r="AB101" s="298"/>
      <c r="AC101" s="298"/>
      <c r="AD101" s="298"/>
      <c r="AE101" s="298"/>
      <c r="AF101" s="298"/>
      <c r="AG101" s="298"/>
      <c r="AH101" s="298"/>
      <c r="AI101" s="166">
        <f t="shared" si="2"/>
        <v>0</v>
      </c>
      <c r="AJ101" s="166">
        <f t="shared" si="3"/>
        <v>0</v>
      </c>
      <c r="AK101" s="166"/>
      <c r="AL101" s="230" t="e">
        <f>IF($A101="","",IF(VLOOKUP($A101,'İşçi Bilgileri'!$A$2:$J$700,9,FALSE)=0,"",VLOOKUP($A101,'İşçi Bilgileri'!$A$2:$J$700,9,FALSE)))</f>
        <v>#N/A</v>
      </c>
      <c r="AM101" s="172" t="e">
        <f>IF($A101="","",IF(VLOOKUP($A101,'İşçi Bilgileri'!$A$2:$J$700,10,FALSE)=0,"",VLOOKUP($A101,'İşçi Bilgileri'!$A$2:$J$700,10,FALSE)))</f>
        <v>#N/A</v>
      </c>
    </row>
    <row r="102" spans="1:39" x14ac:dyDescent="0.2">
      <c r="A102" s="170">
        <v>94</v>
      </c>
      <c r="B102" s="147" t="e">
        <f>CONCATENATE(IF($A102="","",VLOOKUP($A102,'İşçi Bilgileri'!$A$2:$D$700,2,FALSE))," ",IF($A102="","",VLOOKUP($A102,'İşçi Bilgileri'!$A$2:$D$700,3,FALSE)))</f>
        <v>#N/A</v>
      </c>
      <c r="C102" s="171" t="e">
        <f>IF($A102="","",VLOOKUP($A102,'İşçi Bilgileri'!$A$2:$D$700,4,FALSE))</f>
        <v>#N/A</v>
      </c>
      <c r="D102" s="298"/>
      <c r="E102" s="298"/>
      <c r="F102" s="298"/>
      <c r="G102" s="298"/>
      <c r="H102" s="298"/>
      <c r="I102" s="298"/>
      <c r="J102" s="298"/>
      <c r="K102" s="298"/>
      <c r="L102" s="298"/>
      <c r="M102" s="298"/>
      <c r="N102" s="298"/>
      <c r="O102" s="298"/>
      <c r="P102" s="298"/>
      <c r="Q102" s="298"/>
      <c r="R102" s="298"/>
      <c r="S102" s="298"/>
      <c r="T102" s="298"/>
      <c r="U102" s="298"/>
      <c r="V102" s="298"/>
      <c r="W102" s="298"/>
      <c r="X102" s="298"/>
      <c r="Y102" s="298"/>
      <c r="Z102" s="298"/>
      <c r="AA102" s="298"/>
      <c r="AB102" s="298"/>
      <c r="AC102" s="298"/>
      <c r="AD102" s="298"/>
      <c r="AE102" s="298"/>
      <c r="AF102" s="298"/>
      <c r="AG102" s="298"/>
      <c r="AH102" s="298"/>
      <c r="AI102" s="166">
        <f t="shared" si="2"/>
        <v>0</v>
      </c>
      <c r="AJ102" s="166">
        <f t="shared" si="3"/>
        <v>0</v>
      </c>
      <c r="AK102" s="166"/>
      <c r="AL102" s="230" t="e">
        <f>IF($A102="","",IF(VLOOKUP($A102,'İşçi Bilgileri'!$A$2:$J$700,9,FALSE)=0,"",VLOOKUP($A102,'İşçi Bilgileri'!$A$2:$J$700,9,FALSE)))</f>
        <v>#N/A</v>
      </c>
      <c r="AM102" s="172" t="e">
        <f>IF($A102="","",IF(VLOOKUP($A102,'İşçi Bilgileri'!$A$2:$J$700,10,FALSE)=0,"",VLOOKUP($A102,'İşçi Bilgileri'!$A$2:$J$700,10,FALSE)))</f>
        <v>#N/A</v>
      </c>
    </row>
    <row r="103" spans="1:39" x14ac:dyDescent="0.2">
      <c r="A103" s="170">
        <v>95</v>
      </c>
      <c r="B103" s="147" t="e">
        <f>CONCATENATE(IF($A103="","",VLOOKUP($A103,'İşçi Bilgileri'!$A$2:$D$700,2,FALSE))," ",IF($A103="","",VLOOKUP($A103,'İşçi Bilgileri'!$A$2:$D$700,3,FALSE)))</f>
        <v>#N/A</v>
      </c>
      <c r="C103" s="171" t="e">
        <f>IF($A103="","",VLOOKUP($A103,'İşçi Bilgileri'!$A$2:$D$700,4,FALSE))</f>
        <v>#N/A</v>
      </c>
      <c r="D103" s="298"/>
      <c r="E103" s="298"/>
      <c r="F103" s="298"/>
      <c r="G103" s="298"/>
      <c r="H103" s="298"/>
      <c r="I103" s="298"/>
      <c r="J103" s="298"/>
      <c r="K103" s="298"/>
      <c r="L103" s="298"/>
      <c r="M103" s="298"/>
      <c r="N103" s="298"/>
      <c r="O103" s="298"/>
      <c r="P103" s="298"/>
      <c r="Q103" s="298"/>
      <c r="R103" s="298"/>
      <c r="S103" s="298"/>
      <c r="T103" s="298"/>
      <c r="U103" s="298"/>
      <c r="V103" s="298"/>
      <c r="W103" s="298"/>
      <c r="X103" s="298"/>
      <c r="Y103" s="298"/>
      <c r="Z103" s="298"/>
      <c r="AA103" s="298"/>
      <c r="AB103" s="298"/>
      <c r="AC103" s="298"/>
      <c r="AD103" s="298"/>
      <c r="AE103" s="298"/>
      <c r="AF103" s="298"/>
      <c r="AG103" s="298"/>
      <c r="AH103" s="298"/>
      <c r="AI103" s="166">
        <f t="shared" si="2"/>
        <v>0</v>
      </c>
      <c r="AJ103" s="166">
        <f t="shared" si="3"/>
        <v>0</v>
      </c>
      <c r="AK103" s="166"/>
      <c r="AL103" s="230" t="e">
        <f>IF($A103="","",IF(VLOOKUP($A103,'İşçi Bilgileri'!$A$2:$J$700,9,FALSE)=0,"",VLOOKUP($A103,'İşçi Bilgileri'!$A$2:$J$700,9,FALSE)))</f>
        <v>#N/A</v>
      </c>
      <c r="AM103" s="172" t="e">
        <f>IF($A103="","",IF(VLOOKUP($A103,'İşçi Bilgileri'!$A$2:$J$700,10,FALSE)=0,"",VLOOKUP($A103,'İşçi Bilgileri'!$A$2:$J$700,10,FALSE)))</f>
        <v>#N/A</v>
      </c>
    </row>
    <row r="104" spans="1:39" x14ac:dyDescent="0.2">
      <c r="A104" s="170">
        <v>96</v>
      </c>
      <c r="B104" s="147" t="e">
        <f>CONCATENATE(IF($A104="","",VLOOKUP($A104,'İşçi Bilgileri'!$A$2:$D$700,2,FALSE))," ",IF($A104="","",VLOOKUP($A104,'İşçi Bilgileri'!$A$2:$D$700,3,FALSE)))</f>
        <v>#N/A</v>
      </c>
      <c r="C104" s="171" t="e">
        <f>IF($A104="","",VLOOKUP($A104,'İşçi Bilgileri'!$A$2:$D$700,4,FALSE))</f>
        <v>#N/A</v>
      </c>
      <c r="D104" s="298"/>
      <c r="E104" s="298"/>
      <c r="F104" s="298"/>
      <c r="G104" s="298"/>
      <c r="H104" s="298"/>
      <c r="I104" s="298"/>
      <c r="J104" s="298"/>
      <c r="K104" s="298"/>
      <c r="L104" s="298"/>
      <c r="M104" s="298"/>
      <c r="N104" s="298"/>
      <c r="O104" s="298"/>
      <c r="P104" s="298"/>
      <c r="Q104" s="298"/>
      <c r="R104" s="298"/>
      <c r="S104" s="298"/>
      <c r="T104" s="298"/>
      <c r="U104" s="298"/>
      <c r="V104" s="298"/>
      <c r="W104" s="298"/>
      <c r="X104" s="298"/>
      <c r="Y104" s="298"/>
      <c r="Z104" s="298"/>
      <c r="AA104" s="298"/>
      <c r="AB104" s="298"/>
      <c r="AC104" s="298"/>
      <c r="AD104" s="298"/>
      <c r="AE104" s="298"/>
      <c r="AF104" s="298"/>
      <c r="AG104" s="298"/>
      <c r="AH104" s="298"/>
      <c r="AI104" s="166">
        <f t="shared" si="2"/>
        <v>0</v>
      </c>
      <c r="AJ104" s="166">
        <f t="shared" si="3"/>
        <v>0</v>
      </c>
      <c r="AK104" s="166"/>
      <c r="AL104" s="230" t="e">
        <f>IF($A104="","",IF(VLOOKUP($A104,'İşçi Bilgileri'!$A$2:$J$700,9,FALSE)=0,"",VLOOKUP($A104,'İşçi Bilgileri'!$A$2:$J$700,9,FALSE)))</f>
        <v>#N/A</v>
      </c>
      <c r="AM104" s="172" t="e">
        <f>IF($A104="","",IF(VLOOKUP($A104,'İşçi Bilgileri'!$A$2:$J$700,10,FALSE)=0,"",VLOOKUP($A104,'İşçi Bilgileri'!$A$2:$J$700,10,FALSE)))</f>
        <v>#N/A</v>
      </c>
    </row>
    <row r="105" spans="1:39" x14ac:dyDescent="0.2">
      <c r="A105" s="170">
        <v>97</v>
      </c>
      <c r="B105" s="147" t="e">
        <f>CONCATENATE(IF($A105="","",VLOOKUP($A105,'İşçi Bilgileri'!$A$2:$D$700,2,FALSE))," ",IF($A105="","",VLOOKUP($A105,'İşçi Bilgileri'!$A$2:$D$700,3,FALSE)))</f>
        <v>#N/A</v>
      </c>
      <c r="C105" s="171" t="e">
        <f>IF($A105="","",VLOOKUP($A105,'İşçi Bilgileri'!$A$2:$D$700,4,FALSE))</f>
        <v>#N/A</v>
      </c>
      <c r="D105" s="298"/>
      <c r="E105" s="298"/>
      <c r="F105" s="298"/>
      <c r="G105" s="298"/>
      <c r="H105" s="298"/>
      <c r="I105" s="298"/>
      <c r="J105" s="298"/>
      <c r="K105" s="298"/>
      <c r="L105" s="298"/>
      <c r="M105" s="298"/>
      <c r="N105" s="298"/>
      <c r="O105" s="298"/>
      <c r="P105" s="298"/>
      <c r="Q105" s="298"/>
      <c r="R105" s="298"/>
      <c r="S105" s="298"/>
      <c r="T105" s="298"/>
      <c r="U105" s="298"/>
      <c r="V105" s="298"/>
      <c r="W105" s="298"/>
      <c r="X105" s="298"/>
      <c r="Y105" s="298"/>
      <c r="Z105" s="298"/>
      <c r="AA105" s="298"/>
      <c r="AB105" s="298"/>
      <c r="AC105" s="298"/>
      <c r="AD105" s="298"/>
      <c r="AE105" s="298"/>
      <c r="AF105" s="298"/>
      <c r="AG105" s="298"/>
      <c r="AH105" s="298"/>
      <c r="AI105" s="166">
        <f t="shared" si="2"/>
        <v>0</v>
      </c>
      <c r="AJ105" s="166">
        <f t="shared" si="3"/>
        <v>0</v>
      </c>
      <c r="AK105" s="166"/>
      <c r="AL105" s="230" t="e">
        <f>IF($A105="","",IF(VLOOKUP($A105,'İşçi Bilgileri'!$A$2:$J$700,9,FALSE)=0,"",VLOOKUP($A105,'İşçi Bilgileri'!$A$2:$J$700,9,FALSE)))</f>
        <v>#N/A</v>
      </c>
      <c r="AM105" s="172" t="e">
        <f>IF($A105="","",IF(VLOOKUP($A105,'İşçi Bilgileri'!$A$2:$J$700,10,FALSE)=0,"",VLOOKUP($A105,'İşçi Bilgileri'!$A$2:$J$700,10,FALSE)))</f>
        <v>#N/A</v>
      </c>
    </row>
    <row r="106" spans="1:39" x14ac:dyDescent="0.2">
      <c r="A106" s="170">
        <v>98</v>
      </c>
      <c r="B106" s="147" t="e">
        <f>CONCATENATE(IF($A106="","",VLOOKUP($A106,'İşçi Bilgileri'!$A$2:$D$700,2,FALSE))," ",IF($A106="","",VLOOKUP($A106,'İşçi Bilgileri'!$A$2:$D$700,3,FALSE)))</f>
        <v>#N/A</v>
      </c>
      <c r="C106" s="171" t="e">
        <f>IF($A106="","",VLOOKUP($A106,'İşçi Bilgileri'!$A$2:$D$700,4,FALSE))</f>
        <v>#N/A</v>
      </c>
      <c r="D106" s="298"/>
      <c r="E106" s="298"/>
      <c r="F106" s="298"/>
      <c r="G106" s="298"/>
      <c r="H106" s="298"/>
      <c r="I106" s="298"/>
      <c r="J106" s="298"/>
      <c r="K106" s="298"/>
      <c r="L106" s="298"/>
      <c r="M106" s="298"/>
      <c r="N106" s="298"/>
      <c r="O106" s="298"/>
      <c r="P106" s="298"/>
      <c r="Q106" s="298"/>
      <c r="R106" s="298"/>
      <c r="S106" s="298"/>
      <c r="T106" s="298"/>
      <c r="U106" s="298"/>
      <c r="V106" s="298"/>
      <c r="W106" s="298"/>
      <c r="X106" s="298"/>
      <c r="Y106" s="298"/>
      <c r="Z106" s="298"/>
      <c r="AA106" s="298"/>
      <c r="AB106" s="298"/>
      <c r="AC106" s="298"/>
      <c r="AD106" s="298"/>
      <c r="AE106" s="298"/>
      <c r="AF106" s="298"/>
      <c r="AG106" s="298"/>
      <c r="AH106" s="298"/>
      <c r="AI106" s="166">
        <f t="shared" si="2"/>
        <v>0</v>
      </c>
      <c r="AJ106" s="166">
        <f t="shared" si="3"/>
        <v>0</v>
      </c>
      <c r="AK106" s="166"/>
      <c r="AL106" s="230" t="e">
        <f>IF($A106="","",IF(VLOOKUP($A106,'İşçi Bilgileri'!$A$2:$J$700,9,FALSE)=0,"",VLOOKUP($A106,'İşçi Bilgileri'!$A$2:$J$700,9,FALSE)))</f>
        <v>#N/A</v>
      </c>
      <c r="AM106" s="172" t="e">
        <f>IF($A106="","",IF(VLOOKUP($A106,'İşçi Bilgileri'!$A$2:$J$700,10,FALSE)=0,"",VLOOKUP($A106,'İşçi Bilgileri'!$A$2:$J$700,10,FALSE)))</f>
        <v>#N/A</v>
      </c>
    </row>
    <row r="107" spans="1:39" x14ac:dyDescent="0.2">
      <c r="A107" s="170">
        <v>99</v>
      </c>
      <c r="B107" s="147" t="e">
        <f>CONCATENATE(IF($A107="","",VLOOKUP($A107,'İşçi Bilgileri'!$A$2:$D$700,2,FALSE))," ",IF($A107="","",VLOOKUP($A107,'İşçi Bilgileri'!$A$2:$D$700,3,FALSE)))</f>
        <v>#N/A</v>
      </c>
      <c r="C107" s="171" t="e">
        <f>IF($A107="","",VLOOKUP($A107,'İşçi Bilgileri'!$A$2:$D$700,4,FALSE))</f>
        <v>#N/A</v>
      </c>
      <c r="D107" s="298"/>
      <c r="E107" s="298"/>
      <c r="F107" s="298"/>
      <c r="G107" s="298"/>
      <c r="H107" s="298"/>
      <c r="I107" s="298"/>
      <c r="J107" s="298"/>
      <c r="K107" s="298"/>
      <c r="L107" s="298"/>
      <c r="M107" s="298"/>
      <c r="N107" s="298"/>
      <c r="O107" s="298"/>
      <c r="P107" s="298"/>
      <c r="Q107" s="298"/>
      <c r="R107" s="298"/>
      <c r="S107" s="298"/>
      <c r="T107" s="298"/>
      <c r="U107" s="298"/>
      <c r="V107" s="298"/>
      <c r="W107" s="298"/>
      <c r="X107" s="298"/>
      <c r="Y107" s="298"/>
      <c r="Z107" s="298"/>
      <c r="AA107" s="298"/>
      <c r="AB107" s="298"/>
      <c r="AC107" s="298"/>
      <c r="AD107" s="298"/>
      <c r="AE107" s="298"/>
      <c r="AF107" s="298"/>
      <c r="AG107" s="298"/>
      <c r="AH107" s="298"/>
      <c r="AI107" s="166">
        <f t="shared" si="2"/>
        <v>0</v>
      </c>
      <c r="AJ107" s="166">
        <f t="shared" si="3"/>
        <v>0</v>
      </c>
      <c r="AK107" s="166"/>
      <c r="AL107" s="230" t="e">
        <f>IF($A107="","",IF(VLOOKUP($A107,'İşçi Bilgileri'!$A$2:$J$700,9,FALSE)=0,"",VLOOKUP($A107,'İşçi Bilgileri'!$A$2:$J$700,9,FALSE)))</f>
        <v>#N/A</v>
      </c>
      <c r="AM107" s="172" t="e">
        <f>IF($A107="","",IF(VLOOKUP($A107,'İşçi Bilgileri'!$A$2:$J$700,10,FALSE)=0,"",VLOOKUP($A107,'İşçi Bilgileri'!$A$2:$J$700,10,FALSE)))</f>
        <v>#N/A</v>
      </c>
    </row>
    <row r="108" spans="1:39" x14ac:dyDescent="0.2">
      <c r="A108" s="170">
        <v>100</v>
      </c>
      <c r="B108" s="147" t="e">
        <f>CONCATENATE(IF($A108="","",VLOOKUP($A108,'İşçi Bilgileri'!$A$2:$D$700,2,FALSE))," ",IF($A108="","",VLOOKUP($A108,'İşçi Bilgileri'!$A$2:$D$700,3,FALSE)))</f>
        <v>#N/A</v>
      </c>
      <c r="C108" s="171" t="e">
        <f>IF($A108="","",VLOOKUP($A108,'İşçi Bilgileri'!$A$2:$D$700,4,FALSE))</f>
        <v>#N/A</v>
      </c>
      <c r="D108" s="298"/>
      <c r="E108" s="298"/>
      <c r="F108" s="298"/>
      <c r="G108" s="298"/>
      <c r="H108" s="298"/>
      <c r="I108" s="298"/>
      <c r="J108" s="298"/>
      <c r="K108" s="298"/>
      <c r="L108" s="298"/>
      <c r="M108" s="298"/>
      <c r="N108" s="298"/>
      <c r="O108" s="298"/>
      <c r="P108" s="298"/>
      <c r="Q108" s="298"/>
      <c r="R108" s="298"/>
      <c r="S108" s="298"/>
      <c r="T108" s="298"/>
      <c r="U108" s="298"/>
      <c r="V108" s="298"/>
      <c r="W108" s="298"/>
      <c r="X108" s="298"/>
      <c r="Y108" s="298"/>
      <c r="Z108" s="298"/>
      <c r="AA108" s="298"/>
      <c r="AB108" s="298"/>
      <c r="AC108" s="298"/>
      <c r="AD108" s="298"/>
      <c r="AE108" s="298"/>
      <c r="AF108" s="298"/>
      <c r="AG108" s="298"/>
      <c r="AH108" s="298"/>
      <c r="AI108" s="166">
        <f t="shared" si="2"/>
        <v>0</v>
      </c>
      <c r="AJ108" s="166">
        <f t="shared" si="3"/>
        <v>0</v>
      </c>
      <c r="AK108" s="166"/>
      <c r="AL108" s="230" t="e">
        <f>IF($A108="","",IF(VLOOKUP($A108,'İşçi Bilgileri'!$A$2:$J$700,9,FALSE)=0,"",VLOOKUP($A108,'İşçi Bilgileri'!$A$2:$J$700,9,FALSE)))</f>
        <v>#N/A</v>
      </c>
      <c r="AM108" s="172" t="e">
        <f>IF($A108="","",IF(VLOOKUP($A108,'İşçi Bilgileri'!$A$2:$J$700,10,FALSE)=0,"",VLOOKUP($A108,'İşçi Bilgileri'!$A$2:$J$700,10,FALSE)))</f>
        <v>#N/A</v>
      </c>
    </row>
    <row r="109" spans="1:39" x14ac:dyDescent="0.2">
      <c r="A109" s="170">
        <v>101</v>
      </c>
      <c r="B109" s="147" t="e">
        <f>CONCATENATE(IF($A109="","",VLOOKUP($A109,'İşçi Bilgileri'!$A$2:$D$700,2,FALSE))," ",IF($A109="","",VLOOKUP($A109,'İşçi Bilgileri'!$A$2:$D$700,3,FALSE)))</f>
        <v>#N/A</v>
      </c>
      <c r="C109" s="171" t="e">
        <f>IF($A109="","",VLOOKUP($A109,'İşçi Bilgileri'!$A$2:$D$700,4,FALSE))</f>
        <v>#N/A</v>
      </c>
      <c r="D109" s="298"/>
      <c r="E109" s="298"/>
      <c r="F109" s="298"/>
      <c r="G109" s="298"/>
      <c r="H109" s="298"/>
      <c r="I109" s="298"/>
      <c r="J109" s="298"/>
      <c r="K109" s="298"/>
      <c r="L109" s="298"/>
      <c r="M109" s="298"/>
      <c r="N109" s="298"/>
      <c r="O109" s="298"/>
      <c r="P109" s="298"/>
      <c r="Q109" s="298"/>
      <c r="R109" s="298"/>
      <c r="S109" s="298"/>
      <c r="T109" s="298"/>
      <c r="U109" s="298"/>
      <c r="V109" s="298"/>
      <c r="W109" s="298"/>
      <c r="X109" s="298"/>
      <c r="Y109" s="298"/>
      <c r="Z109" s="298"/>
      <c r="AA109" s="298"/>
      <c r="AB109" s="298"/>
      <c r="AC109" s="298"/>
      <c r="AD109" s="298"/>
      <c r="AE109" s="298"/>
      <c r="AF109" s="298"/>
      <c r="AG109" s="298"/>
      <c r="AH109" s="298"/>
      <c r="AI109" s="166">
        <f t="shared" si="2"/>
        <v>0</v>
      </c>
      <c r="AJ109" s="166">
        <f t="shared" si="3"/>
        <v>0</v>
      </c>
      <c r="AK109" s="166"/>
      <c r="AL109" s="230" t="e">
        <f>IF($A109="","",IF(VLOOKUP($A109,'İşçi Bilgileri'!$A$2:$J$700,9,FALSE)=0,"",VLOOKUP($A109,'İşçi Bilgileri'!$A$2:$J$700,9,FALSE)))</f>
        <v>#N/A</v>
      </c>
      <c r="AM109" s="172" t="e">
        <f>IF($A109="","",IF(VLOOKUP($A109,'İşçi Bilgileri'!$A$2:$J$700,10,FALSE)=0,"",VLOOKUP($A109,'İşçi Bilgileri'!$A$2:$J$700,10,FALSE)))</f>
        <v>#N/A</v>
      </c>
    </row>
    <row r="110" spans="1:39" x14ac:dyDescent="0.2">
      <c r="A110" s="170">
        <v>102</v>
      </c>
      <c r="B110" s="147" t="e">
        <f>CONCATENATE(IF($A110="","",VLOOKUP($A110,'İşçi Bilgileri'!$A$2:$D$700,2,FALSE))," ",IF($A110="","",VLOOKUP($A110,'İşçi Bilgileri'!$A$2:$D$700,3,FALSE)))</f>
        <v>#N/A</v>
      </c>
      <c r="C110" s="171" t="e">
        <f>IF($A110="","",VLOOKUP($A110,'İşçi Bilgileri'!$A$2:$D$700,4,FALSE))</f>
        <v>#N/A</v>
      </c>
      <c r="D110" s="298"/>
      <c r="E110" s="298"/>
      <c r="F110" s="298"/>
      <c r="G110" s="298"/>
      <c r="H110" s="298"/>
      <c r="I110" s="298"/>
      <c r="J110" s="298"/>
      <c r="K110" s="298"/>
      <c r="L110" s="298"/>
      <c r="M110" s="298"/>
      <c r="N110" s="298"/>
      <c r="O110" s="298"/>
      <c r="P110" s="298"/>
      <c r="Q110" s="298"/>
      <c r="R110" s="298"/>
      <c r="S110" s="298"/>
      <c r="T110" s="298"/>
      <c r="U110" s="298"/>
      <c r="V110" s="298"/>
      <c r="W110" s="298"/>
      <c r="X110" s="298"/>
      <c r="Y110" s="298"/>
      <c r="Z110" s="298"/>
      <c r="AA110" s="298"/>
      <c r="AB110" s="298"/>
      <c r="AC110" s="298"/>
      <c r="AD110" s="298"/>
      <c r="AE110" s="298"/>
      <c r="AF110" s="298"/>
      <c r="AG110" s="298"/>
      <c r="AH110" s="298"/>
      <c r="AI110" s="166">
        <f t="shared" si="2"/>
        <v>0</v>
      </c>
      <c r="AJ110" s="166">
        <f t="shared" si="3"/>
        <v>0</v>
      </c>
      <c r="AK110" s="166"/>
      <c r="AL110" s="230" t="e">
        <f>IF($A110="","",IF(VLOOKUP($A110,'İşçi Bilgileri'!$A$2:$J$700,9,FALSE)=0,"",VLOOKUP($A110,'İşçi Bilgileri'!$A$2:$J$700,9,FALSE)))</f>
        <v>#N/A</v>
      </c>
      <c r="AM110" s="172" t="e">
        <f>IF($A110="","",IF(VLOOKUP($A110,'İşçi Bilgileri'!$A$2:$J$700,10,FALSE)=0,"",VLOOKUP($A110,'İşçi Bilgileri'!$A$2:$J$700,10,FALSE)))</f>
        <v>#N/A</v>
      </c>
    </row>
    <row r="111" spans="1:39" x14ac:dyDescent="0.2">
      <c r="A111" s="170">
        <v>103</v>
      </c>
      <c r="B111" s="147" t="e">
        <f>CONCATENATE(IF($A111="","",VLOOKUP($A111,'İşçi Bilgileri'!$A$2:$D$700,2,FALSE))," ",IF($A111="","",VLOOKUP($A111,'İşçi Bilgileri'!$A$2:$D$700,3,FALSE)))</f>
        <v>#N/A</v>
      </c>
      <c r="C111" s="171" t="e">
        <f>IF($A111="","",VLOOKUP($A111,'İşçi Bilgileri'!$A$2:$D$700,4,FALSE))</f>
        <v>#N/A</v>
      </c>
      <c r="D111" s="298"/>
      <c r="E111" s="298"/>
      <c r="F111" s="298"/>
      <c r="G111" s="298"/>
      <c r="H111" s="298"/>
      <c r="I111" s="298"/>
      <c r="J111" s="298"/>
      <c r="K111" s="298"/>
      <c r="L111" s="298"/>
      <c r="M111" s="298"/>
      <c r="N111" s="298"/>
      <c r="O111" s="298"/>
      <c r="P111" s="298"/>
      <c r="Q111" s="298"/>
      <c r="R111" s="298"/>
      <c r="S111" s="298"/>
      <c r="T111" s="298"/>
      <c r="U111" s="298"/>
      <c r="V111" s="298"/>
      <c r="W111" s="298"/>
      <c r="X111" s="298"/>
      <c r="Y111" s="298"/>
      <c r="Z111" s="298"/>
      <c r="AA111" s="298"/>
      <c r="AB111" s="298"/>
      <c r="AC111" s="298"/>
      <c r="AD111" s="298"/>
      <c r="AE111" s="298"/>
      <c r="AF111" s="298"/>
      <c r="AG111" s="298"/>
      <c r="AH111" s="298"/>
      <c r="AI111" s="166">
        <f t="shared" si="2"/>
        <v>0</v>
      </c>
      <c r="AJ111" s="166">
        <f t="shared" si="3"/>
        <v>0</v>
      </c>
      <c r="AK111" s="166"/>
      <c r="AL111" s="230" t="e">
        <f>IF($A111="","",IF(VLOOKUP($A111,'İşçi Bilgileri'!$A$2:$J$700,9,FALSE)=0,"",VLOOKUP($A111,'İşçi Bilgileri'!$A$2:$J$700,9,FALSE)))</f>
        <v>#N/A</v>
      </c>
      <c r="AM111" s="172" t="e">
        <f>IF($A111="","",IF(VLOOKUP($A111,'İşçi Bilgileri'!$A$2:$J$700,10,FALSE)=0,"",VLOOKUP($A111,'İşçi Bilgileri'!$A$2:$J$700,10,FALSE)))</f>
        <v>#N/A</v>
      </c>
    </row>
    <row r="112" spans="1:39" x14ac:dyDescent="0.2">
      <c r="A112" s="170">
        <v>104</v>
      </c>
      <c r="B112" s="147" t="e">
        <f>CONCATENATE(IF($A112="","",VLOOKUP($A112,'İşçi Bilgileri'!$A$2:$D$700,2,FALSE))," ",IF($A112="","",VLOOKUP($A112,'İşçi Bilgileri'!$A$2:$D$700,3,FALSE)))</f>
        <v>#N/A</v>
      </c>
      <c r="C112" s="171" t="e">
        <f>IF($A112="","",VLOOKUP($A112,'İşçi Bilgileri'!$A$2:$D$700,4,FALSE))</f>
        <v>#N/A</v>
      </c>
      <c r="D112" s="298"/>
      <c r="E112" s="298"/>
      <c r="F112" s="298"/>
      <c r="G112" s="298"/>
      <c r="H112" s="298"/>
      <c r="I112" s="298"/>
      <c r="J112" s="298"/>
      <c r="K112" s="298"/>
      <c r="L112" s="298"/>
      <c r="M112" s="298"/>
      <c r="N112" s="298"/>
      <c r="O112" s="298"/>
      <c r="P112" s="298"/>
      <c r="Q112" s="298"/>
      <c r="R112" s="298"/>
      <c r="S112" s="298"/>
      <c r="T112" s="298"/>
      <c r="U112" s="298"/>
      <c r="V112" s="298"/>
      <c r="W112" s="298"/>
      <c r="X112" s="298"/>
      <c r="Y112" s="298"/>
      <c r="Z112" s="298"/>
      <c r="AA112" s="298"/>
      <c r="AB112" s="298"/>
      <c r="AC112" s="298"/>
      <c r="AD112" s="298"/>
      <c r="AE112" s="298"/>
      <c r="AF112" s="298"/>
      <c r="AG112" s="298"/>
      <c r="AH112" s="298"/>
      <c r="AI112" s="166">
        <f t="shared" si="2"/>
        <v>0</v>
      </c>
      <c r="AJ112" s="166">
        <f t="shared" si="3"/>
        <v>0</v>
      </c>
      <c r="AK112" s="166"/>
      <c r="AL112" s="230" t="e">
        <f>IF($A112="","",IF(VLOOKUP($A112,'İşçi Bilgileri'!$A$2:$J$700,9,FALSE)=0,"",VLOOKUP($A112,'İşçi Bilgileri'!$A$2:$J$700,9,FALSE)))</f>
        <v>#N/A</v>
      </c>
      <c r="AM112" s="172" t="e">
        <f>IF($A112="","",IF(VLOOKUP($A112,'İşçi Bilgileri'!$A$2:$J$700,10,FALSE)=0,"",VLOOKUP($A112,'İşçi Bilgileri'!$A$2:$J$700,10,FALSE)))</f>
        <v>#N/A</v>
      </c>
    </row>
    <row r="113" spans="1:39" x14ac:dyDescent="0.2">
      <c r="A113" s="170">
        <v>105</v>
      </c>
      <c r="B113" s="147" t="e">
        <f>CONCATENATE(IF($A113="","",VLOOKUP($A113,'İşçi Bilgileri'!$A$2:$D$700,2,FALSE))," ",IF($A113="","",VLOOKUP($A113,'İşçi Bilgileri'!$A$2:$D$700,3,FALSE)))</f>
        <v>#N/A</v>
      </c>
      <c r="C113" s="171" t="e">
        <f>IF($A113="","",VLOOKUP($A113,'İşçi Bilgileri'!$A$2:$D$700,4,FALSE))</f>
        <v>#N/A</v>
      </c>
      <c r="D113" s="298"/>
      <c r="E113" s="298"/>
      <c r="F113" s="298"/>
      <c r="G113" s="298"/>
      <c r="H113" s="298"/>
      <c r="I113" s="298"/>
      <c r="J113" s="298"/>
      <c r="K113" s="298"/>
      <c r="L113" s="298"/>
      <c r="M113" s="298"/>
      <c r="N113" s="298"/>
      <c r="O113" s="298"/>
      <c r="P113" s="298"/>
      <c r="Q113" s="298"/>
      <c r="R113" s="298"/>
      <c r="S113" s="298"/>
      <c r="T113" s="298"/>
      <c r="U113" s="298"/>
      <c r="V113" s="298"/>
      <c r="W113" s="298"/>
      <c r="X113" s="298"/>
      <c r="Y113" s="298"/>
      <c r="Z113" s="298"/>
      <c r="AA113" s="298"/>
      <c r="AB113" s="298"/>
      <c r="AC113" s="298"/>
      <c r="AD113" s="298"/>
      <c r="AE113" s="298"/>
      <c r="AF113" s="298"/>
      <c r="AG113" s="298"/>
      <c r="AH113" s="298"/>
      <c r="AI113" s="166">
        <f t="shared" si="2"/>
        <v>0</v>
      </c>
      <c r="AJ113" s="166">
        <f t="shared" si="3"/>
        <v>0</v>
      </c>
      <c r="AK113" s="166"/>
      <c r="AL113" s="230" t="e">
        <f>IF($A113="","",IF(VLOOKUP($A113,'İşçi Bilgileri'!$A$2:$J$700,9,FALSE)=0,"",VLOOKUP($A113,'İşçi Bilgileri'!$A$2:$J$700,9,FALSE)))</f>
        <v>#N/A</v>
      </c>
      <c r="AM113" s="172" t="e">
        <f>IF($A113="","",IF(VLOOKUP($A113,'İşçi Bilgileri'!$A$2:$J$700,10,FALSE)=0,"",VLOOKUP($A113,'İşçi Bilgileri'!$A$2:$J$700,10,FALSE)))</f>
        <v>#N/A</v>
      </c>
    </row>
    <row r="114" spans="1:39" x14ac:dyDescent="0.2">
      <c r="A114" s="170">
        <v>106</v>
      </c>
      <c r="B114" s="147" t="e">
        <f>CONCATENATE(IF($A114="","",VLOOKUP($A114,'İşçi Bilgileri'!$A$2:$D$700,2,FALSE))," ",IF($A114="","",VLOOKUP($A114,'İşçi Bilgileri'!$A$2:$D$700,3,FALSE)))</f>
        <v>#N/A</v>
      </c>
      <c r="C114" s="171" t="e">
        <f>IF($A114="","",VLOOKUP($A114,'İşçi Bilgileri'!$A$2:$D$700,4,FALSE))</f>
        <v>#N/A</v>
      </c>
      <c r="D114" s="298"/>
      <c r="E114" s="298"/>
      <c r="F114" s="298"/>
      <c r="G114" s="298"/>
      <c r="H114" s="298"/>
      <c r="I114" s="298"/>
      <c r="J114" s="298"/>
      <c r="K114" s="298"/>
      <c r="L114" s="298"/>
      <c r="M114" s="298"/>
      <c r="N114" s="298"/>
      <c r="O114" s="298"/>
      <c r="P114" s="298"/>
      <c r="Q114" s="298"/>
      <c r="R114" s="298"/>
      <c r="S114" s="298"/>
      <c r="T114" s="298"/>
      <c r="U114" s="298"/>
      <c r="V114" s="298"/>
      <c r="W114" s="298"/>
      <c r="X114" s="298"/>
      <c r="Y114" s="298"/>
      <c r="Z114" s="298"/>
      <c r="AA114" s="298"/>
      <c r="AB114" s="298"/>
      <c r="AC114" s="298"/>
      <c r="AD114" s="298"/>
      <c r="AE114" s="298"/>
      <c r="AF114" s="298"/>
      <c r="AG114" s="298"/>
      <c r="AH114" s="298"/>
      <c r="AI114" s="166">
        <f t="shared" si="2"/>
        <v>0</v>
      </c>
      <c r="AJ114" s="166">
        <f t="shared" si="3"/>
        <v>0</v>
      </c>
      <c r="AK114" s="166"/>
      <c r="AL114" s="230" t="e">
        <f>IF($A114="","",IF(VLOOKUP($A114,'İşçi Bilgileri'!$A$2:$J$700,9,FALSE)=0,"",VLOOKUP($A114,'İşçi Bilgileri'!$A$2:$J$700,9,FALSE)))</f>
        <v>#N/A</v>
      </c>
      <c r="AM114" s="172" t="e">
        <f>IF($A114="","",IF(VLOOKUP($A114,'İşçi Bilgileri'!$A$2:$J$700,10,FALSE)=0,"",VLOOKUP($A114,'İşçi Bilgileri'!$A$2:$J$700,10,FALSE)))</f>
        <v>#N/A</v>
      </c>
    </row>
    <row r="115" spans="1:39" x14ac:dyDescent="0.2">
      <c r="A115" s="170">
        <v>107</v>
      </c>
      <c r="B115" s="147" t="e">
        <f>CONCATENATE(IF($A115="","",VLOOKUP($A115,'İşçi Bilgileri'!$A$2:$D$700,2,FALSE))," ",IF($A115="","",VLOOKUP($A115,'İşçi Bilgileri'!$A$2:$D$700,3,FALSE)))</f>
        <v>#N/A</v>
      </c>
      <c r="C115" s="171" t="e">
        <f>IF($A115="","",VLOOKUP($A115,'İşçi Bilgileri'!$A$2:$D$700,4,FALSE))</f>
        <v>#N/A</v>
      </c>
      <c r="D115" s="298"/>
      <c r="E115" s="298"/>
      <c r="F115" s="298"/>
      <c r="G115" s="298"/>
      <c r="H115" s="298"/>
      <c r="I115" s="298"/>
      <c r="J115" s="298"/>
      <c r="K115" s="298"/>
      <c r="L115" s="298"/>
      <c r="M115" s="298"/>
      <c r="N115" s="298"/>
      <c r="O115" s="298"/>
      <c r="P115" s="298"/>
      <c r="Q115" s="298"/>
      <c r="R115" s="298"/>
      <c r="S115" s="298"/>
      <c r="T115" s="298"/>
      <c r="U115" s="298"/>
      <c r="V115" s="298"/>
      <c r="W115" s="298"/>
      <c r="X115" s="298"/>
      <c r="Y115" s="298"/>
      <c r="Z115" s="298"/>
      <c r="AA115" s="298"/>
      <c r="AB115" s="298"/>
      <c r="AC115" s="298"/>
      <c r="AD115" s="298"/>
      <c r="AE115" s="298"/>
      <c r="AF115" s="298"/>
      <c r="AG115" s="298"/>
      <c r="AH115" s="298"/>
      <c r="AI115" s="166">
        <f t="shared" si="2"/>
        <v>0</v>
      </c>
      <c r="AJ115" s="166">
        <f t="shared" si="3"/>
        <v>0</v>
      </c>
      <c r="AK115" s="166"/>
      <c r="AL115" s="230" t="e">
        <f>IF($A115="","",IF(VLOOKUP($A115,'İşçi Bilgileri'!$A$2:$J$700,9,FALSE)=0,"",VLOOKUP($A115,'İşçi Bilgileri'!$A$2:$J$700,9,FALSE)))</f>
        <v>#N/A</v>
      </c>
      <c r="AM115" s="172" t="e">
        <f>IF($A115="","",IF(VLOOKUP($A115,'İşçi Bilgileri'!$A$2:$J$700,10,FALSE)=0,"",VLOOKUP($A115,'İşçi Bilgileri'!$A$2:$J$700,10,FALSE)))</f>
        <v>#N/A</v>
      </c>
    </row>
    <row r="116" spans="1:39" x14ac:dyDescent="0.2">
      <c r="A116" s="170">
        <v>108</v>
      </c>
      <c r="B116" s="147" t="e">
        <f>CONCATENATE(IF($A116="","",VLOOKUP($A116,'İşçi Bilgileri'!$A$2:$D$700,2,FALSE))," ",IF($A116="","",VLOOKUP($A116,'İşçi Bilgileri'!$A$2:$D$700,3,FALSE)))</f>
        <v>#N/A</v>
      </c>
      <c r="C116" s="171" t="e">
        <f>IF($A116="","",VLOOKUP($A116,'İşçi Bilgileri'!$A$2:$D$700,4,FALSE))</f>
        <v>#N/A</v>
      </c>
      <c r="D116" s="298"/>
      <c r="E116" s="298"/>
      <c r="F116" s="298"/>
      <c r="G116" s="298"/>
      <c r="H116" s="298"/>
      <c r="I116" s="298"/>
      <c r="J116" s="298"/>
      <c r="K116" s="298"/>
      <c r="L116" s="298"/>
      <c r="M116" s="298"/>
      <c r="N116" s="298"/>
      <c r="O116" s="298"/>
      <c r="P116" s="298"/>
      <c r="Q116" s="298"/>
      <c r="R116" s="298"/>
      <c r="S116" s="298"/>
      <c r="T116" s="298"/>
      <c r="U116" s="298"/>
      <c r="V116" s="298"/>
      <c r="W116" s="298"/>
      <c r="X116" s="298"/>
      <c r="Y116" s="298"/>
      <c r="Z116" s="298"/>
      <c r="AA116" s="298"/>
      <c r="AB116" s="298"/>
      <c r="AC116" s="298"/>
      <c r="AD116" s="298"/>
      <c r="AE116" s="298"/>
      <c r="AF116" s="298"/>
      <c r="AG116" s="298"/>
      <c r="AH116" s="298"/>
      <c r="AI116" s="166">
        <f t="shared" si="2"/>
        <v>0</v>
      </c>
      <c r="AJ116" s="166">
        <f t="shared" si="3"/>
        <v>0</v>
      </c>
      <c r="AK116" s="166"/>
      <c r="AL116" s="230" t="e">
        <f>IF($A116="","",IF(VLOOKUP($A116,'İşçi Bilgileri'!$A$2:$J$700,9,FALSE)=0,"",VLOOKUP($A116,'İşçi Bilgileri'!$A$2:$J$700,9,FALSE)))</f>
        <v>#N/A</v>
      </c>
      <c r="AM116" s="172" t="e">
        <f>IF($A116="","",IF(VLOOKUP($A116,'İşçi Bilgileri'!$A$2:$J$700,10,FALSE)=0,"",VLOOKUP($A116,'İşçi Bilgileri'!$A$2:$J$700,10,FALSE)))</f>
        <v>#N/A</v>
      </c>
    </row>
    <row r="117" spans="1:39" x14ac:dyDescent="0.2">
      <c r="A117" s="170">
        <v>109</v>
      </c>
      <c r="B117" s="147" t="e">
        <f>CONCATENATE(IF($A117="","",VLOOKUP($A117,'İşçi Bilgileri'!$A$2:$D$700,2,FALSE))," ",IF($A117="","",VLOOKUP($A117,'İşçi Bilgileri'!$A$2:$D$700,3,FALSE)))</f>
        <v>#N/A</v>
      </c>
      <c r="C117" s="171" t="e">
        <f>IF($A117="","",VLOOKUP($A117,'İşçi Bilgileri'!$A$2:$D$700,4,FALSE))</f>
        <v>#N/A</v>
      </c>
      <c r="D117" s="298"/>
      <c r="E117" s="298"/>
      <c r="F117" s="298"/>
      <c r="G117" s="298"/>
      <c r="H117" s="298"/>
      <c r="I117" s="298"/>
      <c r="J117" s="298"/>
      <c r="K117" s="298"/>
      <c r="L117" s="298"/>
      <c r="M117" s="298"/>
      <c r="N117" s="298"/>
      <c r="O117" s="298"/>
      <c r="P117" s="298"/>
      <c r="Q117" s="298"/>
      <c r="R117" s="298"/>
      <c r="S117" s="298"/>
      <c r="T117" s="298"/>
      <c r="U117" s="298"/>
      <c r="V117" s="298"/>
      <c r="W117" s="298"/>
      <c r="X117" s="298"/>
      <c r="Y117" s="298"/>
      <c r="Z117" s="298"/>
      <c r="AA117" s="298"/>
      <c r="AB117" s="298"/>
      <c r="AC117" s="298"/>
      <c r="AD117" s="298"/>
      <c r="AE117" s="298"/>
      <c r="AF117" s="298"/>
      <c r="AG117" s="298"/>
      <c r="AH117" s="298"/>
      <c r="AI117" s="166">
        <f t="shared" si="2"/>
        <v>0</v>
      </c>
      <c r="AJ117" s="166">
        <f t="shared" si="3"/>
        <v>0</v>
      </c>
      <c r="AK117" s="166"/>
      <c r="AL117" s="230" t="e">
        <f>IF($A117="","",IF(VLOOKUP($A117,'İşçi Bilgileri'!$A$2:$J$700,9,FALSE)=0,"",VLOOKUP($A117,'İşçi Bilgileri'!$A$2:$J$700,9,FALSE)))</f>
        <v>#N/A</v>
      </c>
      <c r="AM117" s="172" t="e">
        <f>IF($A117="","",IF(VLOOKUP($A117,'İşçi Bilgileri'!$A$2:$J$700,10,FALSE)=0,"",VLOOKUP($A117,'İşçi Bilgileri'!$A$2:$J$700,10,FALSE)))</f>
        <v>#N/A</v>
      </c>
    </row>
    <row r="118" spans="1:39" x14ac:dyDescent="0.2">
      <c r="A118" s="170">
        <v>110</v>
      </c>
      <c r="B118" s="147" t="e">
        <f>CONCATENATE(IF($A118="","",VLOOKUP($A118,'İşçi Bilgileri'!$A$2:$D$700,2,FALSE))," ",IF($A118="","",VLOOKUP($A118,'İşçi Bilgileri'!$A$2:$D$700,3,FALSE)))</f>
        <v>#N/A</v>
      </c>
      <c r="C118" s="171" t="e">
        <f>IF($A118="","",VLOOKUP($A118,'İşçi Bilgileri'!$A$2:$D$700,4,FALSE))</f>
        <v>#N/A</v>
      </c>
      <c r="D118" s="298"/>
      <c r="E118" s="298"/>
      <c r="F118" s="298"/>
      <c r="G118" s="298"/>
      <c r="H118" s="298"/>
      <c r="I118" s="298"/>
      <c r="J118" s="298"/>
      <c r="K118" s="298"/>
      <c r="L118" s="298"/>
      <c r="M118" s="298"/>
      <c r="N118" s="298"/>
      <c r="O118" s="298"/>
      <c r="P118" s="298"/>
      <c r="Q118" s="298"/>
      <c r="R118" s="298"/>
      <c r="S118" s="298"/>
      <c r="T118" s="298"/>
      <c r="U118" s="298"/>
      <c r="V118" s="298"/>
      <c r="W118" s="298"/>
      <c r="X118" s="298"/>
      <c r="Y118" s="298"/>
      <c r="Z118" s="298"/>
      <c r="AA118" s="298"/>
      <c r="AB118" s="298"/>
      <c r="AC118" s="298"/>
      <c r="AD118" s="298"/>
      <c r="AE118" s="298"/>
      <c r="AF118" s="298"/>
      <c r="AG118" s="298"/>
      <c r="AH118" s="298"/>
      <c r="AI118" s="166">
        <f t="shared" si="2"/>
        <v>0</v>
      </c>
      <c r="AJ118" s="166">
        <f t="shared" si="3"/>
        <v>0</v>
      </c>
      <c r="AK118" s="166"/>
      <c r="AL118" s="230" t="e">
        <f>IF($A118="","",IF(VLOOKUP($A118,'İşçi Bilgileri'!$A$2:$J$700,9,FALSE)=0,"",VLOOKUP($A118,'İşçi Bilgileri'!$A$2:$J$700,9,FALSE)))</f>
        <v>#N/A</v>
      </c>
      <c r="AM118" s="172" t="e">
        <f>IF($A118="","",IF(VLOOKUP($A118,'İşçi Bilgileri'!$A$2:$J$700,10,FALSE)=0,"",VLOOKUP($A118,'İşçi Bilgileri'!$A$2:$J$700,10,FALSE)))</f>
        <v>#N/A</v>
      </c>
    </row>
    <row r="119" spans="1:39" x14ac:dyDescent="0.2">
      <c r="A119" s="170">
        <v>111</v>
      </c>
      <c r="B119" s="147" t="e">
        <f>CONCATENATE(IF($A119="","",VLOOKUP($A119,'İşçi Bilgileri'!$A$2:$D$700,2,FALSE))," ",IF($A119="","",VLOOKUP($A119,'İşçi Bilgileri'!$A$2:$D$700,3,FALSE)))</f>
        <v>#N/A</v>
      </c>
      <c r="C119" s="171" t="e">
        <f>IF($A119="","",VLOOKUP($A119,'İşçi Bilgileri'!$A$2:$D$700,4,FALSE))</f>
        <v>#N/A</v>
      </c>
      <c r="D119" s="298"/>
      <c r="E119" s="298"/>
      <c r="F119" s="298"/>
      <c r="G119" s="298"/>
      <c r="H119" s="298"/>
      <c r="I119" s="298"/>
      <c r="J119" s="298"/>
      <c r="K119" s="298"/>
      <c r="L119" s="298"/>
      <c r="M119" s="298"/>
      <c r="N119" s="298"/>
      <c r="O119" s="298"/>
      <c r="P119" s="298"/>
      <c r="Q119" s="298"/>
      <c r="R119" s="298"/>
      <c r="S119" s="298"/>
      <c r="T119" s="298"/>
      <c r="U119" s="298"/>
      <c r="V119" s="298"/>
      <c r="W119" s="298"/>
      <c r="X119" s="298"/>
      <c r="Y119" s="298"/>
      <c r="Z119" s="298"/>
      <c r="AA119" s="298"/>
      <c r="AB119" s="298"/>
      <c r="AC119" s="298"/>
      <c r="AD119" s="298"/>
      <c r="AE119" s="298"/>
      <c r="AF119" s="298"/>
      <c r="AG119" s="298"/>
      <c r="AH119" s="298"/>
      <c r="AI119" s="166">
        <f t="shared" si="2"/>
        <v>0</v>
      </c>
      <c r="AJ119" s="166">
        <f t="shared" si="3"/>
        <v>0</v>
      </c>
      <c r="AK119" s="166"/>
      <c r="AL119" s="230" t="e">
        <f>IF($A119="","",IF(VLOOKUP($A119,'İşçi Bilgileri'!$A$2:$J$700,9,FALSE)=0,"",VLOOKUP($A119,'İşçi Bilgileri'!$A$2:$J$700,9,FALSE)))</f>
        <v>#N/A</v>
      </c>
      <c r="AM119" s="172" t="e">
        <f>IF($A119="","",IF(VLOOKUP($A119,'İşçi Bilgileri'!$A$2:$J$700,10,FALSE)=0,"",VLOOKUP($A119,'İşçi Bilgileri'!$A$2:$J$700,10,FALSE)))</f>
        <v>#N/A</v>
      </c>
    </row>
    <row r="120" spans="1:39" ht="13.9" customHeight="1" x14ac:dyDescent="0.2">
      <c r="A120" s="170">
        <v>112</v>
      </c>
      <c r="B120" s="147" t="e">
        <f>CONCATENATE(IF($A120="","",VLOOKUP($A120,'İşçi Bilgileri'!$A$2:$D$700,2,FALSE))," ",IF($A120="","",VLOOKUP($A120,'İşçi Bilgileri'!$A$2:$D$700,3,FALSE)))</f>
        <v>#N/A</v>
      </c>
      <c r="C120" s="171" t="e">
        <f>IF($A120="","",VLOOKUP($A120,'İşçi Bilgileri'!$A$2:$D$700,4,FALSE))</f>
        <v>#N/A</v>
      </c>
      <c r="D120" s="298"/>
      <c r="E120" s="298"/>
      <c r="F120" s="298"/>
      <c r="G120" s="298"/>
      <c r="H120" s="298"/>
      <c r="I120" s="298"/>
      <c r="J120" s="298"/>
      <c r="K120" s="298"/>
      <c r="L120" s="298"/>
      <c r="M120" s="298"/>
      <c r="N120" s="298"/>
      <c r="O120" s="298"/>
      <c r="P120" s="298"/>
      <c r="Q120" s="298"/>
      <c r="R120" s="298"/>
      <c r="S120" s="298"/>
      <c r="T120" s="298"/>
      <c r="U120" s="298"/>
      <c r="V120" s="298"/>
      <c r="W120" s="298"/>
      <c r="X120" s="298"/>
      <c r="Y120" s="298"/>
      <c r="Z120" s="298"/>
      <c r="AA120" s="298"/>
      <c r="AB120" s="298"/>
      <c r="AC120" s="298"/>
      <c r="AD120" s="298"/>
      <c r="AE120" s="298"/>
      <c r="AF120" s="298"/>
      <c r="AG120" s="298"/>
      <c r="AH120" s="298"/>
      <c r="AI120" s="166">
        <f t="shared" si="2"/>
        <v>0</v>
      </c>
      <c r="AJ120" s="166">
        <f t="shared" si="3"/>
        <v>0</v>
      </c>
      <c r="AK120" s="166"/>
      <c r="AL120" s="230" t="e">
        <f>IF($A120="","",IF(VLOOKUP($A120,'İşçi Bilgileri'!$A$2:$J$700,9,FALSE)=0,"",VLOOKUP($A120,'İşçi Bilgileri'!$A$2:$J$700,9,FALSE)))</f>
        <v>#N/A</v>
      </c>
      <c r="AM120" s="172" t="e">
        <f>IF($A120="","",IF(VLOOKUP($A120,'İşçi Bilgileri'!$A$2:$J$700,10,FALSE)=0,"",VLOOKUP($A120,'İşçi Bilgileri'!$A$2:$J$700,10,FALSE)))</f>
        <v>#N/A</v>
      </c>
    </row>
    <row r="121" spans="1:39" x14ac:dyDescent="0.2">
      <c r="A121" s="170">
        <v>113</v>
      </c>
      <c r="B121" s="147" t="e">
        <f>CONCATENATE(IF($A121="","",VLOOKUP($A121,'İşçi Bilgileri'!$A$2:$D$700,2,FALSE))," ",IF($A121="","",VLOOKUP($A121,'İşçi Bilgileri'!$A$2:$D$700,3,FALSE)))</f>
        <v>#N/A</v>
      </c>
      <c r="C121" s="171" t="e">
        <f>IF($A121="","",VLOOKUP($A121,'İşçi Bilgileri'!$A$2:$D$700,4,FALSE))</f>
        <v>#N/A</v>
      </c>
      <c r="D121" s="298"/>
      <c r="E121" s="298"/>
      <c r="F121" s="298"/>
      <c r="G121" s="298"/>
      <c r="H121" s="298"/>
      <c r="I121" s="298"/>
      <c r="J121" s="298"/>
      <c r="K121" s="298"/>
      <c r="L121" s="298"/>
      <c r="M121" s="298"/>
      <c r="N121" s="298"/>
      <c r="O121" s="298"/>
      <c r="P121" s="298"/>
      <c r="Q121" s="298"/>
      <c r="R121" s="298"/>
      <c r="S121" s="298"/>
      <c r="T121" s="298"/>
      <c r="U121" s="298"/>
      <c r="V121" s="298"/>
      <c r="W121" s="298"/>
      <c r="X121" s="298"/>
      <c r="Y121" s="298"/>
      <c r="Z121" s="298"/>
      <c r="AA121" s="298"/>
      <c r="AB121" s="298"/>
      <c r="AC121" s="298"/>
      <c r="AD121" s="298"/>
      <c r="AE121" s="298"/>
      <c r="AF121" s="298"/>
      <c r="AG121" s="298"/>
      <c r="AH121" s="298"/>
      <c r="AI121" s="166">
        <f t="shared" si="2"/>
        <v>0</v>
      </c>
      <c r="AJ121" s="166">
        <f t="shared" si="3"/>
        <v>0</v>
      </c>
      <c r="AK121" s="166"/>
      <c r="AL121" s="230" t="e">
        <f>IF($A121="","",IF(VLOOKUP($A121,'İşçi Bilgileri'!$A$2:$J$700,9,FALSE)=0,"",VLOOKUP($A121,'İşçi Bilgileri'!$A$2:$J$700,9,FALSE)))</f>
        <v>#N/A</v>
      </c>
      <c r="AM121" s="172" t="e">
        <f>IF($A121="","",IF(VLOOKUP($A121,'İşçi Bilgileri'!$A$2:$J$700,10,FALSE)=0,"",VLOOKUP($A121,'İşçi Bilgileri'!$A$2:$J$700,10,FALSE)))</f>
        <v>#N/A</v>
      </c>
    </row>
    <row r="122" spans="1:39" x14ac:dyDescent="0.2">
      <c r="A122" s="170">
        <v>114</v>
      </c>
      <c r="B122" s="147" t="e">
        <f>CONCATENATE(IF($A122="","",VLOOKUP($A122,'İşçi Bilgileri'!$A$2:$D$700,2,FALSE))," ",IF($A122="","",VLOOKUP($A122,'İşçi Bilgileri'!$A$2:$D$700,3,FALSE)))</f>
        <v>#N/A</v>
      </c>
      <c r="C122" s="171" t="e">
        <f>IF($A122="","",VLOOKUP($A122,'İşçi Bilgileri'!$A$2:$D$700,4,FALSE))</f>
        <v>#N/A</v>
      </c>
      <c r="D122" s="298"/>
      <c r="E122" s="298"/>
      <c r="F122" s="298"/>
      <c r="G122" s="298"/>
      <c r="H122" s="298"/>
      <c r="I122" s="298"/>
      <c r="J122" s="298"/>
      <c r="K122" s="298"/>
      <c r="L122" s="298"/>
      <c r="M122" s="298"/>
      <c r="N122" s="298"/>
      <c r="O122" s="298"/>
      <c r="P122" s="298"/>
      <c r="Q122" s="298"/>
      <c r="R122" s="298"/>
      <c r="S122" s="298"/>
      <c r="T122" s="298"/>
      <c r="U122" s="298"/>
      <c r="V122" s="298"/>
      <c r="W122" s="298"/>
      <c r="X122" s="298"/>
      <c r="Y122" s="298"/>
      <c r="Z122" s="298"/>
      <c r="AA122" s="298"/>
      <c r="AB122" s="298"/>
      <c r="AC122" s="298"/>
      <c r="AD122" s="298"/>
      <c r="AE122" s="298"/>
      <c r="AF122" s="298"/>
      <c r="AG122" s="298"/>
      <c r="AH122" s="298"/>
      <c r="AI122" s="166">
        <f t="shared" si="2"/>
        <v>0</v>
      </c>
      <c r="AJ122" s="166">
        <f t="shared" si="3"/>
        <v>0</v>
      </c>
      <c r="AK122" s="166"/>
      <c r="AL122" s="230" t="e">
        <f>IF($A122="","",IF(VLOOKUP($A122,'İşçi Bilgileri'!$A$2:$J$700,9,FALSE)=0,"",VLOOKUP($A122,'İşçi Bilgileri'!$A$2:$J$700,9,FALSE)))</f>
        <v>#N/A</v>
      </c>
      <c r="AM122" s="172" t="e">
        <f>IF($A122="","",IF(VLOOKUP($A122,'İşçi Bilgileri'!$A$2:$J$700,10,FALSE)=0,"",VLOOKUP($A122,'İşçi Bilgileri'!$A$2:$J$700,10,FALSE)))</f>
        <v>#N/A</v>
      </c>
    </row>
    <row r="123" spans="1:39" x14ac:dyDescent="0.2">
      <c r="A123" s="170">
        <v>115</v>
      </c>
      <c r="B123" s="147" t="e">
        <f>CONCATENATE(IF($A123="","",VLOOKUP($A123,'İşçi Bilgileri'!$A$2:$D$700,2,FALSE))," ",IF($A123="","",VLOOKUP($A123,'İşçi Bilgileri'!$A$2:$D$700,3,FALSE)))</f>
        <v>#N/A</v>
      </c>
      <c r="C123" s="171" t="e">
        <f>IF($A123="","",VLOOKUP($A123,'İşçi Bilgileri'!$A$2:$D$700,4,FALSE))</f>
        <v>#N/A</v>
      </c>
      <c r="D123" s="298"/>
      <c r="E123" s="298"/>
      <c r="F123" s="298"/>
      <c r="G123" s="298"/>
      <c r="H123" s="298"/>
      <c r="I123" s="298"/>
      <c r="J123" s="298"/>
      <c r="K123" s="298"/>
      <c r="L123" s="298"/>
      <c r="M123" s="298"/>
      <c r="N123" s="298"/>
      <c r="O123" s="298"/>
      <c r="P123" s="298"/>
      <c r="Q123" s="298"/>
      <c r="R123" s="298"/>
      <c r="S123" s="298"/>
      <c r="T123" s="298"/>
      <c r="U123" s="298"/>
      <c r="V123" s="298"/>
      <c r="W123" s="298"/>
      <c r="X123" s="298"/>
      <c r="Y123" s="298"/>
      <c r="Z123" s="298"/>
      <c r="AA123" s="298"/>
      <c r="AB123" s="298"/>
      <c r="AC123" s="298"/>
      <c r="AD123" s="298"/>
      <c r="AE123" s="298"/>
      <c r="AF123" s="298"/>
      <c r="AG123" s="298"/>
      <c r="AH123" s="298"/>
      <c r="AI123" s="166">
        <f t="shared" si="2"/>
        <v>0</v>
      </c>
      <c r="AJ123" s="166">
        <f t="shared" si="3"/>
        <v>0</v>
      </c>
      <c r="AK123" s="166"/>
      <c r="AL123" s="230" t="e">
        <f>IF($A123="","",IF(VLOOKUP($A123,'İşçi Bilgileri'!$A$2:$J$700,9,FALSE)=0,"",VLOOKUP($A123,'İşçi Bilgileri'!$A$2:$J$700,9,FALSE)))</f>
        <v>#N/A</v>
      </c>
      <c r="AM123" s="172" t="e">
        <f>IF($A123="","",IF(VLOOKUP($A123,'İşçi Bilgileri'!$A$2:$J$700,10,FALSE)=0,"",VLOOKUP($A123,'İşçi Bilgileri'!$A$2:$J$700,10,FALSE)))</f>
        <v>#N/A</v>
      </c>
    </row>
    <row r="124" spans="1:39" x14ac:dyDescent="0.2">
      <c r="A124" s="170">
        <v>116</v>
      </c>
      <c r="B124" s="147" t="e">
        <f>CONCATENATE(IF($A124="","",VLOOKUP($A124,'İşçi Bilgileri'!$A$2:$D$700,2,FALSE))," ",IF($A124="","",VLOOKUP($A124,'İşçi Bilgileri'!$A$2:$D$700,3,FALSE)))</f>
        <v>#N/A</v>
      </c>
      <c r="C124" s="171" t="e">
        <f>IF($A124="","",VLOOKUP($A124,'İşçi Bilgileri'!$A$2:$D$700,4,FALSE))</f>
        <v>#N/A</v>
      </c>
      <c r="D124" s="298"/>
      <c r="E124" s="298"/>
      <c r="F124" s="298"/>
      <c r="G124" s="298"/>
      <c r="H124" s="298"/>
      <c r="I124" s="298"/>
      <c r="J124" s="298"/>
      <c r="K124" s="298"/>
      <c r="L124" s="298"/>
      <c r="M124" s="298"/>
      <c r="N124" s="298"/>
      <c r="O124" s="298"/>
      <c r="P124" s="298"/>
      <c r="Q124" s="298"/>
      <c r="R124" s="298"/>
      <c r="S124" s="298"/>
      <c r="T124" s="298"/>
      <c r="U124" s="298"/>
      <c r="V124" s="298"/>
      <c r="W124" s="298"/>
      <c r="X124" s="298"/>
      <c r="Y124" s="298"/>
      <c r="Z124" s="298"/>
      <c r="AA124" s="298"/>
      <c r="AB124" s="298"/>
      <c r="AC124" s="298"/>
      <c r="AD124" s="298"/>
      <c r="AE124" s="298"/>
      <c r="AF124" s="298"/>
      <c r="AG124" s="298"/>
      <c r="AH124" s="298"/>
      <c r="AI124" s="166">
        <f t="shared" si="2"/>
        <v>0</v>
      </c>
      <c r="AJ124" s="166">
        <f t="shared" si="3"/>
        <v>0</v>
      </c>
      <c r="AK124" s="166"/>
      <c r="AL124" s="230" t="e">
        <f>IF($A124="","",IF(VLOOKUP($A124,'İşçi Bilgileri'!$A$2:$J$700,9,FALSE)=0,"",VLOOKUP($A124,'İşçi Bilgileri'!$A$2:$J$700,9,FALSE)))</f>
        <v>#N/A</v>
      </c>
      <c r="AM124" s="172" t="e">
        <f>IF($A124="","",IF(VLOOKUP($A124,'İşçi Bilgileri'!$A$2:$J$700,10,FALSE)=0,"",VLOOKUP($A124,'İşçi Bilgileri'!$A$2:$J$700,10,FALSE)))</f>
        <v>#N/A</v>
      </c>
    </row>
    <row r="125" spans="1:39" x14ac:dyDescent="0.2">
      <c r="A125" s="170">
        <v>117</v>
      </c>
      <c r="B125" s="147" t="e">
        <f>CONCATENATE(IF($A125="","",VLOOKUP($A125,'İşçi Bilgileri'!$A$2:$D$700,2,FALSE))," ",IF($A125="","",VLOOKUP($A125,'İşçi Bilgileri'!$A$2:$D$700,3,FALSE)))</f>
        <v>#N/A</v>
      </c>
      <c r="C125" s="171" t="e">
        <f>IF($A125="","",VLOOKUP($A125,'İşçi Bilgileri'!$A$2:$D$700,4,FALSE))</f>
        <v>#N/A</v>
      </c>
      <c r="D125" s="298"/>
      <c r="E125" s="298"/>
      <c r="F125" s="298"/>
      <c r="G125" s="298"/>
      <c r="H125" s="298"/>
      <c r="I125" s="298"/>
      <c r="J125" s="298"/>
      <c r="K125" s="298"/>
      <c r="L125" s="298"/>
      <c r="M125" s="298"/>
      <c r="N125" s="298"/>
      <c r="O125" s="298"/>
      <c r="P125" s="298"/>
      <c r="Q125" s="298"/>
      <c r="R125" s="298"/>
      <c r="S125" s="298"/>
      <c r="T125" s="298"/>
      <c r="U125" s="298"/>
      <c r="V125" s="298"/>
      <c r="W125" s="298"/>
      <c r="X125" s="298"/>
      <c r="Y125" s="298"/>
      <c r="Z125" s="298"/>
      <c r="AA125" s="298"/>
      <c r="AB125" s="298"/>
      <c r="AC125" s="298"/>
      <c r="AD125" s="298"/>
      <c r="AE125" s="298"/>
      <c r="AF125" s="298"/>
      <c r="AG125" s="298"/>
      <c r="AH125" s="298"/>
      <c r="AI125" s="166">
        <f t="shared" si="2"/>
        <v>0</v>
      </c>
      <c r="AJ125" s="166">
        <f t="shared" si="3"/>
        <v>0</v>
      </c>
      <c r="AK125" s="166"/>
      <c r="AL125" s="230" t="e">
        <f>IF($A125="","",IF(VLOOKUP($A125,'İşçi Bilgileri'!$A$2:$J$700,9,FALSE)=0,"",VLOOKUP($A125,'İşçi Bilgileri'!$A$2:$J$700,9,FALSE)))</f>
        <v>#N/A</v>
      </c>
      <c r="AM125" s="172" t="e">
        <f>IF($A125="","",IF(VLOOKUP($A125,'İşçi Bilgileri'!$A$2:$J$700,10,FALSE)=0,"",VLOOKUP($A125,'İşçi Bilgileri'!$A$2:$J$700,10,FALSE)))</f>
        <v>#N/A</v>
      </c>
    </row>
    <row r="126" spans="1:39" x14ac:dyDescent="0.2">
      <c r="A126" s="170">
        <v>118</v>
      </c>
      <c r="B126" s="147" t="e">
        <f>CONCATENATE(IF($A126="","",VLOOKUP($A126,'İşçi Bilgileri'!$A$2:$D$700,2,FALSE))," ",IF($A126="","",VLOOKUP($A126,'İşçi Bilgileri'!$A$2:$D$700,3,FALSE)))</f>
        <v>#N/A</v>
      </c>
      <c r="C126" s="171" t="e">
        <f>IF($A126="","",VLOOKUP($A126,'İşçi Bilgileri'!$A$2:$D$700,4,FALSE))</f>
        <v>#N/A</v>
      </c>
      <c r="D126" s="298"/>
      <c r="E126" s="298"/>
      <c r="F126" s="298"/>
      <c r="G126" s="298"/>
      <c r="H126" s="298"/>
      <c r="I126" s="298"/>
      <c r="J126" s="298"/>
      <c r="K126" s="298"/>
      <c r="L126" s="298"/>
      <c r="M126" s="298"/>
      <c r="N126" s="298"/>
      <c r="O126" s="298"/>
      <c r="P126" s="298"/>
      <c r="Q126" s="298"/>
      <c r="R126" s="298"/>
      <c r="S126" s="298"/>
      <c r="T126" s="298"/>
      <c r="U126" s="298"/>
      <c r="V126" s="298"/>
      <c r="W126" s="298"/>
      <c r="X126" s="298"/>
      <c r="Y126" s="298"/>
      <c r="Z126" s="298"/>
      <c r="AA126" s="298"/>
      <c r="AB126" s="298"/>
      <c r="AC126" s="298"/>
      <c r="AD126" s="298"/>
      <c r="AE126" s="298"/>
      <c r="AF126" s="298"/>
      <c r="AG126" s="298"/>
      <c r="AH126" s="298"/>
      <c r="AI126" s="166">
        <f t="shared" si="2"/>
        <v>0</v>
      </c>
      <c r="AJ126" s="166">
        <f t="shared" si="3"/>
        <v>0</v>
      </c>
      <c r="AK126" s="166"/>
      <c r="AL126" s="230" t="e">
        <f>IF($A126="","",IF(VLOOKUP($A126,'İşçi Bilgileri'!$A$2:$J$700,9,FALSE)=0,"",VLOOKUP($A126,'İşçi Bilgileri'!$A$2:$J$700,9,FALSE)))</f>
        <v>#N/A</v>
      </c>
      <c r="AM126" s="172" t="e">
        <f>IF($A126="","",IF(VLOOKUP($A126,'İşçi Bilgileri'!$A$2:$J$700,10,FALSE)=0,"",VLOOKUP($A126,'İşçi Bilgileri'!$A$2:$J$700,10,FALSE)))</f>
        <v>#N/A</v>
      </c>
    </row>
    <row r="127" spans="1:39" x14ac:dyDescent="0.2">
      <c r="A127" s="170">
        <v>119</v>
      </c>
      <c r="B127" s="147" t="e">
        <f>CONCATENATE(IF($A127="","",VLOOKUP($A127,'İşçi Bilgileri'!$A$2:$D$700,2,FALSE))," ",IF($A127="","",VLOOKUP($A127,'İşçi Bilgileri'!$A$2:$D$700,3,FALSE)))</f>
        <v>#N/A</v>
      </c>
      <c r="C127" s="171" t="e">
        <f>IF($A127="","",VLOOKUP($A127,'İşçi Bilgileri'!$A$2:$D$700,4,FALSE))</f>
        <v>#N/A</v>
      </c>
      <c r="D127" s="298"/>
      <c r="E127" s="298"/>
      <c r="F127" s="298"/>
      <c r="G127" s="298"/>
      <c r="H127" s="298"/>
      <c r="I127" s="298"/>
      <c r="J127" s="298"/>
      <c r="K127" s="298"/>
      <c r="L127" s="298"/>
      <c r="M127" s="298"/>
      <c r="N127" s="298"/>
      <c r="O127" s="298"/>
      <c r="P127" s="298"/>
      <c r="Q127" s="298"/>
      <c r="R127" s="298"/>
      <c r="S127" s="298"/>
      <c r="T127" s="298"/>
      <c r="U127" s="298"/>
      <c r="V127" s="298"/>
      <c r="W127" s="298"/>
      <c r="X127" s="298"/>
      <c r="Y127" s="298"/>
      <c r="Z127" s="298"/>
      <c r="AA127" s="298"/>
      <c r="AB127" s="298"/>
      <c r="AC127" s="298"/>
      <c r="AD127" s="298"/>
      <c r="AE127" s="298"/>
      <c r="AF127" s="298"/>
      <c r="AG127" s="298"/>
      <c r="AH127" s="298"/>
      <c r="AI127" s="166">
        <f t="shared" si="2"/>
        <v>0</v>
      </c>
      <c r="AJ127" s="166">
        <f t="shared" si="3"/>
        <v>0</v>
      </c>
      <c r="AK127" s="166"/>
      <c r="AL127" s="230" t="e">
        <f>IF($A127="","",IF(VLOOKUP($A127,'İşçi Bilgileri'!$A$2:$J$700,9,FALSE)=0,"",VLOOKUP($A127,'İşçi Bilgileri'!$A$2:$J$700,9,FALSE)))</f>
        <v>#N/A</v>
      </c>
      <c r="AM127" s="172" t="e">
        <f>IF($A127="","",IF(VLOOKUP($A127,'İşçi Bilgileri'!$A$2:$J$700,10,FALSE)=0,"",VLOOKUP($A127,'İşçi Bilgileri'!$A$2:$J$700,10,FALSE)))</f>
        <v>#N/A</v>
      </c>
    </row>
    <row r="128" spans="1:39" x14ac:dyDescent="0.2">
      <c r="A128" s="170">
        <v>120</v>
      </c>
      <c r="B128" s="147" t="e">
        <f>CONCATENATE(IF($A128="","",VLOOKUP($A128,'İşçi Bilgileri'!$A$2:$D$700,2,FALSE))," ",IF($A128="","",VLOOKUP($A128,'İşçi Bilgileri'!$A$2:$D$700,3,FALSE)))</f>
        <v>#N/A</v>
      </c>
      <c r="C128" s="171" t="e">
        <f>IF($A128="","",VLOOKUP($A128,'İşçi Bilgileri'!$A$2:$D$700,4,FALSE))</f>
        <v>#N/A</v>
      </c>
      <c r="D128" s="298"/>
      <c r="E128" s="298"/>
      <c r="F128" s="298"/>
      <c r="G128" s="298"/>
      <c r="H128" s="298"/>
      <c r="I128" s="298"/>
      <c r="J128" s="298"/>
      <c r="K128" s="298"/>
      <c r="L128" s="298"/>
      <c r="M128" s="298"/>
      <c r="N128" s="298"/>
      <c r="O128" s="298"/>
      <c r="P128" s="298"/>
      <c r="Q128" s="298"/>
      <c r="R128" s="298"/>
      <c r="S128" s="298"/>
      <c r="T128" s="298"/>
      <c r="U128" s="298"/>
      <c r="V128" s="298"/>
      <c r="W128" s="298"/>
      <c r="X128" s="298"/>
      <c r="Y128" s="298"/>
      <c r="Z128" s="298"/>
      <c r="AA128" s="298"/>
      <c r="AB128" s="298"/>
      <c r="AC128" s="298"/>
      <c r="AD128" s="298"/>
      <c r="AE128" s="298"/>
      <c r="AF128" s="298"/>
      <c r="AG128" s="298"/>
      <c r="AH128" s="298"/>
      <c r="AI128" s="166">
        <f t="shared" si="2"/>
        <v>0</v>
      </c>
      <c r="AJ128" s="166">
        <f t="shared" si="3"/>
        <v>0</v>
      </c>
      <c r="AK128" s="166"/>
      <c r="AL128" s="230" t="e">
        <f>IF($A128="","",IF(VLOOKUP($A128,'İşçi Bilgileri'!$A$2:$J$700,9,FALSE)=0,"",VLOOKUP($A128,'İşçi Bilgileri'!$A$2:$J$700,9,FALSE)))</f>
        <v>#N/A</v>
      </c>
      <c r="AM128" s="172" t="e">
        <f>IF($A128="","",IF(VLOOKUP($A128,'İşçi Bilgileri'!$A$2:$J$700,10,FALSE)=0,"",VLOOKUP($A128,'İşçi Bilgileri'!$A$2:$J$700,10,FALSE)))</f>
        <v>#N/A</v>
      </c>
    </row>
    <row r="129" spans="1:39" x14ac:dyDescent="0.2">
      <c r="A129" s="170">
        <v>121</v>
      </c>
      <c r="B129" s="147" t="e">
        <f>CONCATENATE(IF($A129="","",VLOOKUP($A129,'İşçi Bilgileri'!$A$2:$D$700,2,FALSE))," ",IF($A129="","",VLOOKUP($A129,'İşçi Bilgileri'!$A$2:$D$700,3,FALSE)))</f>
        <v>#N/A</v>
      </c>
      <c r="C129" s="171" t="e">
        <f>IF($A129="","",VLOOKUP($A129,'İşçi Bilgileri'!$A$2:$D$700,4,FALSE))</f>
        <v>#N/A</v>
      </c>
      <c r="D129" s="298"/>
      <c r="E129" s="298"/>
      <c r="F129" s="298"/>
      <c r="G129" s="298"/>
      <c r="H129" s="298"/>
      <c r="I129" s="298"/>
      <c r="J129" s="298"/>
      <c r="K129" s="298"/>
      <c r="L129" s="298"/>
      <c r="M129" s="298"/>
      <c r="N129" s="298"/>
      <c r="O129" s="298"/>
      <c r="P129" s="298"/>
      <c r="Q129" s="298"/>
      <c r="R129" s="298"/>
      <c r="S129" s="298"/>
      <c r="T129" s="298"/>
      <c r="U129" s="298"/>
      <c r="V129" s="298"/>
      <c r="W129" s="298"/>
      <c r="X129" s="298"/>
      <c r="Y129" s="298"/>
      <c r="Z129" s="298"/>
      <c r="AA129" s="298"/>
      <c r="AB129" s="298"/>
      <c r="AC129" s="298"/>
      <c r="AD129" s="298"/>
      <c r="AE129" s="298"/>
      <c r="AF129" s="298"/>
      <c r="AG129" s="298"/>
      <c r="AH129" s="298"/>
      <c r="AI129" s="166">
        <f t="shared" si="2"/>
        <v>0</v>
      </c>
      <c r="AJ129" s="166">
        <f t="shared" si="3"/>
        <v>0</v>
      </c>
      <c r="AK129" s="166"/>
      <c r="AL129" s="230" t="e">
        <f>IF($A129="","",IF(VLOOKUP($A129,'İşçi Bilgileri'!$A$2:$J$700,9,FALSE)=0,"",VLOOKUP($A129,'İşçi Bilgileri'!$A$2:$J$700,9,FALSE)))</f>
        <v>#N/A</v>
      </c>
      <c r="AM129" s="172" t="e">
        <f>IF($A129="","",IF(VLOOKUP($A129,'İşçi Bilgileri'!$A$2:$J$700,10,FALSE)=0,"",VLOOKUP($A129,'İşçi Bilgileri'!$A$2:$J$700,10,FALSE)))</f>
        <v>#N/A</v>
      </c>
    </row>
    <row r="130" spans="1:39" x14ac:dyDescent="0.2">
      <c r="A130" s="170">
        <v>122</v>
      </c>
      <c r="B130" s="147" t="e">
        <f>CONCATENATE(IF($A130="","",VLOOKUP($A130,'İşçi Bilgileri'!$A$2:$D$700,2,FALSE))," ",IF($A130="","",VLOOKUP($A130,'İşçi Bilgileri'!$A$2:$D$700,3,FALSE)))</f>
        <v>#N/A</v>
      </c>
      <c r="C130" s="171" t="e">
        <f>IF($A130="","",VLOOKUP($A130,'İşçi Bilgileri'!$A$2:$D$700,4,FALSE))</f>
        <v>#N/A</v>
      </c>
      <c r="D130" s="298"/>
      <c r="E130" s="298"/>
      <c r="F130" s="298"/>
      <c r="G130" s="298"/>
      <c r="H130" s="298"/>
      <c r="I130" s="298"/>
      <c r="J130" s="298"/>
      <c r="K130" s="298"/>
      <c r="L130" s="298"/>
      <c r="M130" s="298"/>
      <c r="N130" s="298"/>
      <c r="O130" s="298"/>
      <c r="P130" s="298"/>
      <c r="Q130" s="298"/>
      <c r="R130" s="298"/>
      <c r="S130" s="298"/>
      <c r="T130" s="298"/>
      <c r="U130" s="298"/>
      <c r="V130" s="298"/>
      <c r="W130" s="298"/>
      <c r="X130" s="298"/>
      <c r="Y130" s="298"/>
      <c r="Z130" s="298"/>
      <c r="AA130" s="298"/>
      <c r="AB130" s="298"/>
      <c r="AC130" s="298"/>
      <c r="AD130" s="298"/>
      <c r="AE130" s="298"/>
      <c r="AF130" s="298"/>
      <c r="AG130" s="298"/>
      <c r="AH130" s="298"/>
      <c r="AI130" s="166">
        <f t="shared" si="2"/>
        <v>0</v>
      </c>
      <c r="AJ130" s="166">
        <f t="shared" si="3"/>
        <v>0</v>
      </c>
      <c r="AK130" s="166"/>
      <c r="AL130" s="230" t="e">
        <f>IF($A130="","",IF(VLOOKUP($A130,'İşçi Bilgileri'!$A$2:$J$700,9,FALSE)=0,"",VLOOKUP($A130,'İşçi Bilgileri'!$A$2:$J$700,9,FALSE)))</f>
        <v>#N/A</v>
      </c>
      <c r="AM130" s="172" t="e">
        <f>IF($A130="","",IF(VLOOKUP($A130,'İşçi Bilgileri'!$A$2:$J$700,10,FALSE)=0,"",VLOOKUP($A130,'İşçi Bilgileri'!$A$2:$J$700,10,FALSE)))</f>
        <v>#N/A</v>
      </c>
    </row>
    <row r="131" spans="1:39" x14ac:dyDescent="0.2">
      <c r="A131" s="170">
        <v>123</v>
      </c>
      <c r="B131" s="147" t="e">
        <f>CONCATENATE(IF($A131="","",VLOOKUP($A131,'İşçi Bilgileri'!$A$2:$D$700,2,FALSE))," ",IF($A131="","",VLOOKUP($A131,'İşçi Bilgileri'!$A$2:$D$700,3,FALSE)))</f>
        <v>#N/A</v>
      </c>
      <c r="C131" s="171" t="e">
        <f>IF($A131="","",VLOOKUP($A131,'İşçi Bilgileri'!$A$2:$D$700,4,FALSE))</f>
        <v>#N/A</v>
      </c>
      <c r="D131" s="298"/>
      <c r="E131" s="298"/>
      <c r="F131" s="298"/>
      <c r="G131" s="298"/>
      <c r="H131" s="298"/>
      <c r="I131" s="298"/>
      <c r="J131" s="298"/>
      <c r="K131" s="298"/>
      <c r="L131" s="298"/>
      <c r="M131" s="298"/>
      <c r="N131" s="298"/>
      <c r="O131" s="298"/>
      <c r="P131" s="298"/>
      <c r="Q131" s="298"/>
      <c r="R131" s="298"/>
      <c r="S131" s="298"/>
      <c r="T131" s="298"/>
      <c r="U131" s="298"/>
      <c r="V131" s="298"/>
      <c r="W131" s="298"/>
      <c r="X131" s="298"/>
      <c r="Y131" s="298"/>
      <c r="Z131" s="298"/>
      <c r="AA131" s="298"/>
      <c r="AB131" s="298"/>
      <c r="AC131" s="298"/>
      <c r="AD131" s="298"/>
      <c r="AE131" s="298"/>
      <c r="AF131" s="298"/>
      <c r="AG131" s="298"/>
      <c r="AH131" s="298"/>
      <c r="AI131" s="166">
        <f t="shared" si="2"/>
        <v>0</v>
      </c>
      <c r="AJ131" s="166">
        <f t="shared" si="3"/>
        <v>0</v>
      </c>
      <c r="AK131" s="166"/>
      <c r="AL131" s="230" t="e">
        <f>IF($A131="","",IF(VLOOKUP($A131,'İşçi Bilgileri'!$A$2:$J$700,9,FALSE)=0,"",VLOOKUP($A131,'İşçi Bilgileri'!$A$2:$J$700,9,FALSE)))</f>
        <v>#N/A</v>
      </c>
      <c r="AM131" s="172" t="e">
        <f>IF($A131="","",IF(VLOOKUP($A131,'İşçi Bilgileri'!$A$2:$J$700,10,FALSE)=0,"",VLOOKUP($A131,'İşçi Bilgileri'!$A$2:$J$700,10,FALSE)))</f>
        <v>#N/A</v>
      </c>
    </row>
    <row r="132" spans="1:39" ht="15.75" customHeight="1" x14ac:dyDescent="0.2">
      <c r="A132" s="170">
        <v>124</v>
      </c>
      <c r="B132" s="147" t="e">
        <f>CONCATENATE(IF($A132="","",VLOOKUP($A132,'İşçi Bilgileri'!$A$2:$D$700,2,FALSE))," ",IF($A132="","",VLOOKUP($A132,'İşçi Bilgileri'!$A$2:$D$700,3,FALSE)))</f>
        <v>#N/A</v>
      </c>
      <c r="C132" s="171" t="e">
        <f>IF($A132="","",VLOOKUP($A132,'İşçi Bilgileri'!$A$2:$D$700,4,FALSE))</f>
        <v>#N/A</v>
      </c>
      <c r="D132" s="298"/>
      <c r="E132" s="298"/>
      <c r="F132" s="298"/>
      <c r="G132" s="298"/>
      <c r="H132" s="298"/>
      <c r="I132" s="298"/>
      <c r="J132" s="298"/>
      <c r="K132" s="298"/>
      <c r="L132" s="298"/>
      <c r="M132" s="298"/>
      <c r="N132" s="298"/>
      <c r="O132" s="298"/>
      <c r="P132" s="298"/>
      <c r="Q132" s="298"/>
      <c r="R132" s="298"/>
      <c r="S132" s="298"/>
      <c r="T132" s="298"/>
      <c r="U132" s="298"/>
      <c r="V132" s="298"/>
      <c r="W132" s="298"/>
      <c r="X132" s="298"/>
      <c r="Y132" s="298"/>
      <c r="Z132" s="298"/>
      <c r="AA132" s="298"/>
      <c r="AB132" s="298"/>
      <c r="AC132" s="298"/>
      <c r="AD132" s="298"/>
      <c r="AE132" s="298"/>
      <c r="AF132" s="298"/>
      <c r="AG132" s="298"/>
      <c r="AH132" s="298"/>
      <c r="AI132" s="166">
        <f t="shared" si="2"/>
        <v>0</v>
      </c>
      <c r="AJ132" s="166">
        <f t="shared" si="3"/>
        <v>0</v>
      </c>
      <c r="AK132" s="166"/>
      <c r="AL132" s="230" t="e">
        <f>IF($A132="","",IF(VLOOKUP($A132,'İşçi Bilgileri'!$A$2:$J$700,9,FALSE)=0,"",VLOOKUP($A132,'İşçi Bilgileri'!$A$2:$J$700,9,FALSE)))</f>
        <v>#N/A</v>
      </c>
      <c r="AM132" s="172" t="e">
        <f>IF($A132="","",IF(VLOOKUP($A132,'İşçi Bilgileri'!$A$2:$J$700,10,FALSE)=0,"",VLOOKUP($A132,'İşçi Bilgileri'!$A$2:$J$700,10,FALSE)))</f>
        <v>#N/A</v>
      </c>
    </row>
    <row r="133" spans="1:39" x14ac:dyDescent="0.2">
      <c r="A133" s="170">
        <v>125</v>
      </c>
      <c r="B133" s="147" t="e">
        <f>CONCATENATE(IF($A133="","",VLOOKUP($A133,'İşçi Bilgileri'!$A$2:$D$700,2,FALSE))," ",IF($A133="","",VLOOKUP($A133,'İşçi Bilgileri'!$A$2:$D$700,3,FALSE)))</f>
        <v>#N/A</v>
      </c>
      <c r="C133" s="171" t="e">
        <f>IF($A133="","",VLOOKUP($A133,'İşçi Bilgileri'!$A$2:$D$700,4,FALSE))</f>
        <v>#N/A</v>
      </c>
      <c r="D133" s="298"/>
      <c r="E133" s="298"/>
      <c r="F133" s="298"/>
      <c r="G133" s="298"/>
      <c r="H133" s="298"/>
      <c r="I133" s="298"/>
      <c r="J133" s="298"/>
      <c r="K133" s="298"/>
      <c r="L133" s="298"/>
      <c r="M133" s="298"/>
      <c r="N133" s="298"/>
      <c r="O133" s="298"/>
      <c r="P133" s="298"/>
      <c r="Q133" s="298"/>
      <c r="R133" s="298"/>
      <c r="S133" s="298"/>
      <c r="T133" s="298"/>
      <c r="U133" s="298"/>
      <c r="V133" s="298"/>
      <c r="W133" s="298"/>
      <c r="X133" s="298"/>
      <c r="Y133" s="298"/>
      <c r="Z133" s="298"/>
      <c r="AA133" s="298"/>
      <c r="AB133" s="298"/>
      <c r="AC133" s="298"/>
      <c r="AD133" s="298"/>
      <c r="AE133" s="298"/>
      <c r="AF133" s="298"/>
      <c r="AG133" s="298"/>
      <c r="AH133" s="298"/>
      <c r="AI133" s="166">
        <f t="shared" si="2"/>
        <v>0</v>
      </c>
      <c r="AJ133" s="166">
        <f t="shared" si="3"/>
        <v>0</v>
      </c>
      <c r="AK133" s="166"/>
      <c r="AL133" s="230" t="e">
        <f>IF($A133="","",IF(VLOOKUP($A133,'İşçi Bilgileri'!$A$2:$J$700,9,FALSE)=0,"",VLOOKUP($A133,'İşçi Bilgileri'!$A$2:$J$700,9,FALSE)))</f>
        <v>#N/A</v>
      </c>
      <c r="AM133" s="172" t="e">
        <f>IF($A133="","",IF(VLOOKUP($A133,'İşçi Bilgileri'!$A$2:$J$700,10,FALSE)=0,"",VLOOKUP($A133,'İşçi Bilgileri'!$A$2:$J$700,10,FALSE)))</f>
        <v>#N/A</v>
      </c>
    </row>
    <row r="134" spans="1:39" x14ac:dyDescent="0.2">
      <c r="A134" s="170">
        <v>126</v>
      </c>
      <c r="B134" s="147" t="e">
        <f>CONCATENATE(IF($A134="","",VLOOKUP($A134,'İşçi Bilgileri'!$A$2:$D$700,2,FALSE))," ",IF($A134="","",VLOOKUP($A134,'İşçi Bilgileri'!$A$2:$D$700,3,FALSE)))</f>
        <v>#N/A</v>
      </c>
      <c r="C134" s="171" t="e">
        <f>IF($A134="","",VLOOKUP($A134,'İşçi Bilgileri'!$A$2:$D$700,4,FALSE))</f>
        <v>#N/A</v>
      </c>
      <c r="D134" s="298"/>
      <c r="E134" s="298"/>
      <c r="F134" s="298"/>
      <c r="G134" s="298"/>
      <c r="H134" s="298"/>
      <c r="I134" s="298"/>
      <c r="J134" s="298"/>
      <c r="K134" s="298"/>
      <c r="L134" s="298"/>
      <c r="M134" s="298"/>
      <c r="N134" s="298"/>
      <c r="O134" s="298"/>
      <c r="P134" s="298"/>
      <c r="Q134" s="298"/>
      <c r="R134" s="298"/>
      <c r="S134" s="298"/>
      <c r="T134" s="298"/>
      <c r="U134" s="298"/>
      <c r="V134" s="298"/>
      <c r="W134" s="298"/>
      <c r="X134" s="298"/>
      <c r="Y134" s="298"/>
      <c r="Z134" s="298"/>
      <c r="AA134" s="298"/>
      <c r="AB134" s="298"/>
      <c r="AC134" s="298"/>
      <c r="AD134" s="298"/>
      <c r="AE134" s="298"/>
      <c r="AF134" s="298"/>
      <c r="AG134" s="298"/>
      <c r="AH134" s="298"/>
      <c r="AI134" s="166">
        <f t="shared" si="2"/>
        <v>0</v>
      </c>
      <c r="AJ134" s="166">
        <f t="shared" si="3"/>
        <v>0</v>
      </c>
      <c r="AK134" s="166"/>
      <c r="AL134" s="230" t="e">
        <f>IF($A134="","",IF(VLOOKUP($A134,'İşçi Bilgileri'!$A$2:$J$700,9,FALSE)=0,"",VLOOKUP($A134,'İşçi Bilgileri'!$A$2:$J$700,9,FALSE)))</f>
        <v>#N/A</v>
      </c>
      <c r="AM134" s="172" t="e">
        <f>IF($A134="","",IF(VLOOKUP($A134,'İşçi Bilgileri'!$A$2:$J$700,10,FALSE)=0,"",VLOOKUP($A134,'İşçi Bilgileri'!$A$2:$J$700,10,FALSE)))</f>
        <v>#N/A</v>
      </c>
    </row>
    <row r="135" spans="1:39" x14ac:dyDescent="0.2">
      <c r="A135" s="170">
        <v>127</v>
      </c>
      <c r="B135" s="147" t="e">
        <f>CONCATENATE(IF($A135="","",VLOOKUP($A135,'İşçi Bilgileri'!$A$2:$D$700,2,FALSE))," ",IF($A135="","",VLOOKUP($A135,'İşçi Bilgileri'!$A$2:$D$700,3,FALSE)))</f>
        <v>#N/A</v>
      </c>
      <c r="C135" s="171" t="e">
        <f>IF($A135="","",VLOOKUP($A135,'İşçi Bilgileri'!$A$2:$D$700,4,FALSE))</f>
        <v>#N/A</v>
      </c>
      <c r="D135" s="298"/>
      <c r="E135" s="298"/>
      <c r="F135" s="298"/>
      <c r="G135" s="298"/>
      <c r="H135" s="298"/>
      <c r="I135" s="298"/>
      <c r="J135" s="298"/>
      <c r="K135" s="298"/>
      <c r="L135" s="298"/>
      <c r="M135" s="298"/>
      <c r="N135" s="298"/>
      <c r="O135" s="298"/>
      <c r="P135" s="298"/>
      <c r="Q135" s="298"/>
      <c r="R135" s="298"/>
      <c r="S135" s="298"/>
      <c r="T135" s="298"/>
      <c r="U135" s="298"/>
      <c r="V135" s="298"/>
      <c r="W135" s="298"/>
      <c r="X135" s="298"/>
      <c r="Y135" s="298"/>
      <c r="Z135" s="298"/>
      <c r="AA135" s="298"/>
      <c r="AB135" s="298"/>
      <c r="AC135" s="298"/>
      <c r="AD135" s="298"/>
      <c r="AE135" s="298"/>
      <c r="AF135" s="298"/>
      <c r="AG135" s="298"/>
      <c r="AH135" s="298"/>
      <c r="AI135" s="166">
        <f t="shared" si="2"/>
        <v>0</v>
      </c>
      <c r="AJ135" s="166">
        <f t="shared" si="3"/>
        <v>0</v>
      </c>
      <c r="AK135" s="166"/>
      <c r="AL135" s="230" t="e">
        <f>IF($A135="","",IF(VLOOKUP($A135,'İşçi Bilgileri'!$A$2:$J$700,9,FALSE)=0,"",VLOOKUP($A135,'İşçi Bilgileri'!$A$2:$J$700,9,FALSE)))</f>
        <v>#N/A</v>
      </c>
      <c r="AM135" s="172" t="e">
        <f>IF($A135="","",IF(VLOOKUP($A135,'İşçi Bilgileri'!$A$2:$J$700,10,FALSE)=0,"",VLOOKUP($A135,'İşçi Bilgileri'!$A$2:$J$700,10,FALSE)))</f>
        <v>#N/A</v>
      </c>
    </row>
    <row r="136" spans="1:39" x14ac:dyDescent="0.2">
      <c r="A136" s="170">
        <v>128</v>
      </c>
      <c r="B136" s="147" t="e">
        <f>CONCATENATE(IF($A136="","",VLOOKUP($A136,'İşçi Bilgileri'!$A$2:$D$700,2,FALSE))," ",IF($A136="","",VLOOKUP($A136,'İşçi Bilgileri'!$A$2:$D$700,3,FALSE)))</f>
        <v>#N/A</v>
      </c>
      <c r="C136" s="171" t="e">
        <f>IF($A136="","",VLOOKUP($A136,'İşçi Bilgileri'!$A$2:$D$700,4,FALSE))</f>
        <v>#N/A</v>
      </c>
      <c r="D136" s="298"/>
      <c r="E136" s="298"/>
      <c r="F136" s="298"/>
      <c r="G136" s="298"/>
      <c r="H136" s="298"/>
      <c r="I136" s="298"/>
      <c r="J136" s="298"/>
      <c r="K136" s="298"/>
      <c r="L136" s="298"/>
      <c r="M136" s="298"/>
      <c r="N136" s="298"/>
      <c r="O136" s="298"/>
      <c r="P136" s="298"/>
      <c r="Q136" s="298"/>
      <c r="R136" s="298"/>
      <c r="S136" s="298"/>
      <c r="T136" s="298"/>
      <c r="U136" s="298"/>
      <c r="V136" s="298"/>
      <c r="W136" s="298"/>
      <c r="X136" s="298"/>
      <c r="Y136" s="298"/>
      <c r="Z136" s="298"/>
      <c r="AA136" s="298"/>
      <c r="AB136" s="298"/>
      <c r="AC136" s="298"/>
      <c r="AD136" s="298"/>
      <c r="AE136" s="298"/>
      <c r="AF136" s="298"/>
      <c r="AG136" s="298"/>
      <c r="AH136" s="298"/>
      <c r="AI136" s="166">
        <f t="shared" si="2"/>
        <v>0</v>
      </c>
      <c r="AJ136" s="166">
        <f t="shared" si="3"/>
        <v>0</v>
      </c>
      <c r="AK136" s="166"/>
      <c r="AL136" s="230" t="e">
        <f>IF($A136="","",IF(VLOOKUP($A136,'İşçi Bilgileri'!$A$2:$J$700,9,FALSE)=0,"",VLOOKUP($A136,'İşçi Bilgileri'!$A$2:$J$700,9,FALSE)))</f>
        <v>#N/A</v>
      </c>
      <c r="AM136" s="172" t="e">
        <f>IF($A136="","",IF(VLOOKUP($A136,'İşçi Bilgileri'!$A$2:$J$700,10,FALSE)=0,"",VLOOKUP($A136,'İşçi Bilgileri'!$A$2:$J$700,10,FALSE)))</f>
        <v>#N/A</v>
      </c>
    </row>
    <row r="137" spans="1:39" x14ac:dyDescent="0.2">
      <c r="A137" s="170">
        <v>129</v>
      </c>
      <c r="B137" s="147" t="e">
        <f>CONCATENATE(IF($A137="","",VLOOKUP($A137,'İşçi Bilgileri'!$A$2:$D$700,2,FALSE))," ",IF($A137="","",VLOOKUP($A137,'İşçi Bilgileri'!$A$2:$D$700,3,FALSE)))</f>
        <v>#N/A</v>
      </c>
      <c r="C137" s="171" t="e">
        <f>IF($A137="","",VLOOKUP($A137,'İşçi Bilgileri'!$A$2:$D$700,4,FALSE))</f>
        <v>#N/A</v>
      </c>
      <c r="D137" s="298"/>
      <c r="E137" s="298"/>
      <c r="F137" s="298"/>
      <c r="G137" s="298"/>
      <c r="H137" s="298"/>
      <c r="I137" s="298"/>
      <c r="J137" s="298"/>
      <c r="K137" s="298"/>
      <c r="L137" s="298"/>
      <c r="M137" s="298"/>
      <c r="N137" s="298"/>
      <c r="O137" s="298"/>
      <c r="P137" s="298"/>
      <c r="Q137" s="298"/>
      <c r="R137" s="298"/>
      <c r="S137" s="298"/>
      <c r="T137" s="298"/>
      <c r="U137" s="298"/>
      <c r="V137" s="298"/>
      <c r="W137" s="298"/>
      <c r="X137" s="298"/>
      <c r="Y137" s="298"/>
      <c r="Z137" s="298"/>
      <c r="AA137" s="298"/>
      <c r="AB137" s="298"/>
      <c r="AC137" s="298"/>
      <c r="AD137" s="298"/>
      <c r="AE137" s="298"/>
      <c r="AF137" s="298"/>
      <c r="AG137" s="298"/>
      <c r="AH137" s="298"/>
      <c r="AI137" s="166">
        <f t="shared" si="2"/>
        <v>0</v>
      </c>
      <c r="AJ137" s="166">
        <f t="shared" si="3"/>
        <v>0</v>
      </c>
      <c r="AK137" s="166"/>
      <c r="AL137" s="230" t="e">
        <f>IF($A137="","",IF(VLOOKUP($A137,'İşçi Bilgileri'!$A$2:$J$700,9,FALSE)=0,"",VLOOKUP($A137,'İşçi Bilgileri'!$A$2:$J$700,9,FALSE)))</f>
        <v>#N/A</v>
      </c>
      <c r="AM137" s="172" t="e">
        <f>IF($A137="","",IF(VLOOKUP($A137,'İşçi Bilgileri'!$A$2:$J$700,10,FALSE)=0,"",VLOOKUP($A137,'İşçi Bilgileri'!$A$2:$J$700,10,FALSE)))</f>
        <v>#N/A</v>
      </c>
    </row>
    <row r="138" spans="1:39" x14ac:dyDescent="0.2">
      <c r="A138" s="170">
        <v>130</v>
      </c>
      <c r="B138" s="147" t="e">
        <f>CONCATENATE(IF($A138="","",VLOOKUP($A138,'İşçi Bilgileri'!$A$2:$D$700,2,FALSE))," ",IF($A138="","",VLOOKUP($A138,'İşçi Bilgileri'!$A$2:$D$700,3,FALSE)))</f>
        <v>#N/A</v>
      </c>
      <c r="C138" s="171" t="e">
        <f>IF($A138="","",VLOOKUP($A138,'İşçi Bilgileri'!$A$2:$D$700,4,FALSE))</f>
        <v>#N/A</v>
      </c>
      <c r="D138" s="298"/>
      <c r="E138" s="298"/>
      <c r="F138" s="298"/>
      <c r="G138" s="298"/>
      <c r="H138" s="298"/>
      <c r="I138" s="298"/>
      <c r="J138" s="298"/>
      <c r="K138" s="298"/>
      <c r="L138" s="298"/>
      <c r="M138" s="298"/>
      <c r="N138" s="298"/>
      <c r="O138" s="298"/>
      <c r="P138" s="298"/>
      <c r="Q138" s="298"/>
      <c r="R138" s="298"/>
      <c r="S138" s="298"/>
      <c r="T138" s="298"/>
      <c r="U138" s="298"/>
      <c r="V138" s="298"/>
      <c r="W138" s="298"/>
      <c r="X138" s="298"/>
      <c r="Y138" s="298"/>
      <c r="Z138" s="298"/>
      <c r="AA138" s="298"/>
      <c r="AB138" s="298"/>
      <c r="AC138" s="298"/>
      <c r="AD138" s="298"/>
      <c r="AE138" s="298"/>
      <c r="AF138" s="298"/>
      <c r="AG138" s="298"/>
      <c r="AH138" s="298"/>
      <c r="AI138" s="166">
        <f t="shared" ref="AI138:AI201" si="4">SUM(COUNTIF(D138:AH138,"İ"),COUNTIF(D138:AH138,"R"),COUNTIF(D138:AH138,"D"),COUNTIF(D138:AH138,"C"))</f>
        <v>0</v>
      </c>
      <c r="AJ138" s="166">
        <f t="shared" ref="AJ138:AJ201" si="5">IF(COUNTIF(D138:AH138,"X")=$AL$6,30,COUNTIF(D138:AH138,"X"))</f>
        <v>0</v>
      </c>
      <c r="AK138" s="166"/>
      <c r="AL138" s="230" t="e">
        <f>IF($A138="","",IF(VLOOKUP($A138,'İşçi Bilgileri'!$A$2:$J$700,9,FALSE)=0,"",VLOOKUP($A138,'İşçi Bilgileri'!$A$2:$J$700,9,FALSE)))</f>
        <v>#N/A</v>
      </c>
      <c r="AM138" s="172" t="e">
        <f>IF($A138="","",IF(VLOOKUP($A138,'İşçi Bilgileri'!$A$2:$J$700,10,FALSE)=0,"",VLOOKUP($A138,'İşçi Bilgileri'!$A$2:$J$700,10,FALSE)))</f>
        <v>#N/A</v>
      </c>
    </row>
    <row r="139" spans="1:39" x14ac:dyDescent="0.2">
      <c r="A139" s="170">
        <v>131</v>
      </c>
      <c r="B139" s="147" t="e">
        <f>CONCATENATE(IF($A139="","",VLOOKUP($A139,'İşçi Bilgileri'!$A$2:$D$700,2,FALSE))," ",IF($A139="","",VLOOKUP($A139,'İşçi Bilgileri'!$A$2:$D$700,3,FALSE)))</f>
        <v>#N/A</v>
      </c>
      <c r="C139" s="171" t="e">
        <f>IF($A139="","",VLOOKUP($A139,'İşçi Bilgileri'!$A$2:$D$700,4,FALSE))</f>
        <v>#N/A</v>
      </c>
      <c r="D139" s="298"/>
      <c r="E139" s="298"/>
      <c r="F139" s="298"/>
      <c r="G139" s="298"/>
      <c r="H139" s="298"/>
      <c r="I139" s="298"/>
      <c r="J139" s="298"/>
      <c r="K139" s="298"/>
      <c r="L139" s="298"/>
      <c r="M139" s="298"/>
      <c r="N139" s="298"/>
      <c r="O139" s="298"/>
      <c r="P139" s="298"/>
      <c r="Q139" s="298"/>
      <c r="R139" s="298"/>
      <c r="S139" s="298"/>
      <c r="T139" s="298"/>
      <c r="U139" s="298"/>
      <c r="V139" s="298"/>
      <c r="W139" s="298"/>
      <c r="X139" s="298"/>
      <c r="Y139" s="298"/>
      <c r="Z139" s="298"/>
      <c r="AA139" s="298"/>
      <c r="AB139" s="298"/>
      <c r="AC139" s="298"/>
      <c r="AD139" s="298"/>
      <c r="AE139" s="298"/>
      <c r="AF139" s="298"/>
      <c r="AG139" s="298"/>
      <c r="AH139" s="298"/>
      <c r="AI139" s="166">
        <f t="shared" si="4"/>
        <v>0</v>
      </c>
      <c r="AJ139" s="166">
        <f t="shared" si="5"/>
        <v>0</v>
      </c>
      <c r="AK139" s="166"/>
      <c r="AL139" s="230" t="e">
        <f>IF($A139="","",IF(VLOOKUP($A139,'İşçi Bilgileri'!$A$2:$J$700,9,FALSE)=0,"",VLOOKUP($A139,'İşçi Bilgileri'!$A$2:$J$700,9,FALSE)))</f>
        <v>#N/A</v>
      </c>
      <c r="AM139" s="172" t="e">
        <f>IF($A139="","",IF(VLOOKUP($A139,'İşçi Bilgileri'!$A$2:$J$700,10,FALSE)=0,"",VLOOKUP($A139,'İşçi Bilgileri'!$A$2:$J$700,10,FALSE)))</f>
        <v>#N/A</v>
      </c>
    </row>
    <row r="140" spans="1:39" x14ac:dyDescent="0.2">
      <c r="A140" s="170">
        <v>132</v>
      </c>
      <c r="B140" s="147" t="e">
        <f>CONCATENATE(IF($A140="","",VLOOKUP($A140,'İşçi Bilgileri'!$A$2:$D$700,2,FALSE))," ",IF($A140="","",VLOOKUP($A140,'İşçi Bilgileri'!$A$2:$D$700,3,FALSE)))</f>
        <v>#N/A</v>
      </c>
      <c r="C140" s="171" t="e">
        <f>IF($A140="","",VLOOKUP($A140,'İşçi Bilgileri'!$A$2:$D$700,4,FALSE))</f>
        <v>#N/A</v>
      </c>
      <c r="D140" s="298"/>
      <c r="E140" s="298"/>
      <c r="F140" s="298"/>
      <c r="G140" s="298"/>
      <c r="H140" s="298"/>
      <c r="I140" s="298"/>
      <c r="J140" s="298"/>
      <c r="K140" s="298"/>
      <c r="L140" s="298"/>
      <c r="M140" s="298"/>
      <c r="N140" s="298"/>
      <c r="O140" s="298"/>
      <c r="P140" s="298"/>
      <c r="Q140" s="298"/>
      <c r="R140" s="298"/>
      <c r="S140" s="298"/>
      <c r="T140" s="298"/>
      <c r="U140" s="298"/>
      <c r="V140" s="298"/>
      <c r="W140" s="298"/>
      <c r="X140" s="298"/>
      <c r="Y140" s="298"/>
      <c r="Z140" s="298"/>
      <c r="AA140" s="298"/>
      <c r="AB140" s="298"/>
      <c r="AC140" s="298"/>
      <c r="AD140" s="298"/>
      <c r="AE140" s="298"/>
      <c r="AF140" s="298"/>
      <c r="AG140" s="298"/>
      <c r="AH140" s="298"/>
      <c r="AI140" s="166">
        <f t="shared" si="4"/>
        <v>0</v>
      </c>
      <c r="AJ140" s="166">
        <f t="shared" si="5"/>
        <v>0</v>
      </c>
      <c r="AK140" s="166"/>
      <c r="AL140" s="230" t="e">
        <f>IF($A140="","",IF(VLOOKUP($A140,'İşçi Bilgileri'!$A$2:$J$700,9,FALSE)=0,"",VLOOKUP($A140,'İşçi Bilgileri'!$A$2:$J$700,9,FALSE)))</f>
        <v>#N/A</v>
      </c>
      <c r="AM140" s="172" t="e">
        <f>IF($A140="","",IF(VLOOKUP($A140,'İşçi Bilgileri'!$A$2:$J$700,10,FALSE)=0,"",VLOOKUP($A140,'İşçi Bilgileri'!$A$2:$J$700,10,FALSE)))</f>
        <v>#N/A</v>
      </c>
    </row>
    <row r="141" spans="1:39" x14ac:dyDescent="0.2">
      <c r="A141" s="170">
        <v>133</v>
      </c>
      <c r="B141" s="147" t="e">
        <f>CONCATENATE(IF($A141="","",VLOOKUP($A141,'İşçi Bilgileri'!$A$2:$D$700,2,FALSE))," ",IF($A141="","",VLOOKUP($A141,'İşçi Bilgileri'!$A$2:$D$700,3,FALSE)))</f>
        <v>#N/A</v>
      </c>
      <c r="C141" s="171" t="e">
        <f>IF($A141="","",VLOOKUP($A141,'İşçi Bilgileri'!$A$2:$D$700,4,FALSE))</f>
        <v>#N/A</v>
      </c>
      <c r="D141" s="298"/>
      <c r="E141" s="298"/>
      <c r="F141" s="298"/>
      <c r="G141" s="298"/>
      <c r="H141" s="298"/>
      <c r="I141" s="298"/>
      <c r="J141" s="298"/>
      <c r="K141" s="298"/>
      <c r="L141" s="298"/>
      <c r="M141" s="298"/>
      <c r="N141" s="298"/>
      <c r="O141" s="298"/>
      <c r="P141" s="298"/>
      <c r="Q141" s="298"/>
      <c r="R141" s="298"/>
      <c r="S141" s="298"/>
      <c r="T141" s="298"/>
      <c r="U141" s="298"/>
      <c r="V141" s="298"/>
      <c r="W141" s="298"/>
      <c r="X141" s="298"/>
      <c r="Y141" s="298"/>
      <c r="Z141" s="298"/>
      <c r="AA141" s="298"/>
      <c r="AB141" s="298"/>
      <c r="AC141" s="298"/>
      <c r="AD141" s="298"/>
      <c r="AE141" s="298"/>
      <c r="AF141" s="298"/>
      <c r="AG141" s="298"/>
      <c r="AH141" s="298"/>
      <c r="AI141" s="166">
        <f t="shared" si="4"/>
        <v>0</v>
      </c>
      <c r="AJ141" s="166">
        <f t="shared" si="5"/>
        <v>0</v>
      </c>
      <c r="AK141" s="166"/>
      <c r="AL141" s="230" t="e">
        <f>IF($A141="","",IF(VLOOKUP($A141,'İşçi Bilgileri'!$A$2:$J$700,9,FALSE)=0,"",VLOOKUP($A141,'İşçi Bilgileri'!$A$2:$J$700,9,FALSE)))</f>
        <v>#N/A</v>
      </c>
      <c r="AM141" s="172" t="e">
        <f>IF($A141="","",IF(VLOOKUP($A141,'İşçi Bilgileri'!$A$2:$J$700,10,FALSE)=0,"",VLOOKUP($A141,'İşçi Bilgileri'!$A$2:$J$700,10,FALSE)))</f>
        <v>#N/A</v>
      </c>
    </row>
    <row r="142" spans="1:39" x14ac:dyDescent="0.2">
      <c r="A142" s="170">
        <v>134</v>
      </c>
      <c r="B142" s="147" t="e">
        <f>CONCATENATE(IF($A142="","",VLOOKUP($A142,'İşçi Bilgileri'!$A$2:$D$700,2,FALSE))," ",IF($A142="","",VLOOKUP($A142,'İşçi Bilgileri'!$A$2:$D$700,3,FALSE)))</f>
        <v>#N/A</v>
      </c>
      <c r="C142" s="171" t="e">
        <f>IF($A142="","",VLOOKUP($A142,'İşçi Bilgileri'!$A$2:$D$700,4,FALSE))</f>
        <v>#N/A</v>
      </c>
      <c r="D142" s="298"/>
      <c r="E142" s="298"/>
      <c r="F142" s="298"/>
      <c r="G142" s="298"/>
      <c r="H142" s="298"/>
      <c r="I142" s="298"/>
      <c r="J142" s="298"/>
      <c r="K142" s="298"/>
      <c r="L142" s="298"/>
      <c r="M142" s="298"/>
      <c r="N142" s="298"/>
      <c r="O142" s="298"/>
      <c r="P142" s="298"/>
      <c r="Q142" s="298"/>
      <c r="R142" s="298"/>
      <c r="S142" s="298"/>
      <c r="T142" s="298"/>
      <c r="U142" s="298"/>
      <c r="V142" s="298"/>
      <c r="W142" s="298"/>
      <c r="X142" s="298"/>
      <c r="Y142" s="298"/>
      <c r="Z142" s="298"/>
      <c r="AA142" s="298"/>
      <c r="AB142" s="298"/>
      <c r="AC142" s="298"/>
      <c r="AD142" s="298"/>
      <c r="AE142" s="298"/>
      <c r="AF142" s="298"/>
      <c r="AG142" s="298"/>
      <c r="AH142" s="298"/>
      <c r="AI142" s="166">
        <f t="shared" si="4"/>
        <v>0</v>
      </c>
      <c r="AJ142" s="166">
        <f t="shared" si="5"/>
        <v>0</v>
      </c>
      <c r="AK142" s="166"/>
      <c r="AL142" s="230" t="e">
        <f>IF($A142="","",IF(VLOOKUP($A142,'İşçi Bilgileri'!$A$2:$J$700,9,FALSE)=0,"",VLOOKUP($A142,'İşçi Bilgileri'!$A$2:$J$700,9,FALSE)))</f>
        <v>#N/A</v>
      </c>
      <c r="AM142" s="172" t="e">
        <f>IF($A142="","",IF(VLOOKUP($A142,'İşçi Bilgileri'!$A$2:$J$700,10,FALSE)=0,"",VLOOKUP($A142,'İşçi Bilgileri'!$A$2:$J$700,10,FALSE)))</f>
        <v>#N/A</v>
      </c>
    </row>
    <row r="143" spans="1:39" x14ac:dyDescent="0.2">
      <c r="A143" s="170">
        <v>135</v>
      </c>
      <c r="B143" s="147" t="e">
        <f>CONCATENATE(IF($A143="","",VLOOKUP($A143,'İşçi Bilgileri'!$A$2:$D$700,2,FALSE))," ",IF($A143="","",VLOOKUP($A143,'İşçi Bilgileri'!$A$2:$D$700,3,FALSE)))</f>
        <v>#N/A</v>
      </c>
      <c r="C143" s="171" t="e">
        <f>IF($A143="","",VLOOKUP($A143,'İşçi Bilgileri'!$A$2:$D$700,4,FALSE))</f>
        <v>#N/A</v>
      </c>
      <c r="D143" s="298"/>
      <c r="E143" s="298"/>
      <c r="F143" s="298"/>
      <c r="G143" s="298"/>
      <c r="H143" s="298"/>
      <c r="I143" s="298"/>
      <c r="J143" s="298"/>
      <c r="K143" s="298"/>
      <c r="L143" s="298"/>
      <c r="M143" s="298"/>
      <c r="N143" s="298"/>
      <c r="O143" s="298"/>
      <c r="P143" s="298"/>
      <c r="Q143" s="298"/>
      <c r="R143" s="298"/>
      <c r="S143" s="298"/>
      <c r="T143" s="298"/>
      <c r="U143" s="298"/>
      <c r="V143" s="298"/>
      <c r="W143" s="298"/>
      <c r="X143" s="298"/>
      <c r="Y143" s="298"/>
      <c r="Z143" s="298"/>
      <c r="AA143" s="298"/>
      <c r="AB143" s="298"/>
      <c r="AC143" s="298"/>
      <c r="AD143" s="298"/>
      <c r="AE143" s="298"/>
      <c r="AF143" s="298"/>
      <c r="AG143" s="298"/>
      <c r="AH143" s="298"/>
      <c r="AI143" s="166">
        <f t="shared" si="4"/>
        <v>0</v>
      </c>
      <c r="AJ143" s="166">
        <f t="shared" si="5"/>
        <v>0</v>
      </c>
      <c r="AK143" s="166"/>
      <c r="AL143" s="230" t="e">
        <f>IF($A143="","",IF(VLOOKUP($A143,'İşçi Bilgileri'!$A$2:$J$700,9,FALSE)=0,"",VLOOKUP($A143,'İşçi Bilgileri'!$A$2:$J$700,9,FALSE)))</f>
        <v>#N/A</v>
      </c>
      <c r="AM143" s="172" t="e">
        <f>IF($A143="","",IF(VLOOKUP($A143,'İşçi Bilgileri'!$A$2:$J$700,10,FALSE)=0,"",VLOOKUP($A143,'İşçi Bilgileri'!$A$2:$J$700,10,FALSE)))</f>
        <v>#N/A</v>
      </c>
    </row>
    <row r="144" spans="1:39" x14ac:dyDescent="0.2">
      <c r="A144" s="170">
        <v>136</v>
      </c>
      <c r="B144" s="147" t="e">
        <f>CONCATENATE(IF($A144="","",VLOOKUP($A144,'İşçi Bilgileri'!$A$2:$D$700,2,FALSE))," ",IF($A144="","",VLOOKUP($A144,'İşçi Bilgileri'!$A$2:$D$700,3,FALSE)))</f>
        <v>#N/A</v>
      </c>
      <c r="C144" s="171" t="e">
        <f>IF($A144="","",VLOOKUP($A144,'İşçi Bilgileri'!$A$2:$D$700,4,FALSE))</f>
        <v>#N/A</v>
      </c>
      <c r="D144" s="298"/>
      <c r="E144" s="298"/>
      <c r="F144" s="298"/>
      <c r="G144" s="298"/>
      <c r="H144" s="298"/>
      <c r="I144" s="298"/>
      <c r="J144" s="298"/>
      <c r="K144" s="298"/>
      <c r="L144" s="298"/>
      <c r="M144" s="298"/>
      <c r="N144" s="298"/>
      <c r="O144" s="298"/>
      <c r="P144" s="298"/>
      <c r="Q144" s="298"/>
      <c r="R144" s="298"/>
      <c r="S144" s="298"/>
      <c r="T144" s="298"/>
      <c r="U144" s="298"/>
      <c r="V144" s="298"/>
      <c r="W144" s="298"/>
      <c r="X144" s="298"/>
      <c r="Y144" s="298"/>
      <c r="Z144" s="298"/>
      <c r="AA144" s="298"/>
      <c r="AB144" s="298"/>
      <c r="AC144" s="298"/>
      <c r="AD144" s="298"/>
      <c r="AE144" s="298"/>
      <c r="AF144" s="298"/>
      <c r="AG144" s="298"/>
      <c r="AH144" s="298"/>
      <c r="AI144" s="166">
        <f t="shared" si="4"/>
        <v>0</v>
      </c>
      <c r="AJ144" s="166">
        <f t="shared" si="5"/>
        <v>0</v>
      </c>
      <c r="AK144" s="166"/>
      <c r="AL144" s="230" t="e">
        <f>IF($A144="","",IF(VLOOKUP($A144,'İşçi Bilgileri'!$A$2:$J$700,9,FALSE)=0,"",VLOOKUP($A144,'İşçi Bilgileri'!$A$2:$J$700,9,FALSE)))</f>
        <v>#N/A</v>
      </c>
      <c r="AM144" s="172" t="e">
        <f>IF($A144="","",IF(VLOOKUP($A144,'İşçi Bilgileri'!$A$2:$J$700,10,FALSE)=0,"",VLOOKUP($A144,'İşçi Bilgileri'!$A$2:$J$700,10,FALSE)))</f>
        <v>#N/A</v>
      </c>
    </row>
    <row r="145" spans="1:39" x14ac:dyDescent="0.2">
      <c r="A145" s="170">
        <v>137</v>
      </c>
      <c r="B145" s="147" t="e">
        <f>CONCATENATE(IF($A145="","",VLOOKUP($A145,'İşçi Bilgileri'!$A$2:$D$700,2,FALSE))," ",IF($A145="","",VLOOKUP($A145,'İşçi Bilgileri'!$A$2:$D$700,3,FALSE)))</f>
        <v>#N/A</v>
      </c>
      <c r="C145" s="171" t="e">
        <f>IF($A145="","",VLOOKUP($A145,'İşçi Bilgileri'!$A$2:$D$700,4,FALSE))</f>
        <v>#N/A</v>
      </c>
      <c r="D145" s="298"/>
      <c r="E145" s="298"/>
      <c r="F145" s="298"/>
      <c r="G145" s="298"/>
      <c r="H145" s="298"/>
      <c r="I145" s="298"/>
      <c r="J145" s="298"/>
      <c r="K145" s="298"/>
      <c r="L145" s="298"/>
      <c r="M145" s="298"/>
      <c r="N145" s="298"/>
      <c r="O145" s="298"/>
      <c r="P145" s="298"/>
      <c r="Q145" s="298"/>
      <c r="R145" s="298"/>
      <c r="S145" s="298"/>
      <c r="T145" s="298"/>
      <c r="U145" s="298"/>
      <c r="V145" s="298"/>
      <c r="W145" s="298"/>
      <c r="X145" s="298"/>
      <c r="Y145" s="298"/>
      <c r="Z145" s="298"/>
      <c r="AA145" s="298"/>
      <c r="AB145" s="298"/>
      <c r="AC145" s="298"/>
      <c r="AD145" s="298"/>
      <c r="AE145" s="298"/>
      <c r="AF145" s="298"/>
      <c r="AG145" s="298"/>
      <c r="AH145" s="298"/>
      <c r="AI145" s="166">
        <f t="shared" si="4"/>
        <v>0</v>
      </c>
      <c r="AJ145" s="166">
        <f t="shared" si="5"/>
        <v>0</v>
      </c>
      <c r="AK145" s="166"/>
      <c r="AL145" s="230" t="e">
        <f>IF($A145="","",IF(VLOOKUP($A145,'İşçi Bilgileri'!$A$2:$J$700,9,FALSE)=0,"",VLOOKUP($A145,'İşçi Bilgileri'!$A$2:$J$700,9,FALSE)))</f>
        <v>#N/A</v>
      </c>
      <c r="AM145" s="172" t="e">
        <f>IF($A145="","",IF(VLOOKUP($A145,'İşçi Bilgileri'!$A$2:$J$700,10,FALSE)=0,"",VLOOKUP($A145,'İşçi Bilgileri'!$A$2:$J$700,10,FALSE)))</f>
        <v>#N/A</v>
      </c>
    </row>
    <row r="146" spans="1:39" x14ac:dyDescent="0.2">
      <c r="A146" s="170">
        <v>138</v>
      </c>
      <c r="B146" s="147" t="e">
        <f>CONCATENATE(IF($A146="","",VLOOKUP($A146,'İşçi Bilgileri'!$A$2:$D$700,2,FALSE))," ",IF($A146="","",VLOOKUP($A146,'İşçi Bilgileri'!$A$2:$D$700,3,FALSE)))</f>
        <v>#N/A</v>
      </c>
      <c r="C146" s="171" t="e">
        <f>IF($A146="","",VLOOKUP($A146,'İşçi Bilgileri'!$A$2:$D$700,4,FALSE))</f>
        <v>#N/A</v>
      </c>
      <c r="D146" s="298"/>
      <c r="E146" s="298"/>
      <c r="F146" s="298"/>
      <c r="G146" s="298"/>
      <c r="H146" s="298"/>
      <c r="I146" s="298"/>
      <c r="J146" s="298"/>
      <c r="K146" s="298"/>
      <c r="L146" s="298"/>
      <c r="M146" s="298"/>
      <c r="N146" s="298"/>
      <c r="O146" s="298"/>
      <c r="P146" s="298"/>
      <c r="Q146" s="298"/>
      <c r="R146" s="298"/>
      <c r="S146" s="298"/>
      <c r="T146" s="298"/>
      <c r="U146" s="298"/>
      <c r="V146" s="298"/>
      <c r="W146" s="298"/>
      <c r="X146" s="298"/>
      <c r="Y146" s="298"/>
      <c r="Z146" s="298"/>
      <c r="AA146" s="298"/>
      <c r="AB146" s="298"/>
      <c r="AC146" s="298"/>
      <c r="AD146" s="298"/>
      <c r="AE146" s="298"/>
      <c r="AF146" s="298"/>
      <c r="AG146" s="298"/>
      <c r="AH146" s="298"/>
      <c r="AI146" s="166">
        <f t="shared" si="4"/>
        <v>0</v>
      </c>
      <c r="AJ146" s="166">
        <f t="shared" si="5"/>
        <v>0</v>
      </c>
      <c r="AK146" s="166"/>
      <c r="AL146" s="230" t="e">
        <f>IF($A146="","",IF(VLOOKUP($A146,'İşçi Bilgileri'!$A$2:$J$700,9,FALSE)=0,"",VLOOKUP($A146,'İşçi Bilgileri'!$A$2:$J$700,9,FALSE)))</f>
        <v>#N/A</v>
      </c>
      <c r="AM146" s="172" t="e">
        <f>IF($A146="","",IF(VLOOKUP($A146,'İşçi Bilgileri'!$A$2:$J$700,10,FALSE)=0,"",VLOOKUP($A146,'İşçi Bilgileri'!$A$2:$J$700,10,FALSE)))</f>
        <v>#N/A</v>
      </c>
    </row>
    <row r="147" spans="1:39" x14ac:dyDescent="0.2">
      <c r="A147" s="170">
        <v>139</v>
      </c>
      <c r="B147" s="147" t="e">
        <f>CONCATENATE(IF($A147="","",VLOOKUP($A147,'İşçi Bilgileri'!$A$2:$D$700,2,FALSE))," ",IF($A147="","",VLOOKUP($A147,'İşçi Bilgileri'!$A$2:$D$700,3,FALSE)))</f>
        <v>#N/A</v>
      </c>
      <c r="C147" s="171" t="e">
        <f>IF($A147="","",VLOOKUP($A147,'İşçi Bilgileri'!$A$2:$D$700,4,FALSE))</f>
        <v>#N/A</v>
      </c>
      <c r="D147" s="298"/>
      <c r="E147" s="298"/>
      <c r="F147" s="298"/>
      <c r="G147" s="298"/>
      <c r="H147" s="298"/>
      <c r="I147" s="298"/>
      <c r="J147" s="298"/>
      <c r="K147" s="298"/>
      <c r="L147" s="298"/>
      <c r="M147" s="298"/>
      <c r="N147" s="298"/>
      <c r="O147" s="298"/>
      <c r="P147" s="298"/>
      <c r="Q147" s="298"/>
      <c r="R147" s="298"/>
      <c r="S147" s="298"/>
      <c r="T147" s="298"/>
      <c r="U147" s="298"/>
      <c r="V147" s="298"/>
      <c r="W147" s="298"/>
      <c r="X147" s="298"/>
      <c r="Y147" s="298"/>
      <c r="Z147" s="298"/>
      <c r="AA147" s="298"/>
      <c r="AB147" s="298"/>
      <c r="AC147" s="298"/>
      <c r="AD147" s="298"/>
      <c r="AE147" s="298"/>
      <c r="AF147" s="298"/>
      <c r="AG147" s="298"/>
      <c r="AH147" s="298"/>
      <c r="AI147" s="166">
        <f t="shared" si="4"/>
        <v>0</v>
      </c>
      <c r="AJ147" s="166">
        <f t="shared" si="5"/>
        <v>0</v>
      </c>
      <c r="AK147" s="166"/>
      <c r="AL147" s="230" t="e">
        <f>IF($A147="","",IF(VLOOKUP($A147,'İşçi Bilgileri'!$A$2:$J$700,9,FALSE)=0,"",VLOOKUP($A147,'İşçi Bilgileri'!$A$2:$J$700,9,FALSE)))</f>
        <v>#N/A</v>
      </c>
      <c r="AM147" s="172" t="e">
        <f>IF($A147="","",IF(VLOOKUP($A147,'İşçi Bilgileri'!$A$2:$J$700,10,FALSE)=0,"",VLOOKUP($A147,'İşçi Bilgileri'!$A$2:$J$700,10,FALSE)))</f>
        <v>#N/A</v>
      </c>
    </row>
    <row r="148" spans="1:39" x14ac:dyDescent="0.2">
      <c r="A148" s="170">
        <v>140</v>
      </c>
      <c r="B148" s="147" t="e">
        <f>CONCATENATE(IF($A148="","",VLOOKUP($A148,'İşçi Bilgileri'!$A$2:$D$700,2,FALSE))," ",IF($A148="","",VLOOKUP($A148,'İşçi Bilgileri'!$A$2:$D$700,3,FALSE)))</f>
        <v>#N/A</v>
      </c>
      <c r="C148" s="171" t="e">
        <f>IF($A148="","",VLOOKUP($A148,'İşçi Bilgileri'!$A$2:$D$700,4,FALSE))</f>
        <v>#N/A</v>
      </c>
      <c r="D148" s="298"/>
      <c r="E148" s="298"/>
      <c r="F148" s="298"/>
      <c r="G148" s="298"/>
      <c r="H148" s="298"/>
      <c r="I148" s="298"/>
      <c r="J148" s="298"/>
      <c r="K148" s="298"/>
      <c r="L148" s="298"/>
      <c r="M148" s="298"/>
      <c r="N148" s="298"/>
      <c r="O148" s="298"/>
      <c r="P148" s="298"/>
      <c r="Q148" s="298"/>
      <c r="R148" s="298"/>
      <c r="S148" s="298"/>
      <c r="T148" s="298"/>
      <c r="U148" s="298"/>
      <c r="V148" s="298"/>
      <c r="W148" s="298"/>
      <c r="X148" s="298"/>
      <c r="Y148" s="298"/>
      <c r="Z148" s="298"/>
      <c r="AA148" s="298"/>
      <c r="AB148" s="298"/>
      <c r="AC148" s="298"/>
      <c r="AD148" s="298"/>
      <c r="AE148" s="298"/>
      <c r="AF148" s="298"/>
      <c r="AG148" s="298"/>
      <c r="AH148" s="298"/>
      <c r="AI148" s="166">
        <f t="shared" si="4"/>
        <v>0</v>
      </c>
      <c r="AJ148" s="166">
        <f t="shared" si="5"/>
        <v>0</v>
      </c>
      <c r="AK148" s="166"/>
      <c r="AL148" s="230" t="e">
        <f>IF($A148="","",IF(VLOOKUP($A148,'İşçi Bilgileri'!$A$2:$J$700,9,FALSE)=0,"",VLOOKUP($A148,'İşçi Bilgileri'!$A$2:$J$700,9,FALSE)))</f>
        <v>#N/A</v>
      </c>
      <c r="AM148" s="172" t="e">
        <f>IF($A148="","",IF(VLOOKUP($A148,'İşçi Bilgileri'!$A$2:$J$700,10,FALSE)=0,"",VLOOKUP($A148,'İşçi Bilgileri'!$A$2:$J$700,10,FALSE)))</f>
        <v>#N/A</v>
      </c>
    </row>
    <row r="149" spans="1:39" x14ac:dyDescent="0.2">
      <c r="A149" s="170">
        <v>141</v>
      </c>
      <c r="B149" s="147" t="e">
        <f>CONCATENATE(IF($A149="","",VLOOKUP($A149,'İşçi Bilgileri'!$A$2:$D$700,2,FALSE))," ",IF($A149="","",VLOOKUP($A149,'İşçi Bilgileri'!$A$2:$D$700,3,FALSE)))</f>
        <v>#N/A</v>
      </c>
      <c r="C149" s="171" t="e">
        <f>IF($A149="","",VLOOKUP($A149,'İşçi Bilgileri'!$A$2:$D$700,4,FALSE))</f>
        <v>#N/A</v>
      </c>
      <c r="D149" s="298"/>
      <c r="E149" s="298"/>
      <c r="F149" s="298"/>
      <c r="G149" s="298"/>
      <c r="H149" s="298"/>
      <c r="I149" s="298"/>
      <c r="J149" s="298"/>
      <c r="K149" s="298"/>
      <c r="L149" s="298"/>
      <c r="M149" s="298"/>
      <c r="N149" s="298"/>
      <c r="O149" s="298"/>
      <c r="P149" s="298"/>
      <c r="Q149" s="298"/>
      <c r="R149" s="298"/>
      <c r="S149" s="298"/>
      <c r="T149" s="298"/>
      <c r="U149" s="298"/>
      <c r="V149" s="298"/>
      <c r="W149" s="298"/>
      <c r="X149" s="298"/>
      <c r="Y149" s="298"/>
      <c r="Z149" s="298"/>
      <c r="AA149" s="298"/>
      <c r="AB149" s="298"/>
      <c r="AC149" s="298"/>
      <c r="AD149" s="298"/>
      <c r="AE149" s="298"/>
      <c r="AF149" s="298"/>
      <c r="AG149" s="298"/>
      <c r="AH149" s="298"/>
      <c r="AI149" s="166">
        <f t="shared" si="4"/>
        <v>0</v>
      </c>
      <c r="AJ149" s="166">
        <f t="shared" si="5"/>
        <v>0</v>
      </c>
      <c r="AK149" s="166"/>
      <c r="AL149" s="230" t="e">
        <f>IF($A149="","",IF(VLOOKUP($A149,'İşçi Bilgileri'!$A$2:$J$700,9,FALSE)=0,"",VLOOKUP($A149,'İşçi Bilgileri'!$A$2:$J$700,9,FALSE)))</f>
        <v>#N/A</v>
      </c>
      <c r="AM149" s="172" t="e">
        <f>IF($A149="","",IF(VLOOKUP($A149,'İşçi Bilgileri'!$A$2:$J$700,10,FALSE)=0,"",VLOOKUP($A149,'İşçi Bilgileri'!$A$2:$J$700,10,FALSE)))</f>
        <v>#N/A</v>
      </c>
    </row>
    <row r="150" spans="1:39" x14ac:dyDescent="0.2">
      <c r="A150" s="170">
        <v>142</v>
      </c>
      <c r="B150" s="147" t="e">
        <f>CONCATENATE(IF($A150="","",VLOOKUP($A150,'İşçi Bilgileri'!$A$2:$D$700,2,FALSE))," ",IF($A150="","",VLOOKUP($A150,'İşçi Bilgileri'!$A$2:$D$700,3,FALSE)))</f>
        <v>#N/A</v>
      </c>
      <c r="C150" s="171" t="e">
        <f>IF($A150="","",VLOOKUP($A150,'İşçi Bilgileri'!$A$2:$D$700,4,FALSE))</f>
        <v>#N/A</v>
      </c>
      <c r="D150" s="298"/>
      <c r="E150" s="298"/>
      <c r="F150" s="298"/>
      <c r="G150" s="298"/>
      <c r="H150" s="298"/>
      <c r="I150" s="298"/>
      <c r="J150" s="298"/>
      <c r="K150" s="298"/>
      <c r="L150" s="298"/>
      <c r="M150" s="298"/>
      <c r="N150" s="298"/>
      <c r="O150" s="298"/>
      <c r="P150" s="298"/>
      <c r="Q150" s="298"/>
      <c r="R150" s="298"/>
      <c r="S150" s="298"/>
      <c r="T150" s="298"/>
      <c r="U150" s="298"/>
      <c r="V150" s="298"/>
      <c r="W150" s="298"/>
      <c r="X150" s="298"/>
      <c r="Y150" s="298"/>
      <c r="Z150" s="298"/>
      <c r="AA150" s="298"/>
      <c r="AB150" s="298"/>
      <c r="AC150" s="298"/>
      <c r="AD150" s="298"/>
      <c r="AE150" s="298"/>
      <c r="AF150" s="298"/>
      <c r="AG150" s="298"/>
      <c r="AH150" s="298"/>
      <c r="AI150" s="166">
        <f t="shared" si="4"/>
        <v>0</v>
      </c>
      <c r="AJ150" s="166">
        <f t="shared" si="5"/>
        <v>0</v>
      </c>
      <c r="AK150" s="166"/>
      <c r="AL150" s="230" t="e">
        <f>IF($A150="","",IF(VLOOKUP($A150,'İşçi Bilgileri'!$A$2:$J$700,9,FALSE)=0,"",VLOOKUP($A150,'İşçi Bilgileri'!$A$2:$J$700,9,FALSE)))</f>
        <v>#N/A</v>
      </c>
      <c r="AM150" s="172" t="e">
        <f>IF($A150="","",IF(VLOOKUP($A150,'İşçi Bilgileri'!$A$2:$J$700,10,FALSE)=0,"",VLOOKUP($A150,'İşçi Bilgileri'!$A$2:$J$700,10,FALSE)))</f>
        <v>#N/A</v>
      </c>
    </row>
    <row r="151" spans="1:39" x14ac:dyDescent="0.2">
      <c r="A151" s="170">
        <v>143</v>
      </c>
      <c r="B151" s="147" t="e">
        <f>CONCATENATE(IF($A151="","",VLOOKUP($A151,'İşçi Bilgileri'!$A$2:$D$700,2,FALSE))," ",IF($A151="","",VLOOKUP($A151,'İşçi Bilgileri'!$A$2:$D$700,3,FALSE)))</f>
        <v>#N/A</v>
      </c>
      <c r="C151" s="171" t="e">
        <f>IF($A151="","",VLOOKUP($A151,'İşçi Bilgileri'!$A$2:$D$700,4,FALSE))</f>
        <v>#N/A</v>
      </c>
      <c r="D151" s="298"/>
      <c r="E151" s="298"/>
      <c r="F151" s="298"/>
      <c r="G151" s="298"/>
      <c r="H151" s="298"/>
      <c r="I151" s="298"/>
      <c r="J151" s="298"/>
      <c r="K151" s="298"/>
      <c r="L151" s="298"/>
      <c r="M151" s="298"/>
      <c r="N151" s="298"/>
      <c r="O151" s="298"/>
      <c r="P151" s="298"/>
      <c r="Q151" s="298"/>
      <c r="R151" s="298"/>
      <c r="S151" s="298"/>
      <c r="T151" s="298"/>
      <c r="U151" s="298"/>
      <c r="V151" s="298"/>
      <c r="W151" s="298"/>
      <c r="X151" s="298"/>
      <c r="Y151" s="298"/>
      <c r="Z151" s="298"/>
      <c r="AA151" s="298"/>
      <c r="AB151" s="298"/>
      <c r="AC151" s="298"/>
      <c r="AD151" s="298"/>
      <c r="AE151" s="298"/>
      <c r="AF151" s="298"/>
      <c r="AG151" s="298"/>
      <c r="AH151" s="298"/>
      <c r="AI151" s="166">
        <f t="shared" si="4"/>
        <v>0</v>
      </c>
      <c r="AJ151" s="166">
        <f t="shared" si="5"/>
        <v>0</v>
      </c>
      <c r="AK151" s="166"/>
      <c r="AL151" s="230" t="e">
        <f>IF($A151="","",IF(VLOOKUP($A151,'İşçi Bilgileri'!$A$2:$J$700,9,FALSE)=0,"",VLOOKUP($A151,'İşçi Bilgileri'!$A$2:$J$700,9,FALSE)))</f>
        <v>#N/A</v>
      </c>
      <c r="AM151" s="172" t="e">
        <f>IF($A151="","",IF(VLOOKUP($A151,'İşçi Bilgileri'!$A$2:$J$700,10,FALSE)=0,"",VLOOKUP($A151,'İşçi Bilgileri'!$A$2:$J$700,10,FALSE)))</f>
        <v>#N/A</v>
      </c>
    </row>
    <row r="152" spans="1:39" x14ac:dyDescent="0.2">
      <c r="A152" s="170">
        <v>144</v>
      </c>
      <c r="B152" s="147" t="e">
        <f>CONCATENATE(IF($A152="","",VLOOKUP($A152,'İşçi Bilgileri'!$A$2:$D$700,2,FALSE))," ",IF($A152="","",VLOOKUP($A152,'İşçi Bilgileri'!$A$2:$D$700,3,FALSE)))</f>
        <v>#N/A</v>
      </c>
      <c r="C152" s="171" t="e">
        <f>IF($A152="","",VLOOKUP($A152,'İşçi Bilgileri'!$A$2:$D$700,4,FALSE))</f>
        <v>#N/A</v>
      </c>
      <c r="D152" s="298"/>
      <c r="E152" s="298"/>
      <c r="F152" s="298"/>
      <c r="G152" s="298"/>
      <c r="H152" s="298"/>
      <c r="I152" s="298"/>
      <c r="J152" s="298"/>
      <c r="K152" s="298"/>
      <c r="L152" s="298"/>
      <c r="M152" s="298"/>
      <c r="N152" s="298"/>
      <c r="O152" s="298"/>
      <c r="P152" s="298"/>
      <c r="Q152" s="298"/>
      <c r="R152" s="298"/>
      <c r="S152" s="298"/>
      <c r="T152" s="298"/>
      <c r="U152" s="298"/>
      <c r="V152" s="298"/>
      <c r="W152" s="298"/>
      <c r="X152" s="298"/>
      <c r="Y152" s="298"/>
      <c r="Z152" s="298"/>
      <c r="AA152" s="298"/>
      <c r="AB152" s="298"/>
      <c r="AC152" s="298"/>
      <c r="AD152" s="298"/>
      <c r="AE152" s="298"/>
      <c r="AF152" s="298"/>
      <c r="AG152" s="298"/>
      <c r="AH152" s="298"/>
      <c r="AI152" s="166">
        <f t="shared" si="4"/>
        <v>0</v>
      </c>
      <c r="AJ152" s="166">
        <f t="shared" si="5"/>
        <v>0</v>
      </c>
      <c r="AK152" s="166"/>
      <c r="AL152" s="230" t="e">
        <f>IF($A152="","",IF(VLOOKUP($A152,'İşçi Bilgileri'!$A$2:$J$700,9,FALSE)=0,"",VLOOKUP($A152,'İşçi Bilgileri'!$A$2:$J$700,9,FALSE)))</f>
        <v>#N/A</v>
      </c>
      <c r="AM152" s="172" t="e">
        <f>IF($A152="","",IF(VLOOKUP($A152,'İşçi Bilgileri'!$A$2:$J$700,10,FALSE)=0,"",VLOOKUP($A152,'İşçi Bilgileri'!$A$2:$J$700,10,FALSE)))</f>
        <v>#N/A</v>
      </c>
    </row>
    <row r="153" spans="1:39" x14ac:dyDescent="0.2">
      <c r="A153" s="170">
        <v>145</v>
      </c>
      <c r="B153" s="147" t="e">
        <f>CONCATENATE(IF($A153="","",VLOOKUP($A153,'İşçi Bilgileri'!$A$2:$D$700,2,FALSE))," ",IF($A153="","",VLOOKUP($A153,'İşçi Bilgileri'!$A$2:$D$700,3,FALSE)))</f>
        <v>#N/A</v>
      </c>
      <c r="C153" s="171" t="e">
        <f>IF($A153="","",VLOOKUP($A153,'İşçi Bilgileri'!$A$2:$D$700,4,FALSE))</f>
        <v>#N/A</v>
      </c>
      <c r="D153" s="298"/>
      <c r="E153" s="298"/>
      <c r="F153" s="298"/>
      <c r="G153" s="298"/>
      <c r="H153" s="298"/>
      <c r="I153" s="298"/>
      <c r="J153" s="298"/>
      <c r="K153" s="298"/>
      <c r="L153" s="298"/>
      <c r="M153" s="298"/>
      <c r="N153" s="298"/>
      <c r="O153" s="298"/>
      <c r="P153" s="298"/>
      <c r="Q153" s="298"/>
      <c r="R153" s="298"/>
      <c r="S153" s="298"/>
      <c r="T153" s="298"/>
      <c r="U153" s="298"/>
      <c r="V153" s="298"/>
      <c r="W153" s="298"/>
      <c r="X153" s="298"/>
      <c r="Y153" s="298"/>
      <c r="Z153" s="298"/>
      <c r="AA153" s="298"/>
      <c r="AB153" s="298"/>
      <c r="AC153" s="298"/>
      <c r="AD153" s="298"/>
      <c r="AE153" s="298"/>
      <c r="AF153" s="298"/>
      <c r="AG153" s="298"/>
      <c r="AH153" s="298"/>
      <c r="AI153" s="166">
        <f t="shared" si="4"/>
        <v>0</v>
      </c>
      <c r="AJ153" s="166">
        <f t="shared" si="5"/>
        <v>0</v>
      </c>
      <c r="AK153" s="166"/>
      <c r="AL153" s="230" t="e">
        <f>IF($A153="","",IF(VLOOKUP($A153,'İşçi Bilgileri'!$A$2:$J$700,9,FALSE)=0,"",VLOOKUP($A153,'İşçi Bilgileri'!$A$2:$J$700,9,FALSE)))</f>
        <v>#N/A</v>
      </c>
      <c r="AM153" s="172" t="e">
        <f>IF($A153="","",IF(VLOOKUP($A153,'İşçi Bilgileri'!$A$2:$J$700,10,FALSE)=0,"",VLOOKUP($A153,'İşçi Bilgileri'!$A$2:$J$700,10,FALSE)))</f>
        <v>#N/A</v>
      </c>
    </row>
    <row r="154" spans="1:39" x14ac:dyDescent="0.2">
      <c r="A154" s="170">
        <v>146</v>
      </c>
      <c r="B154" s="147" t="e">
        <f>CONCATENATE(IF($A154="","",VLOOKUP($A154,'İşçi Bilgileri'!$A$2:$D$700,2,FALSE))," ",IF($A154="","",VLOOKUP($A154,'İşçi Bilgileri'!$A$2:$D$700,3,FALSE)))</f>
        <v>#N/A</v>
      </c>
      <c r="C154" s="171" t="e">
        <f>IF($A154="","",VLOOKUP($A154,'İşçi Bilgileri'!$A$2:$D$700,4,FALSE))</f>
        <v>#N/A</v>
      </c>
      <c r="D154" s="298"/>
      <c r="E154" s="298"/>
      <c r="F154" s="298"/>
      <c r="G154" s="298"/>
      <c r="H154" s="298"/>
      <c r="I154" s="298"/>
      <c r="J154" s="298"/>
      <c r="K154" s="298"/>
      <c r="L154" s="298"/>
      <c r="M154" s="298"/>
      <c r="N154" s="298"/>
      <c r="O154" s="298"/>
      <c r="P154" s="298"/>
      <c r="Q154" s="298"/>
      <c r="R154" s="298"/>
      <c r="S154" s="298"/>
      <c r="T154" s="298"/>
      <c r="U154" s="298"/>
      <c r="V154" s="298"/>
      <c r="W154" s="298"/>
      <c r="X154" s="298"/>
      <c r="Y154" s="298"/>
      <c r="Z154" s="298"/>
      <c r="AA154" s="298"/>
      <c r="AB154" s="298"/>
      <c r="AC154" s="298"/>
      <c r="AD154" s="298"/>
      <c r="AE154" s="298"/>
      <c r="AF154" s="298"/>
      <c r="AG154" s="298"/>
      <c r="AH154" s="298"/>
      <c r="AI154" s="166">
        <f t="shared" si="4"/>
        <v>0</v>
      </c>
      <c r="AJ154" s="166">
        <f t="shared" si="5"/>
        <v>0</v>
      </c>
      <c r="AK154" s="166"/>
      <c r="AL154" s="230" t="e">
        <f>IF($A154="","",IF(VLOOKUP($A154,'İşçi Bilgileri'!$A$2:$J$700,9,FALSE)=0,"",VLOOKUP($A154,'İşçi Bilgileri'!$A$2:$J$700,9,FALSE)))</f>
        <v>#N/A</v>
      </c>
      <c r="AM154" s="172" t="e">
        <f>IF($A154="","",IF(VLOOKUP($A154,'İşçi Bilgileri'!$A$2:$J$700,10,FALSE)=0,"",VLOOKUP($A154,'İşçi Bilgileri'!$A$2:$J$700,10,FALSE)))</f>
        <v>#N/A</v>
      </c>
    </row>
    <row r="155" spans="1:39" x14ac:dyDescent="0.2">
      <c r="A155" s="170">
        <v>147</v>
      </c>
      <c r="B155" s="147" t="e">
        <f>CONCATENATE(IF($A155="","",VLOOKUP($A155,'İşçi Bilgileri'!$A$2:$D$700,2,FALSE))," ",IF($A155="","",VLOOKUP($A155,'İşçi Bilgileri'!$A$2:$D$700,3,FALSE)))</f>
        <v>#N/A</v>
      </c>
      <c r="C155" s="171" t="e">
        <f>IF($A155="","",VLOOKUP($A155,'İşçi Bilgileri'!$A$2:$D$700,4,FALSE))</f>
        <v>#N/A</v>
      </c>
      <c r="D155" s="298"/>
      <c r="E155" s="298"/>
      <c r="F155" s="298"/>
      <c r="G155" s="298"/>
      <c r="H155" s="298"/>
      <c r="I155" s="298"/>
      <c r="J155" s="298"/>
      <c r="K155" s="298"/>
      <c r="L155" s="298"/>
      <c r="M155" s="298"/>
      <c r="N155" s="298"/>
      <c r="O155" s="298"/>
      <c r="P155" s="298"/>
      <c r="Q155" s="298"/>
      <c r="R155" s="298"/>
      <c r="S155" s="298"/>
      <c r="T155" s="298"/>
      <c r="U155" s="298"/>
      <c r="V155" s="298"/>
      <c r="W155" s="298"/>
      <c r="X155" s="298"/>
      <c r="Y155" s="298"/>
      <c r="Z155" s="298"/>
      <c r="AA155" s="298"/>
      <c r="AB155" s="298"/>
      <c r="AC155" s="298"/>
      <c r="AD155" s="298"/>
      <c r="AE155" s="298"/>
      <c r="AF155" s="298"/>
      <c r="AG155" s="298"/>
      <c r="AH155" s="298"/>
      <c r="AI155" s="166">
        <f t="shared" si="4"/>
        <v>0</v>
      </c>
      <c r="AJ155" s="166">
        <f t="shared" si="5"/>
        <v>0</v>
      </c>
      <c r="AK155" s="166"/>
      <c r="AL155" s="230" t="e">
        <f>IF($A155="","",IF(VLOOKUP($A155,'İşçi Bilgileri'!$A$2:$J$700,9,FALSE)=0,"",VLOOKUP($A155,'İşçi Bilgileri'!$A$2:$J$700,9,FALSE)))</f>
        <v>#N/A</v>
      </c>
      <c r="AM155" s="172" t="e">
        <f>IF($A155="","",IF(VLOOKUP($A155,'İşçi Bilgileri'!$A$2:$J$700,10,FALSE)=0,"",VLOOKUP($A155,'İşçi Bilgileri'!$A$2:$J$700,10,FALSE)))</f>
        <v>#N/A</v>
      </c>
    </row>
    <row r="156" spans="1:39" x14ac:dyDescent="0.2">
      <c r="A156" s="170">
        <v>148</v>
      </c>
      <c r="B156" s="147" t="e">
        <f>CONCATENATE(IF($A156="","",VLOOKUP($A156,'İşçi Bilgileri'!$A$2:$D$700,2,FALSE))," ",IF($A156="","",VLOOKUP($A156,'İşçi Bilgileri'!$A$2:$D$700,3,FALSE)))</f>
        <v>#N/A</v>
      </c>
      <c r="C156" s="171" t="e">
        <f>IF($A156="","",VLOOKUP($A156,'İşçi Bilgileri'!$A$2:$D$700,4,FALSE))</f>
        <v>#N/A</v>
      </c>
      <c r="D156" s="298"/>
      <c r="E156" s="298"/>
      <c r="F156" s="298"/>
      <c r="G156" s="298"/>
      <c r="H156" s="298"/>
      <c r="I156" s="298"/>
      <c r="J156" s="298"/>
      <c r="K156" s="298"/>
      <c r="L156" s="298"/>
      <c r="M156" s="298"/>
      <c r="N156" s="298"/>
      <c r="O156" s="298"/>
      <c r="P156" s="298"/>
      <c r="Q156" s="298"/>
      <c r="R156" s="298"/>
      <c r="S156" s="298"/>
      <c r="T156" s="298"/>
      <c r="U156" s="298"/>
      <c r="V156" s="298"/>
      <c r="W156" s="298"/>
      <c r="X156" s="298"/>
      <c r="Y156" s="298"/>
      <c r="Z156" s="298"/>
      <c r="AA156" s="298"/>
      <c r="AB156" s="298"/>
      <c r="AC156" s="298"/>
      <c r="AD156" s="298"/>
      <c r="AE156" s="298"/>
      <c r="AF156" s="298"/>
      <c r="AG156" s="298"/>
      <c r="AH156" s="298"/>
      <c r="AI156" s="166">
        <f t="shared" si="4"/>
        <v>0</v>
      </c>
      <c r="AJ156" s="166">
        <f t="shared" si="5"/>
        <v>0</v>
      </c>
      <c r="AK156" s="166"/>
      <c r="AL156" s="230" t="e">
        <f>IF($A156="","",IF(VLOOKUP($A156,'İşçi Bilgileri'!$A$2:$J$700,9,FALSE)=0,"",VLOOKUP($A156,'İşçi Bilgileri'!$A$2:$J$700,9,FALSE)))</f>
        <v>#N/A</v>
      </c>
      <c r="AM156" s="172" t="e">
        <f>IF($A156="","",IF(VLOOKUP($A156,'İşçi Bilgileri'!$A$2:$J$700,10,FALSE)=0,"",VLOOKUP($A156,'İşçi Bilgileri'!$A$2:$J$700,10,FALSE)))</f>
        <v>#N/A</v>
      </c>
    </row>
    <row r="157" spans="1:39" x14ac:dyDescent="0.2">
      <c r="A157" s="170">
        <v>149</v>
      </c>
      <c r="B157" s="147" t="e">
        <f>CONCATENATE(IF($A157="","",VLOOKUP($A157,'İşçi Bilgileri'!$A$2:$D$700,2,FALSE))," ",IF($A157="","",VLOOKUP($A157,'İşçi Bilgileri'!$A$2:$D$700,3,FALSE)))</f>
        <v>#N/A</v>
      </c>
      <c r="C157" s="171" t="e">
        <f>IF($A157="","",VLOOKUP($A157,'İşçi Bilgileri'!$A$2:$D$700,4,FALSE))</f>
        <v>#N/A</v>
      </c>
      <c r="D157" s="298"/>
      <c r="E157" s="298"/>
      <c r="F157" s="298"/>
      <c r="G157" s="298"/>
      <c r="H157" s="298"/>
      <c r="I157" s="298"/>
      <c r="J157" s="298"/>
      <c r="K157" s="298"/>
      <c r="L157" s="298"/>
      <c r="M157" s="298"/>
      <c r="N157" s="298"/>
      <c r="O157" s="298"/>
      <c r="P157" s="298"/>
      <c r="Q157" s="298"/>
      <c r="R157" s="298"/>
      <c r="S157" s="298"/>
      <c r="T157" s="298"/>
      <c r="U157" s="298"/>
      <c r="V157" s="298"/>
      <c r="W157" s="298"/>
      <c r="X157" s="298"/>
      <c r="Y157" s="298"/>
      <c r="Z157" s="298"/>
      <c r="AA157" s="298"/>
      <c r="AB157" s="298"/>
      <c r="AC157" s="298"/>
      <c r="AD157" s="298"/>
      <c r="AE157" s="298"/>
      <c r="AF157" s="298"/>
      <c r="AG157" s="298"/>
      <c r="AH157" s="298"/>
      <c r="AI157" s="166">
        <f t="shared" si="4"/>
        <v>0</v>
      </c>
      <c r="AJ157" s="166">
        <f t="shared" si="5"/>
        <v>0</v>
      </c>
      <c r="AK157" s="166"/>
      <c r="AL157" s="230" t="e">
        <f>IF($A157="","",IF(VLOOKUP($A157,'İşçi Bilgileri'!$A$2:$J$700,9,FALSE)=0,"",VLOOKUP($A157,'İşçi Bilgileri'!$A$2:$J$700,9,FALSE)))</f>
        <v>#N/A</v>
      </c>
      <c r="AM157" s="172" t="e">
        <f>IF($A157="","",IF(VLOOKUP($A157,'İşçi Bilgileri'!$A$2:$J$700,10,FALSE)=0,"",VLOOKUP($A157,'İşçi Bilgileri'!$A$2:$J$700,10,FALSE)))</f>
        <v>#N/A</v>
      </c>
    </row>
    <row r="158" spans="1:39" x14ac:dyDescent="0.2">
      <c r="A158" s="170">
        <v>150</v>
      </c>
      <c r="B158" s="147" t="e">
        <f>CONCATENATE(IF($A158="","",VLOOKUP($A158,'İşçi Bilgileri'!$A$2:$D$700,2,FALSE))," ",IF($A158="","",VLOOKUP($A158,'İşçi Bilgileri'!$A$2:$D$700,3,FALSE)))</f>
        <v>#N/A</v>
      </c>
      <c r="C158" s="171" t="e">
        <f>IF($A158="","",VLOOKUP($A158,'İşçi Bilgileri'!$A$2:$D$700,4,FALSE))</f>
        <v>#N/A</v>
      </c>
      <c r="D158" s="298"/>
      <c r="E158" s="298"/>
      <c r="F158" s="298"/>
      <c r="G158" s="298"/>
      <c r="H158" s="298"/>
      <c r="I158" s="298"/>
      <c r="J158" s="298"/>
      <c r="K158" s="298"/>
      <c r="L158" s="298"/>
      <c r="M158" s="298"/>
      <c r="N158" s="298"/>
      <c r="O158" s="298"/>
      <c r="P158" s="298"/>
      <c r="Q158" s="298"/>
      <c r="R158" s="298"/>
      <c r="S158" s="298"/>
      <c r="T158" s="298"/>
      <c r="U158" s="298"/>
      <c r="V158" s="298"/>
      <c r="W158" s="298"/>
      <c r="X158" s="298"/>
      <c r="Y158" s="298"/>
      <c r="Z158" s="298"/>
      <c r="AA158" s="298"/>
      <c r="AB158" s="298"/>
      <c r="AC158" s="298"/>
      <c r="AD158" s="298"/>
      <c r="AE158" s="298"/>
      <c r="AF158" s="298"/>
      <c r="AG158" s="298"/>
      <c r="AH158" s="298"/>
      <c r="AI158" s="166">
        <f t="shared" si="4"/>
        <v>0</v>
      </c>
      <c r="AJ158" s="166">
        <f t="shared" si="5"/>
        <v>0</v>
      </c>
      <c r="AK158" s="166"/>
      <c r="AL158" s="230" t="e">
        <f>IF($A158="","",IF(VLOOKUP($A158,'İşçi Bilgileri'!$A$2:$J$700,9,FALSE)=0,"",VLOOKUP($A158,'İşçi Bilgileri'!$A$2:$J$700,9,FALSE)))</f>
        <v>#N/A</v>
      </c>
      <c r="AM158" s="172" t="e">
        <f>IF($A158="","",IF(VLOOKUP($A158,'İşçi Bilgileri'!$A$2:$J$700,10,FALSE)=0,"",VLOOKUP($A158,'İşçi Bilgileri'!$A$2:$J$700,10,FALSE)))</f>
        <v>#N/A</v>
      </c>
    </row>
    <row r="159" spans="1:39" x14ac:dyDescent="0.2">
      <c r="A159" s="170">
        <v>151</v>
      </c>
      <c r="B159" s="147" t="e">
        <f>CONCATENATE(IF($A159="","",VLOOKUP($A159,'İşçi Bilgileri'!$A$2:$D$700,2,FALSE))," ",IF($A159="","",VLOOKUP($A159,'İşçi Bilgileri'!$A$2:$D$700,3,FALSE)))</f>
        <v>#N/A</v>
      </c>
      <c r="C159" s="171" t="e">
        <f>IF($A159="","",VLOOKUP($A159,'İşçi Bilgileri'!$A$2:$D$700,4,FALSE))</f>
        <v>#N/A</v>
      </c>
      <c r="D159" s="298"/>
      <c r="E159" s="298"/>
      <c r="F159" s="298"/>
      <c r="G159" s="298"/>
      <c r="H159" s="298"/>
      <c r="I159" s="298"/>
      <c r="J159" s="298"/>
      <c r="K159" s="298"/>
      <c r="L159" s="298"/>
      <c r="M159" s="298"/>
      <c r="N159" s="298"/>
      <c r="O159" s="298"/>
      <c r="P159" s="298"/>
      <c r="Q159" s="298"/>
      <c r="R159" s="298"/>
      <c r="S159" s="298"/>
      <c r="T159" s="298"/>
      <c r="U159" s="298"/>
      <c r="V159" s="298"/>
      <c r="W159" s="298"/>
      <c r="X159" s="298"/>
      <c r="Y159" s="298"/>
      <c r="Z159" s="298"/>
      <c r="AA159" s="298"/>
      <c r="AB159" s="298"/>
      <c r="AC159" s="298"/>
      <c r="AD159" s="298"/>
      <c r="AE159" s="298"/>
      <c r="AF159" s="298"/>
      <c r="AG159" s="298"/>
      <c r="AH159" s="298"/>
      <c r="AI159" s="166">
        <f t="shared" si="4"/>
        <v>0</v>
      </c>
      <c r="AJ159" s="166">
        <f t="shared" si="5"/>
        <v>0</v>
      </c>
      <c r="AK159" s="166"/>
      <c r="AL159" s="230" t="e">
        <f>IF($A159="","",IF(VLOOKUP($A159,'İşçi Bilgileri'!$A$2:$J$700,9,FALSE)=0,"",VLOOKUP($A159,'İşçi Bilgileri'!$A$2:$J$700,9,FALSE)))</f>
        <v>#N/A</v>
      </c>
      <c r="AM159" s="172" t="e">
        <f>IF($A159="","",IF(VLOOKUP($A159,'İşçi Bilgileri'!$A$2:$J$700,10,FALSE)=0,"",VLOOKUP($A159,'İşçi Bilgileri'!$A$2:$J$700,10,FALSE)))</f>
        <v>#N/A</v>
      </c>
    </row>
    <row r="160" spans="1:39" x14ac:dyDescent="0.2">
      <c r="A160" s="170">
        <v>152</v>
      </c>
      <c r="B160" s="147" t="e">
        <f>CONCATENATE(IF($A160="","",VLOOKUP($A160,'İşçi Bilgileri'!$A$2:$D$700,2,FALSE))," ",IF($A160="","",VLOOKUP($A160,'İşçi Bilgileri'!$A$2:$D$700,3,FALSE)))</f>
        <v>#N/A</v>
      </c>
      <c r="C160" s="171" t="e">
        <f>IF($A160="","",VLOOKUP($A160,'İşçi Bilgileri'!$A$2:$D$700,4,FALSE))</f>
        <v>#N/A</v>
      </c>
      <c r="D160" s="298"/>
      <c r="E160" s="298"/>
      <c r="F160" s="298"/>
      <c r="G160" s="298"/>
      <c r="H160" s="298"/>
      <c r="I160" s="298"/>
      <c r="J160" s="298"/>
      <c r="K160" s="298"/>
      <c r="L160" s="298"/>
      <c r="M160" s="298"/>
      <c r="N160" s="298"/>
      <c r="O160" s="298"/>
      <c r="P160" s="298"/>
      <c r="Q160" s="298"/>
      <c r="R160" s="298"/>
      <c r="S160" s="298"/>
      <c r="T160" s="298"/>
      <c r="U160" s="298"/>
      <c r="V160" s="298"/>
      <c r="W160" s="298"/>
      <c r="X160" s="298"/>
      <c r="Y160" s="298"/>
      <c r="Z160" s="298"/>
      <c r="AA160" s="298"/>
      <c r="AB160" s="298"/>
      <c r="AC160" s="298"/>
      <c r="AD160" s="298"/>
      <c r="AE160" s="298"/>
      <c r="AF160" s="298"/>
      <c r="AG160" s="298"/>
      <c r="AH160" s="298"/>
      <c r="AI160" s="166">
        <f t="shared" si="4"/>
        <v>0</v>
      </c>
      <c r="AJ160" s="166">
        <f t="shared" si="5"/>
        <v>0</v>
      </c>
      <c r="AK160" s="166"/>
      <c r="AL160" s="230" t="e">
        <f>IF($A160="","",IF(VLOOKUP($A160,'İşçi Bilgileri'!$A$2:$J$700,9,FALSE)=0,"",VLOOKUP($A160,'İşçi Bilgileri'!$A$2:$J$700,9,FALSE)))</f>
        <v>#N/A</v>
      </c>
      <c r="AM160" s="172" t="e">
        <f>IF($A160="","",IF(VLOOKUP($A160,'İşçi Bilgileri'!$A$2:$J$700,10,FALSE)=0,"",VLOOKUP($A160,'İşçi Bilgileri'!$A$2:$J$700,10,FALSE)))</f>
        <v>#N/A</v>
      </c>
    </row>
    <row r="161" spans="1:39" x14ac:dyDescent="0.2">
      <c r="A161" s="170">
        <v>153</v>
      </c>
      <c r="B161" s="147" t="e">
        <f>CONCATENATE(IF($A161="","",VLOOKUP($A161,'İşçi Bilgileri'!$A$2:$D$700,2,FALSE))," ",IF($A161="","",VLOOKUP($A161,'İşçi Bilgileri'!$A$2:$D$700,3,FALSE)))</f>
        <v>#N/A</v>
      </c>
      <c r="C161" s="171" t="e">
        <f>IF($A161="","",VLOOKUP($A161,'İşçi Bilgileri'!$A$2:$D$700,4,FALSE))</f>
        <v>#N/A</v>
      </c>
      <c r="D161" s="298"/>
      <c r="E161" s="298"/>
      <c r="F161" s="298"/>
      <c r="G161" s="298"/>
      <c r="H161" s="298"/>
      <c r="I161" s="298"/>
      <c r="J161" s="298"/>
      <c r="K161" s="298"/>
      <c r="L161" s="298"/>
      <c r="M161" s="298"/>
      <c r="N161" s="298"/>
      <c r="O161" s="298"/>
      <c r="P161" s="298"/>
      <c r="Q161" s="298"/>
      <c r="R161" s="298"/>
      <c r="S161" s="298"/>
      <c r="T161" s="298"/>
      <c r="U161" s="298"/>
      <c r="V161" s="298"/>
      <c r="W161" s="298"/>
      <c r="X161" s="298"/>
      <c r="Y161" s="298"/>
      <c r="Z161" s="298"/>
      <c r="AA161" s="298"/>
      <c r="AB161" s="298"/>
      <c r="AC161" s="298"/>
      <c r="AD161" s="298"/>
      <c r="AE161" s="298"/>
      <c r="AF161" s="298"/>
      <c r="AG161" s="298"/>
      <c r="AH161" s="298"/>
      <c r="AI161" s="166">
        <f t="shared" si="4"/>
        <v>0</v>
      </c>
      <c r="AJ161" s="166">
        <f t="shared" si="5"/>
        <v>0</v>
      </c>
      <c r="AK161" s="166"/>
      <c r="AL161" s="230" t="e">
        <f>IF($A161="","",IF(VLOOKUP($A161,'İşçi Bilgileri'!$A$2:$J$700,9,FALSE)=0,"",VLOOKUP($A161,'İşçi Bilgileri'!$A$2:$J$700,9,FALSE)))</f>
        <v>#N/A</v>
      </c>
      <c r="AM161" s="172" t="e">
        <f>IF($A161="","",IF(VLOOKUP($A161,'İşçi Bilgileri'!$A$2:$J$700,10,FALSE)=0,"",VLOOKUP($A161,'İşçi Bilgileri'!$A$2:$J$700,10,FALSE)))</f>
        <v>#N/A</v>
      </c>
    </row>
    <row r="162" spans="1:39" x14ac:dyDescent="0.2">
      <c r="A162" s="170">
        <v>154</v>
      </c>
      <c r="B162" s="147" t="e">
        <f>CONCATENATE(IF($A162="","",VLOOKUP($A162,'İşçi Bilgileri'!$A$2:$D$700,2,FALSE))," ",IF($A162="","",VLOOKUP($A162,'İşçi Bilgileri'!$A$2:$D$700,3,FALSE)))</f>
        <v>#N/A</v>
      </c>
      <c r="C162" s="171" t="e">
        <f>IF($A162="","",VLOOKUP($A162,'İşçi Bilgileri'!$A$2:$D$700,4,FALSE))</f>
        <v>#N/A</v>
      </c>
      <c r="D162" s="298"/>
      <c r="E162" s="298"/>
      <c r="F162" s="298"/>
      <c r="G162" s="298"/>
      <c r="H162" s="298"/>
      <c r="I162" s="298"/>
      <c r="J162" s="298"/>
      <c r="K162" s="298"/>
      <c r="L162" s="298"/>
      <c r="M162" s="298"/>
      <c r="N162" s="298"/>
      <c r="O162" s="298"/>
      <c r="P162" s="298"/>
      <c r="Q162" s="298"/>
      <c r="R162" s="298"/>
      <c r="S162" s="298"/>
      <c r="T162" s="298"/>
      <c r="U162" s="298"/>
      <c r="V162" s="298"/>
      <c r="W162" s="298"/>
      <c r="X162" s="298"/>
      <c r="Y162" s="298"/>
      <c r="Z162" s="298"/>
      <c r="AA162" s="298"/>
      <c r="AB162" s="298"/>
      <c r="AC162" s="298"/>
      <c r="AD162" s="298"/>
      <c r="AE162" s="298"/>
      <c r="AF162" s="298"/>
      <c r="AG162" s="298"/>
      <c r="AH162" s="298"/>
      <c r="AI162" s="166">
        <f t="shared" si="4"/>
        <v>0</v>
      </c>
      <c r="AJ162" s="166">
        <f t="shared" si="5"/>
        <v>0</v>
      </c>
      <c r="AK162" s="166"/>
      <c r="AL162" s="230" t="e">
        <f>IF($A162="","",IF(VLOOKUP($A162,'İşçi Bilgileri'!$A$2:$J$700,9,FALSE)=0,"",VLOOKUP($A162,'İşçi Bilgileri'!$A$2:$J$700,9,FALSE)))</f>
        <v>#N/A</v>
      </c>
      <c r="AM162" s="172" t="e">
        <f>IF($A162="","",IF(VLOOKUP($A162,'İşçi Bilgileri'!$A$2:$J$700,10,FALSE)=0,"",VLOOKUP($A162,'İşçi Bilgileri'!$A$2:$J$700,10,FALSE)))</f>
        <v>#N/A</v>
      </c>
    </row>
    <row r="163" spans="1:39" x14ac:dyDescent="0.2">
      <c r="A163" s="170">
        <v>155</v>
      </c>
      <c r="B163" s="147" t="e">
        <f>CONCATENATE(IF($A163="","",VLOOKUP($A163,'İşçi Bilgileri'!$A$2:$D$700,2,FALSE))," ",IF($A163="","",VLOOKUP($A163,'İşçi Bilgileri'!$A$2:$D$700,3,FALSE)))</f>
        <v>#N/A</v>
      </c>
      <c r="C163" s="171" t="e">
        <f>IF($A163="","",VLOOKUP($A163,'İşçi Bilgileri'!$A$2:$D$700,4,FALSE))</f>
        <v>#N/A</v>
      </c>
      <c r="D163" s="298"/>
      <c r="E163" s="298"/>
      <c r="F163" s="298"/>
      <c r="G163" s="298"/>
      <c r="H163" s="298"/>
      <c r="I163" s="298"/>
      <c r="J163" s="298"/>
      <c r="K163" s="298"/>
      <c r="L163" s="298"/>
      <c r="M163" s="298"/>
      <c r="N163" s="298"/>
      <c r="O163" s="298"/>
      <c r="P163" s="298"/>
      <c r="Q163" s="298"/>
      <c r="R163" s="298"/>
      <c r="S163" s="298"/>
      <c r="T163" s="298"/>
      <c r="U163" s="298"/>
      <c r="V163" s="298"/>
      <c r="W163" s="298"/>
      <c r="X163" s="298"/>
      <c r="Y163" s="298"/>
      <c r="Z163" s="298"/>
      <c r="AA163" s="298"/>
      <c r="AB163" s="298"/>
      <c r="AC163" s="298"/>
      <c r="AD163" s="298"/>
      <c r="AE163" s="298"/>
      <c r="AF163" s="298"/>
      <c r="AG163" s="298"/>
      <c r="AH163" s="298"/>
      <c r="AI163" s="166">
        <f t="shared" si="4"/>
        <v>0</v>
      </c>
      <c r="AJ163" s="166">
        <f t="shared" si="5"/>
        <v>0</v>
      </c>
      <c r="AK163" s="166"/>
      <c r="AL163" s="230" t="e">
        <f>IF($A163="","",IF(VLOOKUP($A163,'İşçi Bilgileri'!$A$2:$J$700,9,FALSE)=0,"",VLOOKUP($A163,'İşçi Bilgileri'!$A$2:$J$700,9,FALSE)))</f>
        <v>#N/A</v>
      </c>
      <c r="AM163" s="172" t="e">
        <f>IF($A163="","",IF(VLOOKUP($A163,'İşçi Bilgileri'!$A$2:$J$700,10,FALSE)=0,"",VLOOKUP($A163,'İşçi Bilgileri'!$A$2:$J$700,10,FALSE)))</f>
        <v>#N/A</v>
      </c>
    </row>
    <row r="164" spans="1:39" x14ac:dyDescent="0.2">
      <c r="A164" s="170">
        <v>156</v>
      </c>
      <c r="B164" s="147" t="e">
        <f>CONCATENATE(IF($A164="","",VLOOKUP($A164,'İşçi Bilgileri'!$A$2:$D$700,2,FALSE))," ",IF($A164="","",VLOOKUP($A164,'İşçi Bilgileri'!$A$2:$D$700,3,FALSE)))</f>
        <v>#N/A</v>
      </c>
      <c r="C164" s="171" t="e">
        <f>IF($A164="","",VLOOKUP($A164,'İşçi Bilgileri'!$A$2:$D$700,4,FALSE))</f>
        <v>#N/A</v>
      </c>
      <c r="D164" s="298"/>
      <c r="E164" s="298"/>
      <c r="F164" s="298"/>
      <c r="G164" s="298"/>
      <c r="H164" s="298"/>
      <c r="I164" s="298"/>
      <c r="J164" s="298"/>
      <c r="K164" s="298"/>
      <c r="L164" s="298"/>
      <c r="M164" s="298"/>
      <c r="N164" s="298"/>
      <c r="O164" s="298"/>
      <c r="P164" s="298"/>
      <c r="Q164" s="298"/>
      <c r="R164" s="298"/>
      <c r="S164" s="298"/>
      <c r="T164" s="298"/>
      <c r="U164" s="298"/>
      <c r="V164" s="298"/>
      <c r="W164" s="298"/>
      <c r="X164" s="298"/>
      <c r="Y164" s="298"/>
      <c r="Z164" s="298"/>
      <c r="AA164" s="298"/>
      <c r="AB164" s="298"/>
      <c r="AC164" s="298"/>
      <c r="AD164" s="298"/>
      <c r="AE164" s="298"/>
      <c r="AF164" s="298"/>
      <c r="AG164" s="298"/>
      <c r="AH164" s="298"/>
      <c r="AI164" s="166">
        <f t="shared" si="4"/>
        <v>0</v>
      </c>
      <c r="AJ164" s="166">
        <f t="shared" si="5"/>
        <v>0</v>
      </c>
      <c r="AK164" s="166"/>
      <c r="AL164" s="230" t="e">
        <f>IF($A164="","",IF(VLOOKUP($A164,'İşçi Bilgileri'!$A$2:$J$700,9,FALSE)=0,"",VLOOKUP($A164,'İşçi Bilgileri'!$A$2:$J$700,9,FALSE)))</f>
        <v>#N/A</v>
      </c>
      <c r="AM164" s="172" t="e">
        <f>IF($A164="","",IF(VLOOKUP($A164,'İşçi Bilgileri'!$A$2:$J$700,10,FALSE)=0,"",VLOOKUP($A164,'İşçi Bilgileri'!$A$2:$J$700,10,FALSE)))</f>
        <v>#N/A</v>
      </c>
    </row>
    <row r="165" spans="1:39" x14ac:dyDescent="0.2">
      <c r="A165" s="170">
        <v>157</v>
      </c>
      <c r="B165" s="147" t="e">
        <f>CONCATENATE(IF($A165="","",VLOOKUP($A165,'İşçi Bilgileri'!$A$2:$D$700,2,FALSE))," ",IF($A165="","",VLOOKUP($A165,'İşçi Bilgileri'!$A$2:$D$700,3,FALSE)))</f>
        <v>#N/A</v>
      </c>
      <c r="C165" s="171" t="e">
        <f>IF($A165="","",VLOOKUP($A165,'İşçi Bilgileri'!$A$2:$D$700,4,FALSE))</f>
        <v>#N/A</v>
      </c>
      <c r="D165" s="298"/>
      <c r="E165" s="298"/>
      <c r="F165" s="298"/>
      <c r="G165" s="298"/>
      <c r="H165" s="298"/>
      <c r="I165" s="298"/>
      <c r="J165" s="298"/>
      <c r="K165" s="298"/>
      <c r="L165" s="298"/>
      <c r="M165" s="298"/>
      <c r="N165" s="298"/>
      <c r="O165" s="298"/>
      <c r="P165" s="298"/>
      <c r="Q165" s="298"/>
      <c r="R165" s="298"/>
      <c r="S165" s="298"/>
      <c r="T165" s="298"/>
      <c r="U165" s="298"/>
      <c r="V165" s="298"/>
      <c r="W165" s="298"/>
      <c r="X165" s="298"/>
      <c r="Y165" s="298"/>
      <c r="Z165" s="298"/>
      <c r="AA165" s="298"/>
      <c r="AB165" s="298"/>
      <c r="AC165" s="298"/>
      <c r="AD165" s="298"/>
      <c r="AE165" s="298"/>
      <c r="AF165" s="298"/>
      <c r="AG165" s="298"/>
      <c r="AH165" s="298"/>
      <c r="AI165" s="166">
        <f t="shared" si="4"/>
        <v>0</v>
      </c>
      <c r="AJ165" s="166">
        <f t="shared" si="5"/>
        <v>0</v>
      </c>
      <c r="AK165" s="166"/>
      <c r="AL165" s="230" t="e">
        <f>IF($A165="","",IF(VLOOKUP($A165,'İşçi Bilgileri'!$A$2:$J$700,9,FALSE)=0,"",VLOOKUP($A165,'İşçi Bilgileri'!$A$2:$J$700,9,FALSE)))</f>
        <v>#N/A</v>
      </c>
      <c r="AM165" s="172" t="e">
        <f>IF($A165="","",IF(VLOOKUP($A165,'İşçi Bilgileri'!$A$2:$J$700,10,FALSE)=0,"",VLOOKUP($A165,'İşçi Bilgileri'!$A$2:$J$700,10,FALSE)))</f>
        <v>#N/A</v>
      </c>
    </row>
    <row r="166" spans="1:39" x14ac:dyDescent="0.2">
      <c r="A166" s="170">
        <v>158</v>
      </c>
      <c r="B166" s="147" t="e">
        <f>CONCATENATE(IF($A166="","",VLOOKUP($A166,'İşçi Bilgileri'!$A$2:$D$700,2,FALSE))," ",IF($A166="","",VLOOKUP($A166,'İşçi Bilgileri'!$A$2:$D$700,3,FALSE)))</f>
        <v>#N/A</v>
      </c>
      <c r="C166" s="171" t="e">
        <f>IF($A166="","",VLOOKUP($A166,'İşçi Bilgileri'!$A$2:$D$700,4,FALSE))</f>
        <v>#N/A</v>
      </c>
      <c r="D166" s="298"/>
      <c r="E166" s="298"/>
      <c r="F166" s="298"/>
      <c r="G166" s="298"/>
      <c r="H166" s="298"/>
      <c r="I166" s="298"/>
      <c r="J166" s="298"/>
      <c r="K166" s="298"/>
      <c r="L166" s="298"/>
      <c r="M166" s="298"/>
      <c r="N166" s="298"/>
      <c r="O166" s="298"/>
      <c r="P166" s="298"/>
      <c r="Q166" s="298"/>
      <c r="R166" s="298"/>
      <c r="S166" s="298"/>
      <c r="T166" s="298"/>
      <c r="U166" s="298"/>
      <c r="V166" s="298"/>
      <c r="W166" s="298"/>
      <c r="X166" s="298"/>
      <c r="Y166" s="298"/>
      <c r="Z166" s="298"/>
      <c r="AA166" s="298"/>
      <c r="AB166" s="298"/>
      <c r="AC166" s="298"/>
      <c r="AD166" s="298"/>
      <c r="AE166" s="298"/>
      <c r="AF166" s="298"/>
      <c r="AG166" s="298"/>
      <c r="AH166" s="298"/>
      <c r="AI166" s="166">
        <f t="shared" si="4"/>
        <v>0</v>
      </c>
      <c r="AJ166" s="166">
        <f t="shared" si="5"/>
        <v>0</v>
      </c>
      <c r="AK166" s="166"/>
      <c r="AL166" s="230" t="e">
        <f>IF($A166="","",IF(VLOOKUP($A166,'İşçi Bilgileri'!$A$2:$J$700,9,FALSE)=0,"",VLOOKUP($A166,'İşçi Bilgileri'!$A$2:$J$700,9,FALSE)))</f>
        <v>#N/A</v>
      </c>
      <c r="AM166" s="172" t="e">
        <f>IF($A166="","",IF(VLOOKUP($A166,'İşçi Bilgileri'!$A$2:$J$700,10,FALSE)=0,"",VLOOKUP($A166,'İşçi Bilgileri'!$A$2:$J$700,10,FALSE)))</f>
        <v>#N/A</v>
      </c>
    </row>
    <row r="167" spans="1:39" x14ac:dyDescent="0.2">
      <c r="A167" s="170">
        <v>159</v>
      </c>
      <c r="B167" s="147" t="e">
        <f>CONCATENATE(IF($A167="","",VLOOKUP($A167,'İşçi Bilgileri'!$A$2:$D$700,2,FALSE))," ",IF($A167="","",VLOOKUP($A167,'İşçi Bilgileri'!$A$2:$D$700,3,FALSE)))</f>
        <v>#N/A</v>
      </c>
      <c r="C167" s="171" t="e">
        <f>IF($A167="","",VLOOKUP($A167,'İşçi Bilgileri'!$A$2:$D$700,4,FALSE))</f>
        <v>#N/A</v>
      </c>
      <c r="D167" s="298"/>
      <c r="E167" s="298"/>
      <c r="F167" s="298"/>
      <c r="G167" s="298"/>
      <c r="H167" s="298"/>
      <c r="I167" s="298"/>
      <c r="J167" s="298"/>
      <c r="K167" s="298"/>
      <c r="L167" s="298"/>
      <c r="M167" s="298"/>
      <c r="N167" s="298"/>
      <c r="O167" s="298"/>
      <c r="P167" s="298"/>
      <c r="Q167" s="298"/>
      <c r="R167" s="298"/>
      <c r="S167" s="298"/>
      <c r="T167" s="298"/>
      <c r="U167" s="298"/>
      <c r="V167" s="298"/>
      <c r="W167" s="298"/>
      <c r="X167" s="298"/>
      <c r="Y167" s="298"/>
      <c r="Z167" s="298"/>
      <c r="AA167" s="298"/>
      <c r="AB167" s="298"/>
      <c r="AC167" s="298"/>
      <c r="AD167" s="298"/>
      <c r="AE167" s="298"/>
      <c r="AF167" s="298"/>
      <c r="AG167" s="298"/>
      <c r="AH167" s="298"/>
      <c r="AI167" s="166">
        <f t="shared" si="4"/>
        <v>0</v>
      </c>
      <c r="AJ167" s="166">
        <f t="shared" si="5"/>
        <v>0</v>
      </c>
      <c r="AK167" s="166"/>
      <c r="AL167" s="230" t="e">
        <f>IF($A167="","",IF(VLOOKUP($A167,'İşçi Bilgileri'!$A$2:$J$700,9,FALSE)=0,"",VLOOKUP($A167,'İşçi Bilgileri'!$A$2:$J$700,9,FALSE)))</f>
        <v>#N/A</v>
      </c>
      <c r="AM167" s="172" t="e">
        <f>IF($A167="","",IF(VLOOKUP($A167,'İşçi Bilgileri'!$A$2:$J$700,10,FALSE)=0,"",VLOOKUP($A167,'İşçi Bilgileri'!$A$2:$J$700,10,FALSE)))</f>
        <v>#N/A</v>
      </c>
    </row>
    <row r="168" spans="1:39" x14ac:dyDescent="0.2">
      <c r="A168" s="170">
        <v>160</v>
      </c>
      <c r="B168" s="147" t="e">
        <f>CONCATENATE(IF($A168="","",VLOOKUP($A168,'İşçi Bilgileri'!$A$2:$D$700,2,FALSE))," ",IF($A168="","",VLOOKUP($A168,'İşçi Bilgileri'!$A$2:$D$700,3,FALSE)))</f>
        <v>#N/A</v>
      </c>
      <c r="C168" s="171" t="e">
        <f>IF($A168="","",VLOOKUP($A168,'İşçi Bilgileri'!$A$2:$D$700,4,FALSE))</f>
        <v>#N/A</v>
      </c>
      <c r="D168" s="298"/>
      <c r="E168" s="298"/>
      <c r="F168" s="298"/>
      <c r="G168" s="298"/>
      <c r="H168" s="298"/>
      <c r="I168" s="298"/>
      <c r="J168" s="298"/>
      <c r="K168" s="298"/>
      <c r="L168" s="298"/>
      <c r="M168" s="298"/>
      <c r="N168" s="298"/>
      <c r="O168" s="298"/>
      <c r="P168" s="298"/>
      <c r="Q168" s="298"/>
      <c r="R168" s="298"/>
      <c r="S168" s="298"/>
      <c r="T168" s="298"/>
      <c r="U168" s="298"/>
      <c r="V168" s="298"/>
      <c r="W168" s="298"/>
      <c r="X168" s="298"/>
      <c r="Y168" s="298"/>
      <c r="Z168" s="298"/>
      <c r="AA168" s="298"/>
      <c r="AB168" s="298"/>
      <c r="AC168" s="298"/>
      <c r="AD168" s="298"/>
      <c r="AE168" s="298"/>
      <c r="AF168" s="298"/>
      <c r="AG168" s="298"/>
      <c r="AH168" s="298"/>
      <c r="AI168" s="166">
        <f t="shared" si="4"/>
        <v>0</v>
      </c>
      <c r="AJ168" s="166">
        <f t="shared" si="5"/>
        <v>0</v>
      </c>
      <c r="AK168" s="166"/>
      <c r="AL168" s="230" t="e">
        <f>IF($A168="","",IF(VLOOKUP($A168,'İşçi Bilgileri'!$A$2:$J$700,9,FALSE)=0,"",VLOOKUP($A168,'İşçi Bilgileri'!$A$2:$J$700,9,FALSE)))</f>
        <v>#N/A</v>
      </c>
      <c r="AM168" s="172" t="e">
        <f>IF($A168="","",IF(VLOOKUP($A168,'İşçi Bilgileri'!$A$2:$J$700,10,FALSE)=0,"",VLOOKUP($A168,'İşçi Bilgileri'!$A$2:$J$700,10,FALSE)))</f>
        <v>#N/A</v>
      </c>
    </row>
    <row r="169" spans="1:39" x14ac:dyDescent="0.2">
      <c r="A169" s="170">
        <v>161</v>
      </c>
      <c r="B169" s="147" t="e">
        <f>CONCATENATE(IF($A169="","",VLOOKUP($A169,'İşçi Bilgileri'!$A$2:$D$700,2,FALSE))," ",IF($A169="","",VLOOKUP($A169,'İşçi Bilgileri'!$A$2:$D$700,3,FALSE)))</f>
        <v>#N/A</v>
      </c>
      <c r="C169" s="171" t="e">
        <f>IF($A169="","",VLOOKUP($A169,'İşçi Bilgileri'!$A$2:$D$700,4,FALSE))</f>
        <v>#N/A</v>
      </c>
      <c r="D169" s="298"/>
      <c r="E169" s="298"/>
      <c r="F169" s="298"/>
      <c r="G169" s="298"/>
      <c r="H169" s="298"/>
      <c r="I169" s="298"/>
      <c r="J169" s="298"/>
      <c r="K169" s="298"/>
      <c r="L169" s="298"/>
      <c r="M169" s="298"/>
      <c r="N169" s="298"/>
      <c r="O169" s="298"/>
      <c r="P169" s="298"/>
      <c r="Q169" s="298"/>
      <c r="R169" s="298"/>
      <c r="S169" s="298"/>
      <c r="T169" s="298"/>
      <c r="U169" s="298"/>
      <c r="V169" s="298"/>
      <c r="W169" s="298"/>
      <c r="X169" s="298"/>
      <c r="Y169" s="298"/>
      <c r="Z169" s="298"/>
      <c r="AA169" s="298"/>
      <c r="AB169" s="298"/>
      <c r="AC169" s="298"/>
      <c r="AD169" s="298"/>
      <c r="AE169" s="298"/>
      <c r="AF169" s="298"/>
      <c r="AG169" s="298"/>
      <c r="AH169" s="298"/>
      <c r="AI169" s="166">
        <f t="shared" si="4"/>
        <v>0</v>
      </c>
      <c r="AJ169" s="166">
        <f t="shared" si="5"/>
        <v>0</v>
      </c>
      <c r="AK169" s="166"/>
      <c r="AL169" s="230" t="e">
        <f>IF($A169="","",IF(VLOOKUP($A169,'İşçi Bilgileri'!$A$2:$J$700,9,FALSE)=0,"",VLOOKUP($A169,'İşçi Bilgileri'!$A$2:$J$700,9,FALSE)))</f>
        <v>#N/A</v>
      </c>
      <c r="AM169" s="172" t="e">
        <f>IF($A169="","",IF(VLOOKUP($A169,'İşçi Bilgileri'!$A$2:$J$700,10,FALSE)=0,"",VLOOKUP($A169,'İşçi Bilgileri'!$A$2:$J$700,10,FALSE)))</f>
        <v>#N/A</v>
      </c>
    </row>
    <row r="170" spans="1:39" x14ac:dyDescent="0.2">
      <c r="A170" s="170">
        <v>162</v>
      </c>
      <c r="B170" s="147" t="e">
        <f>CONCATENATE(IF($A170="","",VLOOKUP($A170,'İşçi Bilgileri'!$A$2:$D$700,2,FALSE))," ",IF($A170="","",VLOOKUP($A170,'İşçi Bilgileri'!$A$2:$D$700,3,FALSE)))</f>
        <v>#N/A</v>
      </c>
      <c r="C170" s="171" t="e">
        <f>IF($A170="","",VLOOKUP($A170,'İşçi Bilgileri'!$A$2:$D$700,4,FALSE))</f>
        <v>#N/A</v>
      </c>
      <c r="D170" s="298"/>
      <c r="E170" s="298"/>
      <c r="F170" s="298"/>
      <c r="G170" s="298"/>
      <c r="H170" s="298"/>
      <c r="I170" s="298"/>
      <c r="J170" s="298"/>
      <c r="K170" s="298"/>
      <c r="L170" s="298"/>
      <c r="M170" s="298"/>
      <c r="N170" s="298"/>
      <c r="O170" s="298"/>
      <c r="P170" s="298"/>
      <c r="Q170" s="298"/>
      <c r="R170" s="298"/>
      <c r="S170" s="298"/>
      <c r="T170" s="298"/>
      <c r="U170" s="298"/>
      <c r="V170" s="298"/>
      <c r="W170" s="298"/>
      <c r="X170" s="298"/>
      <c r="Y170" s="298"/>
      <c r="Z170" s="298"/>
      <c r="AA170" s="298"/>
      <c r="AB170" s="298"/>
      <c r="AC170" s="298"/>
      <c r="AD170" s="298"/>
      <c r="AE170" s="298"/>
      <c r="AF170" s="298"/>
      <c r="AG170" s="298"/>
      <c r="AH170" s="298"/>
      <c r="AI170" s="166">
        <f t="shared" si="4"/>
        <v>0</v>
      </c>
      <c r="AJ170" s="166">
        <f t="shared" si="5"/>
        <v>0</v>
      </c>
      <c r="AK170" s="166"/>
      <c r="AL170" s="230" t="e">
        <f>IF($A170="","",IF(VLOOKUP($A170,'İşçi Bilgileri'!$A$2:$J$700,9,FALSE)=0,"",VLOOKUP($A170,'İşçi Bilgileri'!$A$2:$J$700,9,FALSE)))</f>
        <v>#N/A</v>
      </c>
      <c r="AM170" s="172" t="e">
        <f>IF($A170="","",IF(VLOOKUP($A170,'İşçi Bilgileri'!$A$2:$J$700,10,FALSE)=0,"",VLOOKUP($A170,'İşçi Bilgileri'!$A$2:$J$700,10,FALSE)))</f>
        <v>#N/A</v>
      </c>
    </row>
    <row r="171" spans="1:39" x14ac:dyDescent="0.2">
      <c r="A171" s="170">
        <v>163</v>
      </c>
      <c r="B171" s="147" t="e">
        <f>CONCATENATE(IF($A171="","",VLOOKUP($A171,'İşçi Bilgileri'!$A$2:$D$700,2,FALSE))," ",IF($A171="","",VLOOKUP($A171,'İşçi Bilgileri'!$A$2:$D$700,3,FALSE)))</f>
        <v>#N/A</v>
      </c>
      <c r="C171" s="171" t="e">
        <f>IF($A171="","",VLOOKUP($A171,'İşçi Bilgileri'!$A$2:$D$700,4,FALSE))</f>
        <v>#N/A</v>
      </c>
      <c r="D171" s="298"/>
      <c r="E171" s="298"/>
      <c r="F171" s="298"/>
      <c r="G171" s="298"/>
      <c r="H171" s="298"/>
      <c r="I171" s="298"/>
      <c r="J171" s="298"/>
      <c r="K171" s="298"/>
      <c r="L171" s="298"/>
      <c r="M171" s="298"/>
      <c r="N171" s="298"/>
      <c r="O171" s="298"/>
      <c r="P171" s="298"/>
      <c r="Q171" s="298"/>
      <c r="R171" s="298"/>
      <c r="S171" s="298"/>
      <c r="T171" s="298"/>
      <c r="U171" s="298"/>
      <c r="V171" s="298"/>
      <c r="W171" s="298"/>
      <c r="X171" s="298"/>
      <c r="Y171" s="298"/>
      <c r="Z171" s="298"/>
      <c r="AA171" s="298"/>
      <c r="AB171" s="298"/>
      <c r="AC171" s="298"/>
      <c r="AD171" s="298"/>
      <c r="AE171" s="298"/>
      <c r="AF171" s="298"/>
      <c r="AG171" s="298"/>
      <c r="AH171" s="298"/>
      <c r="AI171" s="166">
        <f t="shared" si="4"/>
        <v>0</v>
      </c>
      <c r="AJ171" s="166">
        <f t="shared" si="5"/>
        <v>0</v>
      </c>
      <c r="AK171" s="166"/>
      <c r="AL171" s="230" t="e">
        <f>IF($A171="","",IF(VLOOKUP($A171,'İşçi Bilgileri'!$A$2:$J$700,9,FALSE)=0,"",VLOOKUP($A171,'İşçi Bilgileri'!$A$2:$J$700,9,FALSE)))</f>
        <v>#N/A</v>
      </c>
      <c r="AM171" s="172" t="e">
        <f>IF($A171="","",IF(VLOOKUP($A171,'İşçi Bilgileri'!$A$2:$J$700,10,FALSE)=0,"",VLOOKUP($A171,'İşçi Bilgileri'!$A$2:$J$700,10,FALSE)))</f>
        <v>#N/A</v>
      </c>
    </row>
    <row r="172" spans="1:39" x14ac:dyDescent="0.2">
      <c r="A172" s="170">
        <v>164</v>
      </c>
      <c r="B172" s="147" t="e">
        <f>CONCATENATE(IF($A172="","",VLOOKUP($A172,'İşçi Bilgileri'!$A$2:$D$700,2,FALSE))," ",IF($A172="","",VLOOKUP($A172,'İşçi Bilgileri'!$A$2:$D$700,3,FALSE)))</f>
        <v>#N/A</v>
      </c>
      <c r="C172" s="171" t="e">
        <f>IF($A172="","",VLOOKUP($A172,'İşçi Bilgileri'!$A$2:$D$700,4,FALSE))</f>
        <v>#N/A</v>
      </c>
      <c r="D172" s="298"/>
      <c r="E172" s="298"/>
      <c r="F172" s="298"/>
      <c r="G172" s="298"/>
      <c r="H172" s="298"/>
      <c r="I172" s="298"/>
      <c r="J172" s="298"/>
      <c r="K172" s="298"/>
      <c r="L172" s="298"/>
      <c r="M172" s="298"/>
      <c r="N172" s="298"/>
      <c r="O172" s="298"/>
      <c r="P172" s="298"/>
      <c r="Q172" s="298"/>
      <c r="R172" s="298"/>
      <c r="S172" s="298"/>
      <c r="T172" s="298"/>
      <c r="U172" s="298"/>
      <c r="V172" s="298"/>
      <c r="W172" s="298"/>
      <c r="X172" s="298"/>
      <c r="Y172" s="298"/>
      <c r="Z172" s="298"/>
      <c r="AA172" s="298"/>
      <c r="AB172" s="298"/>
      <c r="AC172" s="298"/>
      <c r="AD172" s="298"/>
      <c r="AE172" s="298"/>
      <c r="AF172" s="298"/>
      <c r="AG172" s="298"/>
      <c r="AH172" s="298"/>
      <c r="AI172" s="166">
        <f t="shared" si="4"/>
        <v>0</v>
      </c>
      <c r="AJ172" s="166">
        <f t="shared" si="5"/>
        <v>0</v>
      </c>
      <c r="AK172" s="166"/>
      <c r="AL172" s="230" t="e">
        <f>IF($A172="","",IF(VLOOKUP($A172,'İşçi Bilgileri'!$A$2:$J$700,9,FALSE)=0,"",VLOOKUP($A172,'İşçi Bilgileri'!$A$2:$J$700,9,FALSE)))</f>
        <v>#N/A</v>
      </c>
      <c r="AM172" s="172" t="e">
        <f>IF($A172="","",IF(VLOOKUP($A172,'İşçi Bilgileri'!$A$2:$J$700,10,FALSE)=0,"",VLOOKUP($A172,'İşçi Bilgileri'!$A$2:$J$700,10,FALSE)))</f>
        <v>#N/A</v>
      </c>
    </row>
    <row r="173" spans="1:39" x14ac:dyDescent="0.2">
      <c r="A173" s="170">
        <v>165</v>
      </c>
      <c r="B173" s="147" t="e">
        <f>CONCATENATE(IF($A173="","",VLOOKUP($A173,'İşçi Bilgileri'!$A$2:$D$700,2,FALSE))," ",IF($A173="","",VLOOKUP($A173,'İşçi Bilgileri'!$A$2:$D$700,3,FALSE)))</f>
        <v>#N/A</v>
      </c>
      <c r="C173" s="171" t="e">
        <f>IF($A173="","",VLOOKUP($A173,'İşçi Bilgileri'!$A$2:$D$700,4,FALSE))</f>
        <v>#N/A</v>
      </c>
      <c r="D173" s="298"/>
      <c r="E173" s="298"/>
      <c r="F173" s="298"/>
      <c r="G173" s="298"/>
      <c r="H173" s="298"/>
      <c r="I173" s="298"/>
      <c r="J173" s="298"/>
      <c r="K173" s="298"/>
      <c r="L173" s="298"/>
      <c r="M173" s="298"/>
      <c r="N173" s="298"/>
      <c r="O173" s="298"/>
      <c r="P173" s="298"/>
      <c r="Q173" s="298"/>
      <c r="R173" s="298"/>
      <c r="S173" s="298"/>
      <c r="T173" s="298"/>
      <c r="U173" s="298"/>
      <c r="V173" s="298"/>
      <c r="W173" s="298"/>
      <c r="X173" s="298"/>
      <c r="Y173" s="298"/>
      <c r="Z173" s="298"/>
      <c r="AA173" s="298"/>
      <c r="AB173" s="298"/>
      <c r="AC173" s="298"/>
      <c r="AD173" s="298"/>
      <c r="AE173" s="298"/>
      <c r="AF173" s="298"/>
      <c r="AG173" s="298"/>
      <c r="AH173" s="298"/>
      <c r="AI173" s="166">
        <f t="shared" si="4"/>
        <v>0</v>
      </c>
      <c r="AJ173" s="166">
        <f t="shared" si="5"/>
        <v>0</v>
      </c>
      <c r="AK173" s="166"/>
      <c r="AL173" s="230" t="e">
        <f>IF($A173="","",IF(VLOOKUP($A173,'İşçi Bilgileri'!$A$2:$J$700,9,FALSE)=0,"",VLOOKUP($A173,'İşçi Bilgileri'!$A$2:$J$700,9,FALSE)))</f>
        <v>#N/A</v>
      </c>
      <c r="AM173" s="172" t="e">
        <f>IF($A173="","",IF(VLOOKUP($A173,'İşçi Bilgileri'!$A$2:$J$700,10,FALSE)=0,"",VLOOKUP($A173,'İşçi Bilgileri'!$A$2:$J$700,10,FALSE)))</f>
        <v>#N/A</v>
      </c>
    </row>
    <row r="174" spans="1:39" x14ac:dyDescent="0.2">
      <c r="A174" s="170">
        <v>166</v>
      </c>
      <c r="B174" s="147" t="e">
        <f>CONCATENATE(IF($A174="","",VLOOKUP($A174,'İşçi Bilgileri'!$A$2:$D$700,2,FALSE))," ",IF($A174="","",VLOOKUP($A174,'İşçi Bilgileri'!$A$2:$D$700,3,FALSE)))</f>
        <v>#N/A</v>
      </c>
      <c r="C174" s="171" t="e">
        <f>IF($A174="","",VLOOKUP($A174,'İşçi Bilgileri'!$A$2:$D$700,4,FALSE))</f>
        <v>#N/A</v>
      </c>
      <c r="D174" s="298"/>
      <c r="E174" s="298"/>
      <c r="F174" s="298"/>
      <c r="G174" s="298"/>
      <c r="H174" s="298"/>
      <c r="I174" s="298"/>
      <c r="J174" s="298"/>
      <c r="K174" s="298"/>
      <c r="L174" s="298"/>
      <c r="M174" s="298"/>
      <c r="N174" s="298"/>
      <c r="O174" s="298"/>
      <c r="P174" s="298"/>
      <c r="Q174" s="298"/>
      <c r="R174" s="298"/>
      <c r="S174" s="298"/>
      <c r="T174" s="298"/>
      <c r="U174" s="298"/>
      <c r="V174" s="298"/>
      <c r="W174" s="298"/>
      <c r="X174" s="298"/>
      <c r="Y174" s="298"/>
      <c r="Z174" s="298"/>
      <c r="AA174" s="298"/>
      <c r="AB174" s="298"/>
      <c r="AC174" s="298"/>
      <c r="AD174" s="298"/>
      <c r="AE174" s="298"/>
      <c r="AF174" s="298"/>
      <c r="AG174" s="298"/>
      <c r="AH174" s="298"/>
      <c r="AI174" s="166">
        <f t="shared" si="4"/>
        <v>0</v>
      </c>
      <c r="AJ174" s="166">
        <f t="shared" si="5"/>
        <v>0</v>
      </c>
      <c r="AK174" s="166"/>
      <c r="AL174" s="230" t="e">
        <f>IF($A174="","",IF(VLOOKUP($A174,'İşçi Bilgileri'!$A$2:$J$700,9,FALSE)=0,"",VLOOKUP($A174,'İşçi Bilgileri'!$A$2:$J$700,9,FALSE)))</f>
        <v>#N/A</v>
      </c>
      <c r="AM174" s="172" t="e">
        <f>IF($A174="","",IF(VLOOKUP($A174,'İşçi Bilgileri'!$A$2:$J$700,10,FALSE)=0,"",VLOOKUP($A174,'İşçi Bilgileri'!$A$2:$J$700,10,FALSE)))</f>
        <v>#N/A</v>
      </c>
    </row>
    <row r="175" spans="1:39" x14ac:dyDescent="0.2">
      <c r="A175" s="170">
        <v>167</v>
      </c>
      <c r="B175" s="147" t="e">
        <f>CONCATENATE(IF($A175="","",VLOOKUP($A175,'İşçi Bilgileri'!$A$2:$D$700,2,FALSE))," ",IF($A175="","",VLOOKUP($A175,'İşçi Bilgileri'!$A$2:$D$700,3,FALSE)))</f>
        <v>#N/A</v>
      </c>
      <c r="C175" s="171" t="e">
        <f>IF($A175="","",VLOOKUP($A175,'İşçi Bilgileri'!$A$2:$D$700,4,FALSE))</f>
        <v>#N/A</v>
      </c>
      <c r="D175" s="298"/>
      <c r="E175" s="298"/>
      <c r="F175" s="298"/>
      <c r="G175" s="298"/>
      <c r="H175" s="298"/>
      <c r="I175" s="298"/>
      <c r="J175" s="298"/>
      <c r="K175" s="298"/>
      <c r="L175" s="298"/>
      <c r="M175" s="298"/>
      <c r="N175" s="298"/>
      <c r="O175" s="298"/>
      <c r="P175" s="298"/>
      <c r="Q175" s="298"/>
      <c r="R175" s="298"/>
      <c r="S175" s="298"/>
      <c r="T175" s="298"/>
      <c r="U175" s="298"/>
      <c r="V175" s="298"/>
      <c r="W175" s="298"/>
      <c r="X175" s="298"/>
      <c r="Y175" s="298"/>
      <c r="Z175" s="298"/>
      <c r="AA175" s="298"/>
      <c r="AB175" s="298"/>
      <c r="AC175" s="298"/>
      <c r="AD175" s="298"/>
      <c r="AE175" s="298"/>
      <c r="AF175" s="298"/>
      <c r="AG175" s="298"/>
      <c r="AH175" s="298"/>
      <c r="AI175" s="166">
        <f t="shared" si="4"/>
        <v>0</v>
      </c>
      <c r="AJ175" s="166">
        <f t="shared" si="5"/>
        <v>0</v>
      </c>
      <c r="AK175" s="166"/>
      <c r="AL175" s="230" t="e">
        <f>IF($A175="","",IF(VLOOKUP($A175,'İşçi Bilgileri'!$A$2:$J$700,9,FALSE)=0,"",VLOOKUP($A175,'İşçi Bilgileri'!$A$2:$J$700,9,FALSE)))</f>
        <v>#N/A</v>
      </c>
      <c r="AM175" s="172" t="e">
        <f>IF($A175="","",IF(VLOOKUP($A175,'İşçi Bilgileri'!$A$2:$J$700,10,FALSE)=0,"",VLOOKUP($A175,'İşçi Bilgileri'!$A$2:$J$700,10,FALSE)))</f>
        <v>#N/A</v>
      </c>
    </row>
    <row r="176" spans="1:39" x14ac:dyDescent="0.2">
      <c r="A176" s="170">
        <v>168</v>
      </c>
      <c r="B176" s="147" t="e">
        <f>CONCATENATE(IF($A176="","",VLOOKUP($A176,'İşçi Bilgileri'!$A$2:$D$700,2,FALSE))," ",IF($A176="","",VLOOKUP($A176,'İşçi Bilgileri'!$A$2:$D$700,3,FALSE)))</f>
        <v>#N/A</v>
      </c>
      <c r="C176" s="171" t="e">
        <f>IF($A176="","",VLOOKUP($A176,'İşçi Bilgileri'!$A$2:$D$700,4,FALSE))</f>
        <v>#N/A</v>
      </c>
      <c r="D176" s="298"/>
      <c r="E176" s="298"/>
      <c r="F176" s="298"/>
      <c r="G176" s="298"/>
      <c r="H176" s="298"/>
      <c r="I176" s="298"/>
      <c r="J176" s="298"/>
      <c r="K176" s="298"/>
      <c r="L176" s="298"/>
      <c r="M176" s="298"/>
      <c r="N176" s="298"/>
      <c r="O176" s="298"/>
      <c r="P176" s="298"/>
      <c r="Q176" s="298"/>
      <c r="R176" s="298"/>
      <c r="S176" s="298"/>
      <c r="T176" s="298"/>
      <c r="U176" s="298"/>
      <c r="V176" s="298"/>
      <c r="W176" s="298"/>
      <c r="X176" s="298"/>
      <c r="Y176" s="298"/>
      <c r="Z176" s="298"/>
      <c r="AA176" s="298"/>
      <c r="AB176" s="298"/>
      <c r="AC176" s="298"/>
      <c r="AD176" s="298"/>
      <c r="AE176" s="298"/>
      <c r="AF176" s="298"/>
      <c r="AG176" s="298"/>
      <c r="AH176" s="298"/>
      <c r="AI176" s="166">
        <f t="shared" si="4"/>
        <v>0</v>
      </c>
      <c r="AJ176" s="166">
        <f t="shared" si="5"/>
        <v>0</v>
      </c>
      <c r="AK176" s="166"/>
      <c r="AL176" s="230" t="e">
        <f>IF($A176="","",IF(VLOOKUP($A176,'İşçi Bilgileri'!$A$2:$J$700,9,FALSE)=0,"",VLOOKUP($A176,'İşçi Bilgileri'!$A$2:$J$700,9,FALSE)))</f>
        <v>#N/A</v>
      </c>
      <c r="AM176" s="172" t="e">
        <f>IF($A176="","",IF(VLOOKUP($A176,'İşçi Bilgileri'!$A$2:$J$700,10,FALSE)=0,"",VLOOKUP($A176,'İşçi Bilgileri'!$A$2:$J$700,10,FALSE)))</f>
        <v>#N/A</v>
      </c>
    </row>
    <row r="177" spans="1:39" x14ac:dyDescent="0.2">
      <c r="A177" s="170">
        <v>169</v>
      </c>
      <c r="B177" s="147" t="e">
        <f>CONCATENATE(IF($A177="","",VLOOKUP($A177,'İşçi Bilgileri'!$A$2:$D$700,2,FALSE))," ",IF($A177="","",VLOOKUP($A177,'İşçi Bilgileri'!$A$2:$D$700,3,FALSE)))</f>
        <v>#N/A</v>
      </c>
      <c r="C177" s="171" t="e">
        <f>IF($A177="","",VLOOKUP($A177,'İşçi Bilgileri'!$A$2:$D$700,4,FALSE))</f>
        <v>#N/A</v>
      </c>
      <c r="D177" s="298"/>
      <c r="E177" s="298"/>
      <c r="F177" s="298"/>
      <c r="G177" s="298"/>
      <c r="H177" s="298"/>
      <c r="I177" s="298"/>
      <c r="J177" s="298"/>
      <c r="K177" s="298"/>
      <c r="L177" s="298"/>
      <c r="M177" s="298"/>
      <c r="N177" s="298"/>
      <c r="O177" s="298"/>
      <c r="P177" s="298"/>
      <c r="Q177" s="298"/>
      <c r="R177" s="298"/>
      <c r="S177" s="298"/>
      <c r="T177" s="298"/>
      <c r="U177" s="298"/>
      <c r="V177" s="298"/>
      <c r="W177" s="298"/>
      <c r="X177" s="298"/>
      <c r="Y177" s="298"/>
      <c r="Z177" s="298"/>
      <c r="AA177" s="298"/>
      <c r="AB177" s="298"/>
      <c r="AC177" s="298"/>
      <c r="AD177" s="298"/>
      <c r="AE177" s="298"/>
      <c r="AF177" s="298"/>
      <c r="AG177" s="298"/>
      <c r="AH177" s="298"/>
      <c r="AI177" s="166">
        <f t="shared" si="4"/>
        <v>0</v>
      </c>
      <c r="AJ177" s="166">
        <f t="shared" si="5"/>
        <v>0</v>
      </c>
      <c r="AK177" s="166"/>
      <c r="AL177" s="230" t="e">
        <f>IF($A177="","",IF(VLOOKUP($A177,'İşçi Bilgileri'!$A$2:$J$700,9,FALSE)=0,"",VLOOKUP($A177,'İşçi Bilgileri'!$A$2:$J$700,9,FALSE)))</f>
        <v>#N/A</v>
      </c>
      <c r="AM177" s="172" t="e">
        <f>IF($A177="","",IF(VLOOKUP($A177,'İşçi Bilgileri'!$A$2:$J$700,10,FALSE)=0,"",VLOOKUP($A177,'İşçi Bilgileri'!$A$2:$J$700,10,FALSE)))</f>
        <v>#N/A</v>
      </c>
    </row>
    <row r="178" spans="1:39" x14ac:dyDescent="0.2">
      <c r="A178" s="170">
        <v>170</v>
      </c>
      <c r="B178" s="147" t="e">
        <f>CONCATENATE(IF($A178="","",VLOOKUP($A178,'İşçi Bilgileri'!$A$2:$D$700,2,FALSE))," ",IF($A178="","",VLOOKUP($A178,'İşçi Bilgileri'!$A$2:$D$700,3,FALSE)))</f>
        <v>#N/A</v>
      </c>
      <c r="C178" s="171" t="e">
        <f>IF($A178="","",VLOOKUP($A178,'İşçi Bilgileri'!$A$2:$D$700,4,FALSE))</f>
        <v>#N/A</v>
      </c>
      <c r="D178" s="298"/>
      <c r="E178" s="298"/>
      <c r="F178" s="298"/>
      <c r="G178" s="298"/>
      <c r="H178" s="298"/>
      <c r="I178" s="298"/>
      <c r="J178" s="298"/>
      <c r="K178" s="298"/>
      <c r="L178" s="298"/>
      <c r="M178" s="298"/>
      <c r="N178" s="298"/>
      <c r="O178" s="298"/>
      <c r="P178" s="298"/>
      <c r="Q178" s="298"/>
      <c r="R178" s="298"/>
      <c r="S178" s="298"/>
      <c r="T178" s="298"/>
      <c r="U178" s="298"/>
      <c r="V178" s="298"/>
      <c r="W178" s="298"/>
      <c r="X178" s="298"/>
      <c r="Y178" s="298"/>
      <c r="Z178" s="298"/>
      <c r="AA178" s="298"/>
      <c r="AB178" s="298"/>
      <c r="AC178" s="298"/>
      <c r="AD178" s="298"/>
      <c r="AE178" s="298"/>
      <c r="AF178" s="298"/>
      <c r="AG178" s="298"/>
      <c r="AH178" s="298"/>
      <c r="AI178" s="166">
        <f t="shared" si="4"/>
        <v>0</v>
      </c>
      <c r="AJ178" s="166">
        <f t="shared" si="5"/>
        <v>0</v>
      </c>
      <c r="AK178" s="166"/>
      <c r="AL178" s="230" t="e">
        <f>IF($A178="","",IF(VLOOKUP($A178,'İşçi Bilgileri'!$A$2:$J$700,9,FALSE)=0,"",VLOOKUP($A178,'İşçi Bilgileri'!$A$2:$J$700,9,FALSE)))</f>
        <v>#N/A</v>
      </c>
      <c r="AM178" s="172" t="e">
        <f>IF($A178="","",IF(VLOOKUP($A178,'İşçi Bilgileri'!$A$2:$J$700,10,FALSE)=0,"",VLOOKUP($A178,'İşçi Bilgileri'!$A$2:$J$700,10,FALSE)))</f>
        <v>#N/A</v>
      </c>
    </row>
    <row r="179" spans="1:39" x14ac:dyDescent="0.2">
      <c r="A179" s="170">
        <v>171</v>
      </c>
      <c r="B179" s="147" t="e">
        <f>CONCATENATE(IF($A179="","",VLOOKUP($A179,'İşçi Bilgileri'!$A$2:$D$700,2,FALSE))," ",IF($A179="","",VLOOKUP($A179,'İşçi Bilgileri'!$A$2:$D$700,3,FALSE)))</f>
        <v>#N/A</v>
      </c>
      <c r="C179" s="171" t="e">
        <f>IF($A179="","",VLOOKUP($A179,'İşçi Bilgileri'!$A$2:$D$700,4,FALSE))</f>
        <v>#N/A</v>
      </c>
      <c r="D179" s="298"/>
      <c r="E179" s="298"/>
      <c r="F179" s="298"/>
      <c r="G179" s="298"/>
      <c r="H179" s="298"/>
      <c r="I179" s="298"/>
      <c r="J179" s="298"/>
      <c r="K179" s="298"/>
      <c r="L179" s="298"/>
      <c r="M179" s="298"/>
      <c r="N179" s="298"/>
      <c r="O179" s="298"/>
      <c r="P179" s="298"/>
      <c r="Q179" s="298"/>
      <c r="R179" s="298"/>
      <c r="S179" s="298"/>
      <c r="T179" s="298"/>
      <c r="U179" s="298"/>
      <c r="V179" s="298"/>
      <c r="W179" s="298"/>
      <c r="X179" s="298"/>
      <c r="Y179" s="298"/>
      <c r="Z179" s="298"/>
      <c r="AA179" s="298"/>
      <c r="AB179" s="298"/>
      <c r="AC179" s="298"/>
      <c r="AD179" s="298"/>
      <c r="AE179" s="298"/>
      <c r="AF179" s="298"/>
      <c r="AG179" s="298"/>
      <c r="AH179" s="298"/>
      <c r="AI179" s="166">
        <f t="shared" si="4"/>
        <v>0</v>
      </c>
      <c r="AJ179" s="166">
        <f t="shared" si="5"/>
        <v>0</v>
      </c>
      <c r="AK179" s="166"/>
      <c r="AL179" s="230" t="e">
        <f>IF($A179="","",IF(VLOOKUP($A179,'İşçi Bilgileri'!$A$2:$J$700,9,FALSE)=0,"",VLOOKUP($A179,'İşçi Bilgileri'!$A$2:$J$700,9,FALSE)))</f>
        <v>#N/A</v>
      </c>
      <c r="AM179" s="172" t="e">
        <f>IF($A179="","",IF(VLOOKUP($A179,'İşçi Bilgileri'!$A$2:$J$700,10,FALSE)=0,"",VLOOKUP($A179,'İşçi Bilgileri'!$A$2:$J$700,10,FALSE)))</f>
        <v>#N/A</v>
      </c>
    </row>
    <row r="180" spans="1:39" x14ac:dyDescent="0.2">
      <c r="A180" s="170">
        <v>172</v>
      </c>
      <c r="B180" s="147" t="e">
        <f>CONCATENATE(IF($A180="","",VLOOKUP($A180,'İşçi Bilgileri'!$A$2:$D$700,2,FALSE))," ",IF($A180="","",VLOOKUP($A180,'İşçi Bilgileri'!$A$2:$D$700,3,FALSE)))</f>
        <v>#N/A</v>
      </c>
      <c r="C180" s="171" t="e">
        <f>IF($A180="","",VLOOKUP($A180,'İşçi Bilgileri'!$A$2:$D$700,4,FALSE))</f>
        <v>#N/A</v>
      </c>
      <c r="D180" s="298"/>
      <c r="E180" s="298"/>
      <c r="F180" s="298"/>
      <c r="G180" s="298"/>
      <c r="H180" s="298"/>
      <c r="I180" s="298"/>
      <c r="J180" s="298"/>
      <c r="K180" s="298"/>
      <c r="L180" s="298"/>
      <c r="M180" s="298"/>
      <c r="N180" s="298"/>
      <c r="O180" s="298"/>
      <c r="P180" s="298"/>
      <c r="Q180" s="298"/>
      <c r="R180" s="298"/>
      <c r="S180" s="298"/>
      <c r="T180" s="298"/>
      <c r="U180" s="298"/>
      <c r="V180" s="298"/>
      <c r="W180" s="298"/>
      <c r="X180" s="298"/>
      <c r="Y180" s="298"/>
      <c r="Z180" s="298"/>
      <c r="AA180" s="298"/>
      <c r="AB180" s="298"/>
      <c r="AC180" s="298"/>
      <c r="AD180" s="298"/>
      <c r="AE180" s="298"/>
      <c r="AF180" s="298"/>
      <c r="AG180" s="298"/>
      <c r="AH180" s="298"/>
      <c r="AI180" s="166">
        <f t="shared" si="4"/>
        <v>0</v>
      </c>
      <c r="AJ180" s="166">
        <f t="shared" si="5"/>
        <v>0</v>
      </c>
      <c r="AK180" s="166"/>
      <c r="AL180" s="230" t="e">
        <f>IF($A180="","",IF(VLOOKUP($A180,'İşçi Bilgileri'!$A$2:$J$700,9,FALSE)=0,"",VLOOKUP($A180,'İşçi Bilgileri'!$A$2:$J$700,9,FALSE)))</f>
        <v>#N/A</v>
      </c>
      <c r="AM180" s="172" t="e">
        <f>IF($A180="","",IF(VLOOKUP($A180,'İşçi Bilgileri'!$A$2:$J$700,10,FALSE)=0,"",VLOOKUP($A180,'İşçi Bilgileri'!$A$2:$J$700,10,FALSE)))</f>
        <v>#N/A</v>
      </c>
    </row>
    <row r="181" spans="1:39" x14ac:dyDescent="0.2">
      <c r="A181" s="170">
        <v>173</v>
      </c>
      <c r="B181" s="147" t="e">
        <f>CONCATENATE(IF($A181="","",VLOOKUP($A181,'İşçi Bilgileri'!$A$2:$D$700,2,FALSE))," ",IF($A181="","",VLOOKUP($A181,'İşçi Bilgileri'!$A$2:$D$700,3,FALSE)))</f>
        <v>#N/A</v>
      </c>
      <c r="C181" s="171" t="e">
        <f>IF($A181="","",VLOOKUP($A181,'İşçi Bilgileri'!$A$2:$D$700,4,FALSE))</f>
        <v>#N/A</v>
      </c>
      <c r="D181" s="298"/>
      <c r="E181" s="298"/>
      <c r="F181" s="298"/>
      <c r="G181" s="298"/>
      <c r="H181" s="298"/>
      <c r="I181" s="298"/>
      <c r="J181" s="298"/>
      <c r="K181" s="298"/>
      <c r="L181" s="298"/>
      <c r="M181" s="298"/>
      <c r="N181" s="298"/>
      <c r="O181" s="298"/>
      <c r="P181" s="298"/>
      <c r="Q181" s="298"/>
      <c r="R181" s="298"/>
      <c r="S181" s="298"/>
      <c r="T181" s="298"/>
      <c r="U181" s="298"/>
      <c r="V181" s="298"/>
      <c r="W181" s="298"/>
      <c r="X181" s="298"/>
      <c r="Y181" s="298"/>
      <c r="Z181" s="298"/>
      <c r="AA181" s="298"/>
      <c r="AB181" s="298"/>
      <c r="AC181" s="298"/>
      <c r="AD181" s="298"/>
      <c r="AE181" s="298"/>
      <c r="AF181" s="298"/>
      <c r="AG181" s="298"/>
      <c r="AH181" s="298"/>
      <c r="AI181" s="166">
        <f t="shared" si="4"/>
        <v>0</v>
      </c>
      <c r="AJ181" s="166">
        <f t="shared" si="5"/>
        <v>0</v>
      </c>
      <c r="AK181" s="166"/>
      <c r="AL181" s="230" t="e">
        <f>IF($A181="","",IF(VLOOKUP($A181,'İşçi Bilgileri'!$A$2:$J$700,9,FALSE)=0,"",VLOOKUP($A181,'İşçi Bilgileri'!$A$2:$J$700,9,FALSE)))</f>
        <v>#N/A</v>
      </c>
      <c r="AM181" s="172" t="e">
        <f>IF($A181="","",IF(VLOOKUP($A181,'İşçi Bilgileri'!$A$2:$J$700,10,FALSE)=0,"",VLOOKUP($A181,'İşçi Bilgileri'!$A$2:$J$700,10,FALSE)))</f>
        <v>#N/A</v>
      </c>
    </row>
    <row r="182" spans="1:39" x14ac:dyDescent="0.2">
      <c r="A182" s="170">
        <v>174</v>
      </c>
      <c r="B182" s="147" t="e">
        <f>CONCATENATE(IF($A182="","",VLOOKUP($A182,'İşçi Bilgileri'!$A$2:$D$700,2,FALSE))," ",IF($A182="","",VLOOKUP($A182,'İşçi Bilgileri'!$A$2:$D$700,3,FALSE)))</f>
        <v>#N/A</v>
      </c>
      <c r="C182" s="171" t="e">
        <f>IF($A182="","",VLOOKUP($A182,'İşçi Bilgileri'!$A$2:$D$700,4,FALSE))</f>
        <v>#N/A</v>
      </c>
      <c r="D182" s="298"/>
      <c r="E182" s="298"/>
      <c r="F182" s="298"/>
      <c r="G182" s="298"/>
      <c r="H182" s="298"/>
      <c r="I182" s="298"/>
      <c r="J182" s="298"/>
      <c r="K182" s="298"/>
      <c r="L182" s="298"/>
      <c r="M182" s="298"/>
      <c r="N182" s="298"/>
      <c r="O182" s="298"/>
      <c r="P182" s="298"/>
      <c r="Q182" s="298"/>
      <c r="R182" s="298"/>
      <c r="S182" s="298"/>
      <c r="T182" s="298"/>
      <c r="U182" s="298"/>
      <c r="V182" s="298"/>
      <c r="W182" s="298"/>
      <c r="X182" s="298"/>
      <c r="Y182" s="298"/>
      <c r="Z182" s="298"/>
      <c r="AA182" s="298"/>
      <c r="AB182" s="298"/>
      <c r="AC182" s="298"/>
      <c r="AD182" s="298"/>
      <c r="AE182" s="298"/>
      <c r="AF182" s="298"/>
      <c r="AG182" s="298"/>
      <c r="AH182" s="298"/>
      <c r="AI182" s="166">
        <f t="shared" si="4"/>
        <v>0</v>
      </c>
      <c r="AJ182" s="166">
        <f t="shared" si="5"/>
        <v>0</v>
      </c>
      <c r="AK182" s="166"/>
      <c r="AL182" s="230" t="e">
        <f>IF($A182="","",IF(VLOOKUP($A182,'İşçi Bilgileri'!$A$2:$J$700,9,FALSE)=0,"",VLOOKUP($A182,'İşçi Bilgileri'!$A$2:$J$700,9,FALSE)))</f>
        <v>#N/A</v>
      </c>
      <c r="AM182" s="172" t="e">
        <f>IF($A182="","",IF(VLOOKUP($A182,'İşçi Bilgileri'!$A$2:$J$700,10,FALSE)=0,"",VLOOKUP($A182,'İşçi Bilgileri'!$A$2:$J$700,10,FALSE)))</f>
        <v>#N/A</v>
      </c>
    </row>
    <row r="183" spans="1:39" x14ac:dyDescent="0.2">
      <c r="A183" s="170">
        <v>175</v>
      </c>
      <c r="B183" s="147" t="e">
        <f>CONCATENATE(IF($A183="","",VLOOKUP($A183,'İşçi Bilgileri'!$A$2:$D$700,2,FALSE))," ",IF($A183="","",VLOOKUP($A183,'İşçi Bilgileri'!$A$2:$D$700,3,FALSE)))</f>
        <v>#N/A</v>
      </c>
      <c r="C183" s="171" t="e">
        <f>IF($A183="","",VLOOKUP($A183,'İşçi Bilgileri'!$A$2:$D$700,4,FALSE))</f>
        <v>#N/A</v>
      </c>
      <c r="D183" s="298"/>
      <c r="E183" s="298"/>
      <c r="F183" s="298"/>
      <c r="G183" s="298"/>
      <c r="H183" s="298"/>
      <c r="I183" s="298"/>
      <c r="J183" s="298"/>
      <c r="K183" s="298"/>
      <c r="L183" s="298"/>
      <c r="M183" s="298"/>
      <c r="N183" s="298"/>
      <c r="O183" s="298"/>
      <c r="P183" s="298"/>
      <c r="Q183" s="298"/>
      <c r="R183" s="298"/>
      <c r="S183" s="298"/>
      <c r="T183" s="298"/>
      <c r="U183" s="298"/>
      <c r="V183" s="298"/>
      <c r="W183" s="298"/>
      <c r="X183" s="298"/>
      <c r="Y183" s="298"/>
      <c r="Z183" s="298"/>
      <c r="AA183" s="298"/>
      <c r="AB183" s="298"/>
      <c r="AC183" s="298"/>
      <c r="AD183" s="298"/>
      <c r="AE183" s="298"/>
      <c r="AF183" s="298"/>
      <c r="AG183" s="298"/>
      <c r="AH183" s="298"/>
      <c r="AI183" s="166">
        <f t="shared" si="4"/>
        <v>0</v>
      </c>
      <c r="AJ183" s="166">
        <f t="shared" si="5"/>
        <v>0</v>
      </c>
      <c r="AK183" s="166"/>
      <c r="AL183" s="230" t="e">
        <f>IF($A183="","",IF(VLOOKUP($A183,'İşçi Bilgileri'!$A$2:$J$700,9,FALSE)=0,"",VLOOKUP($A183,'İşçi Bilgileri'!$A$2:$J$700,9,FALSE)))</f>
        <v>#N/A</v>
      </c>
      <c r="AM183" s="172" t="e">
        <f>IF($A183="","",IF(VLOOKUP($A183,'İşçi Bilgileri'!$A$2:$J$700,10,FALSE)=0,"",VLOOKUP($A183,'İşçi Bilgileri'!$A$2:$J$700,10,FALSE)))</f>
        <v>#N/A</v>
      </c>
    </row>
    <row r="184" spans="1:39" x14ac:dyDescent="0.2">
      <c r="A184" s="170">
        <v>176</v>
      </c>
      <c r="B184" s="147" t="e">
        <f>CONCATENATE(IF($A184="","",VLOOKUP($A184,'İşçi Bilgileri'!$A$2:$D$700,2,FALSE))," ",IF($A184="","",VLOOKUP($A184,'İşçi Bilgileri'!$A$2:$D$700,3,FALSE)))</f>
        <v>#N/A</v>
      </c>
      <c r="C184" s="171" t="e">
        <f>IF($A184="","",VLOOKUP($A184,'İşçi Bilgileri'!$A$2:$D$700,4,FALSE))</f>
        <v>#N/A</v>
      </c>
      <c r="D184" s="298"/>
      <c r="E184" s="298"/>
      <c r="F184" s="298"/>
      <c r="G184" s="298"/>
      <c r="H184" s="298"/>
      <c r="I184" s="298"/>
      <c r="J184" s="298"/>
      <c r="K184" s="298"/>
      <c r="L184" s="298"/>
      <c r="M184" s="298"/>
      <c r="N184" s="298"/>
      <c r="O184" s="298"/>
      <c r="P184" s="298"/>
      <c r="Q184" s="298"/>
      <c r="R184" s="298"/>
      <c r="S184" s="298"/>
      <c r="T184" s="298"/>
      <c r="U184" s="298"/>
      <c r="V184" s="298"/>
      <c r="W184" s="298"/>
      <c r="X184" s="298"/>
      <c r="Y184" s="298"/>
      <c r="Z184" s="298"/>
      <c r="AA184" s="298"/>
      <c r="AB184" s="298"/>
      <c r="AC184" s="298"/>
      <c r="AD184" s="298"/>
      <c r="AE184" s="298"/>
      <c r="AF184" s="298"/>
      <c r="AG184" s="298"/>
      <c r="AH184" s="298"/>
      <c r="AI184" s="166">
        <f t="shared" si="4"/>
        <v>0</v>
      </c>
      <c r="AJ184" s="166">
        <f t="shared" si="5"/>
        <v>0</v>
      </c>
      <c r="AK184" s="166"/>
      <c r="AL184" s="230" t="e">
        <f>IF($A184="","",IF(VLOOKUP($A184,'İşçi Bilgileri'!$A$2:$J$700,9,FALSE)=0,"",VLOOKUP($A184,'İşçi Bilgileri'!$A$2:$J$700,9,FALSE)))</f>
        <v>#N/A</v>
      </c>
      <c r="AM184" s="172" t="e">
        <f>IF($A184="","",IF(VLOOKUP($A184,'İşçi Bilgileri'!$A$2:$J$700,10,FALSE)=0,"",VLOOKUP($A184,'İşçi Bilgileri'!$A$2:$J$700,10,FALSE)))</f>
        <v>#N/A</v>
      </c>
    </row>
    <row r="185" spans="1:39" x14ac:dyDescent="0.2">
      <c r="A185" s="170">
        <v>177</v>
      </c>
      <c r="B185" s="147" t="e">
        <f>CONCATENATE(IF($A185="","",VLOOKUP($A185,'İşçi Bilgileri'!$A$2:$D$700,2,FALSE))," ",IF($A185="","",VLOOKUP($A185,'İşçi Bilgileri'!$A$2:$D$700,3,FALSE)))</f>
        <v>#N/A</v>
      </c>
      <c r="C185" s="171" t="e">
        <f>IF($A185="","",VLOOKUP($A185,'İşçi Bilgileri'!$A$2:$D$700,4,FALSE))</f>
        <v>#N/A</v>
      </c>
      <c r="D185" s="298"/>
      <c r="E185" s="298"/>
      <c r="F185" s="298"/>
      <c r="G185" s="298"/>
      <c r="H185" s="298"/>
      <c r="I185" s="298"/>
      <c r="J185" s="298"/>
      <c r="K185" s="298"/>
      <c r="L185" s="298"/>
      <c r="M185" s="298"/>
      <c r="N185" s="298"/>
      <c r="O185" s="298"/>
      <c r="P185" s="298"/>
      <c r="Q185" s="298"/>
      <c r="R185" s="298"/>
      <c r="S185" s="298"/>
      <c r="T185" s="298"/>
      <c r="U185" s="298"/>
      <c r="V185" s="298"/>
      <c r="W185" s="298"/>
      <c r="X185" s="298"/>
      <c r="Y185" s="298"/>
      <c r="Z185" s="298"/>
      <c r="AA185" s="298"/>
      <c r="AB185" s="298"/>
      <c r="AC185" s="298"/>
      <c r="AD185" s="298"/>
      <c r="AE185" s="298"/>
      <c r="AF185" s="298"/>
      <c r="AG185" s="298"/>
      <c r="AH185" s="298"/>
      <c r="AI185" s="166">
        <f t="shared" si="4"/>
        <v>0</v>
      </c>
      <c r="AJ185" s="166">
        <f t="shared" si="5"/>
        <v>0</v>
      </c>
      <c r="AK185" s="166"/>
      <c r="AL185" s="230" t="e">
        <f>IF($A185="","",IF(VLOOKUP($A185,'İşçi Bilgileri'!$A$2:$J$700,9,FALSE)=0,"",VLOOKUP($A185,'İşçi Bilgileri'!$A$2:$J$700,9,FALSE)))</f>
        <v>#N/A</v>
      </c>
      <c r="AM185" s="172" t="e">
        <f>IF($A185="","",IF(VLOOKUP($A185,'İşçi Bilgileri'!$A$2:$J$700,10,FALSE)=0,"",VLOOKUP($A185,'İşçi Bilgileri'!$A$2:$J$700,10,FALSE)))</f>
        <v>#N/A</v>
      </c>
    </row>
    <row r="186" spans="1:39" x14ac:dyDescent="0.2">
      <c r="A186" s="170">
        <v>178</v>
      </c>
      <c r="B186" s="147" t="e">
        <f>CONCATENATE(IF($A186="","",VLOOKUP($A186,'İşçi Bilgileri'!$A$2:$D$700,2,FALSE))," ",IF($A186="","",VLOOKUP($A186,'İşçi Bilgileri'!$A$2:$D$700,3,FALSE)))</f>
        <v>#N/A</v>
      </c>
      <c r="C186" s="171" t="e">
        <f>IF($A186="","",VLOOKUP($A186,'İşçi Bilgileri'!$A$2:$D$700,4,FALSE))</f>
        <v>#N/A</v>
      </c>
      <c r="D186" s="298"/>
      <c r="E186" s="298"/>
      <c r="F186" s="298"/>
      <c r="G186" s="298"/>
      <c r="H186" s="298"/>
      <c r="I186" s="298"/>
      <c r="J186" s="298"/>
      <c r="K186" s="298"/>
      <c r="L186" s="298"/>
      <c r="M186" s="298"/>
      <c r="N186" s="298"/>
      <c r="O186" s="298"/>
      <c r="P186" s="298"/>
      <c r="Q186" s="298"/>
      <c r="R186" s="298"/>
      <c r="S186" s="298"/>
      <c r="T186" s="298"/>
      <c r="U186" s="298"/>
      <c r="V186" s="298"/>
      <c r="W186" s="298"/>
      <c r="X186" s="298"/>
      <c r="Y186" s="298"/>
      <c r="Z186" s="298"/>
      <c r="AA186" s="298"/>
      <c r="AB186" s="298"/>
      <c r="AC186" s="298"/>
      <c r="AD186" s="298"/>
      <c r="AE186" s="298"/>
      <c r="AF186" s="298"/>
      <c r="AG186" s="298"/>
      <c r="AH186" s="298"/>
      <c r="AI186" s="166">
        <f t="shared" si="4"/>
        <v>0</v>
      </c>
      <c r="AJ186" s="166">
        <f t="shared" si="5"/>
        <v>0</v>
      </c>
      <c r="AK186" s="166"/>
      <c r="AL186" s="230" t="e">
        <f>IF($A186="","",IF(VLOOKUP($A186,'İşçi Bilgileri'!$A$2:$J$700,9,FALSE)=0,"",VLOOKUP($A186,'İşçi Bilgileri'!$A$2:$J$700,9,FALSE)))</f>
        <v>#N/A</v>
      </c>
      <c r="AM186" s="172" t="e">
        <f>IF($A186="","",IF(VLOOKUP($A186,'İşçi Bilgileri'!$A$2:$J$700,10,FALSE)=0,"",VLOOKUP($A186,'İşçi Bilgileri'!$A$2:$J$700,10,FALSE)))</f>
        <v>#N/A</v>
      </c>
    </row>
    <row r="187" spans="1:39" x14ac:dyDescent="0.2">
      <c r="A187" s="170">
        <v>179</v>
      </c>
      <c r="B187" s="147" t="e">
        <f>CONCATENATE(IF($A187="","",VLOOKUP($A187,'İşçi Bilgileri'!$A$2:$D$700,2,FALSE))," ",IF($A187="","",VLOOKUP($A187,'İşçi Bilgileri'!$A$2:$D$700,3,FALSE)))</f>
        <v>#N/A</v>
      </c>
      <c r="C187" s="171" t="e">
        <f>IF($A187="","",VLOOKUP($A187,'İşçi Bilgileri'!$A$2:$D$700,4,FALSE))</f>
        <v>#N/A</v>
      </c>
      <c r="D187" s="298"/>
      <c r="E187" s="298"/>
      <c r="F187" s="298"/>
      <c r="G187" s="298"/>
      <c r="H187" s="298"/>
      <c r="I187" s="298"/>
      <c r="J187" s="298"/>
      <c r="K187" s="298"/>
      <c r="L187" s="298"/>
      <c r="M187" s="298"/>
      <c r="N187" s="298"/>
      <c r="O187" s="298"/>
      <c r="P187" s="298"/>
      <c r="Q187" s="298"/>
      <c r="R187" s="298"/>
      <c r="S187" s="298"/>
      <c r="T187" s="298"/>
      <c r="U187" s="298"/>
      <c r="V187" s="298"/>
      <c r="W187" s="298"/>
      <c r="X187" s="298"/>
      <c r="Y187" s="298"/>
      <c r="Z187" s="298"/>
      <c r="AA187" s="298"/>
      <c r="AB187" s="298"/>
      <c r="AC187" s="298"/>
      <c r="AD187" s="298"/>
      <c r="AE187" s="298"/>
      <c r="AF187" s="298"/>
      <c r="AG187" s="298"/>
      <c r="AH187" s="298"/>
      <c r="AI187" s="166">
        <f t="shared" si="4"/>
        <v>0</v>
      </c>
      <c r="AJ187" s="166">
        <f t="shared" si="5"/>
        <v>0</v>
      </c>
      <c r="AK187" s="166"/>
      <c r="AL187" s="230" t="e">
        <f>IF($A187="","",IF(VLOOKUP($A187,'İşçi Bilgileri'!$A$2:$J$700,9,FALSE)=0,"",VLOOKUP($A187,'İşçi Bilgileri'!$A$2:$J$700,9,FALSE)))</f>
        <v>#N/A</v>
      </c>
      <c r="AM187" s="172" t="e">
        <f>IF($A187="","",IF(VLOOKUP($A187,'İşçi Bilgileri'!$A$2:$J$700,10,FALSE)=0,"",VLOOKUP($A187,'İşçi Bilgileri'!$A$2:$J$700,10,FALSE)))</f>
        <v>#N/A</v>
      </c>
    </row>
    <row r="188" spans="1:39" x14ac:dyDescent="0.2">
      <c r="A188" s="170">
        <v>180</v>
      </c>
      <c r="B188" s="147" t="e">
        <f>CONCATENATE(IF($A188="","",VLOOKUP($A188,'İşçi Bilgileri'!$A$2:$D$700,2,FALSE))," ",IF($A188="","",VLOOKUP($A188,'İşçi Bilgileri'!$A$2:$D$700,3,FALSE)))</f>
        <v>#N/A</v>
      </c>
      <c r="C188" s="171" t="e">
        <f>IF($A188="","",VLOOKUP($A188,'İşçi Bilgileri'!$A$2:$D$700,4,FALSE))</f>
        <v>#N/A</v>
      </c>
      <c r="D188" s="298"/>
      <c r="E188" s="298"/>
      <c r="F188" s="298"/>
      <c r="G188" s="298"/>
      <c r="H188" s="298"/>
      <c r="I188" s="298"/>
      <c r="J188" s="298"/>
      <c r="K188" s="298"/>
      <c r="L188" s="298"/>
      <c r="M188" s="298"/>
      <c r="N188" s="298"/>
      <c r="O188" s="298"/>
      <c r="P188" s="298"/>
      <c r="Q188" s="298"/>
      <c r="R188" s="298"/>
      <c r="S188" s="298"/>
      <c r="T188" s="298"/>
      <c r="U188" s="298"/>
      <c r="V188" s="298"/>
      <c r="W188" s="298"/>
      <c r="X188" s="298"/>
      <c r="Y188" s="298"/>
      <c r="Z188" s="298"/>
      <c r="AA188" s="298"/>
      <c r="AB188" s="298"/>
      <c r="AC188" s="298"/>
      <c r="AD188" s="298"/>
      <c r="AE188" s="298"/>
      <c r="AF188" s="298"/>
      <c r="AG188" s="298"/>
      <c r="AH188" s="298"/>
      <c r="AI188" s="166">
        <f t="shared" si="4"/>
        <v>0</v>
      </c>
      <c r="AJ188" s="166">
        <f t="shared" si="5"/>
        <v>0</v>
      </c>
      <c r="AK188" s="166"/>
      <c r="AL188" s="230" t="e">
        <f>IF($A188="","",IF(VLOOKUP($A188,'İşçi Bilgileri'!$A$2:$J$700,9,FALSE)=0,"",VLOOKUP($A188,'İşçi Bilgileri'!$A$2:$J$700,9,FALSE)))</f>
        <v>#N/A</v>
      </c>
      <c r="AM188" s="172" t="e">
        <f>IF($A188="","",IF(VLOOKUP($A188,'İşçi Bilgileri'!$A$2:$J$700,10,FALSE)=0,"",VLOOKUP($A188,'İşçi Bilgileri'!$A$2:$J$700,10,FALSE)))</f>
        <v>#N/A</v>
      </c>
    </row>
    <row r="189" spans="1:39" x14ac:dyDescent="0.2">
      <c r="A189" s="170">
        <v>181</v>
      </c>
      <c r="B189" s="147" t="e">
        <f>CONCATENATE(IF($A189="","",VLOOKUP($A189,'İşçi Bilgileri'!$A$2:$D$700,2,FALSE))," ",IF($A189="","",VLOOKUP($A189,'İşçi Bilgileri'!$A$2:$D$700,3,FALSE)))</f>
        <v>#N/A</v>
      </c>
      <c r="C189" s="171" t="e">
        <f>IF($A189="","",VLOOKUP($A189,'İşçi Bilgileri'!$A$2:$D$700,4,FALSE))</f>
        <v>#N/A</v>
      </c>
      <c r="D189" s="298"/>
      <c r="E189" s="298"/>
      <c r="F189" s="298"/>
      <c r="G189" s="298"/>
      <c r="H189" s="298"/>
      <c r="I189" s="298"/>
      <c r="J189" s="298"/>
      <c r="K189" s="298"/>
      <c r="L189" s="298"/>
      <c r="M189" s="298"/>
      <c r="N189" s="298"/>
      <c r="O189" s="298"/>
      <c r="P189" s="298"/>
      <c r="Q189" s="298"/>
      <c r="R189" s="298"/>
      <c r="S189" s="298"/>
      <c r="T189" s="298"/>
      <c r="U189" s="298"/>
      <c r="V189" s="298"/>
      <c r="W189" s="298"/>
      <c r="X189" s="298"/>
      <c r="Y189" s="298"/>
      <c r="Z189" s="298"/>
      <c r="AA189" s="298"/>
      <c r="AB189" s="298"/>
      <c r="AC189" s="298"/>
      <c r="AD189" s="298"/>
      <c r="AE189" s="298"/>
      <c r="AF189" s="298"/>
      <c r="AG189" s="298"/>
      <c r="AH189" s="298"/>
      <c r="AI189" s="166">
        <f t="shared" si="4"/>
        <v>0</v>
      </c>
      <c r="AJ189" s="166">
        <f t="shared" si="5"/>
        <v>0</v>
      </c>
      <c r="AK189" s="166"/>
      <c r="AL189" s="230" t="e">
        <f>IF($A189="","",IF(VLOOKUP($A189,'İşçi Bilgileri'!$A$2:$J$700,9,FALSE)=0,"",VLOOKUP($A189,'İşçi Bilgileri'!$A$2:$J$700,9,FALSE)))</f>
        <v>#N/A</v>
      </c>
      <c r="AM189" s="172" t="e">
        <f>IF($A189="","",IF(VLOOKUP($A189,'İşçi Bilgileri'!$A$2:$J$700,10,FALSE)=0,"",VLOOKUP($A189,'İşçi Bilgileri'!$A$2:$J$700,10,FALSE)))</f>
        <v>#N/A</v>
      </c>
    </row>
    <row r="190" spans="1:39" x14ac:dyDescent="0.2">
      <c r="A190" s="170">
        <v>182</v>
      </c>
      <c r="B190" s="147" t="e">
        <f>CONCATENATE(IF($A190="","",VLOOKUP($A190,'İşçi Bilgileri'!$A$2:$D$700,2,FALSE))," ",IF($A190="","",VLOOKUP($A190,'İşçi Bilgileri'!$A$2:$D$700,3,FALSE)))</f>
        <v>#N/A</v>
      </c>
      <c r="C190" s="171" t="e">
        <f>IF($A190="","",VLOOKUP($A190,'İşçi Bilgileri'!$A$2:$D$700,4,FALSE))</f>
        <v>#N/A</v>
      </c>
      <c r="D190" s="298"/>
      <c r="E190" s="298"/>
      <c r="F190" s="298"/>
      <c r="G190" s="298"/>
      <c r="H190" s="298"/>
      <c r="I190" s="298"/>
      <c r="J190" s="298"/>
      <c r="K190" s="298"/>
      <c r="L190" s="298"/>
      <c r="M190" s="298"/>
      <c r="N190" s="298"/>
      <c r="O190" s="298"/>
      <c r="P190" s="298"/>
      <c r="Q190" s="298"/>
      <c r="R190" s="298"/>
      <c r="S190" s="298"/>
      <c r="T190" s="298"/>
      <c r="U190" s="298"/>
      <c r="V190" s="298"/>
      <c r="W190" s="298"/>
      <c r="X190" s="298"/>
      <c r="Y190" s="298"/>
      <c r="Z190" s="298"/>
      <c r="AA190" s="298"/>
      <c r="AB190" s="298"/>
      <c r="AC190" s="298"/>
      <c r="AD190" s="298"/>
      <c r="AE190" s="298"/>
      <c r="AF190" s="298"/>
      <c r="AG190" s="298"/>
      <c r="AH190" s="298"/>
      <c r="AI190" s="166">
        <f t="shared" si="4"/>
        <v>0</v>
      </c>
      <c r="AJ190" s="166">
        <f t="shared" si="5"/>
        <v>0</v>
      </c>
      <c r="AK190" s="166"/>
      <c r="AL190" s="230" t="e">
        <f>IF($A190="","",IF(VLOOKUP($A190,'İşçi Bilgileri'!$A$2:$J$700,9,FALSE)=0,"",VLOOKUP($A190,'İşçi Bilgileri'!$A$2:$J$700,9,FALSE)))</f>
        <v>#N/A</v>
      </c>
      <c r="AM190" s="172" t="e">
        <f>IF($A190="","",IF(VLOOKUP($A190,'İşçi Bilgileri'!$A$2:$J$700,10,FALSE)=0,"",VLOOKUP($A190,'İşçi Bilgileri'!$A$2:$J$700,10,FALSE)))</f>
        <v>#N/A</v>
      </c>
    </row>
    <row r="191" spans="1:39" x14ac:dyDescent="0.2">
      <c r="A191" s="170">
        <v>183</v>
      </c>
      <c r="B191" s="147" t="e">
        <f>CONCATENATE(IF($A191="","",VLOOKUP($A191,'İşçi Bilgileri'!$A$2:$D$700,2,FALSE))," ",IF($A191="","",VLOOKUP($A191,'İşçi Bilgileri'!$A$2:$D$700,3,FALSE)))</f>
        <v>#N/A</v>
      </c>
      <c r="C191" s="171" t="e">
        <f>IF($A191="","",VLOOKUP($A191,'İşçi Bilgileri'!$A$2:$D$700,4,FALSE))</f>
        <v>#N/A</v>
      </c>
      <c r="D191" s="298"/>
      <c r="E191" s="298"/>
      <c r="F191" s="298"/>
      <c r="G191" s="298"/>
      <c r="H191" s="298"/>
      <c r="I191" s="298"/>
      <c r="J191" s="298"/>
      <c r="K191" s="298"/>
      <c r="L191" s="298"/>
      <c r="M191" s="298"/>
      <c r="N191" s="298"/>
      <c r="O191" s="298"/>
      <c r="P191" s="298"/>
      <c r="Q191" s="298"/>
      <c r="R191" s="298"/>
      <c r="S191" s="298"/>
      <c r="T191" s="298"/>
      <c r="U191" s="298"/>
      <c r="V191" s="298"/>
      <c r="W191" s="298"/>
      <c r="X191" s="298"/>
      <c r="Y191" s="298"/>
      <c r="Z191" s="298"/>
      <c r="AA191" s="298"/>
      <c r="AB191" s="298"/>
      <c r="AC191" s="298"/>
      <c r="AD191" s="298"/>
      <c r="AE191" s="298"/>
      <c r="AF191" s="298"/>
      <c r="AG191" s="298"/>
      <c r="AH191" s="298"/>
      <c r="AI191" s="166">
        <f t="shared" si="4"/>
        <v>0</v>
      </c>
      <c r="AJ191" s="166">
        <f t="shared" si="5"/>
        <v>0</v>
      </c>
      <c r="AK191" s="166"/>
      <c r="AL191" s="230" t="e">
        <f>IF($A191="","",IF(VLOOKUP($A191,'İşçi Bilgileri'!$A$2:$J$700,9,FALSE)=0,"",VLOOKUP($A191,'İşçi Bilgileri'!$A$2:$J$700,9,FALSE)))</f>
        <v>#N/A</v>
      </c>
      <c r="AM191" s="172" t="e">
        <f>IF($A191="","",IF(VLOOKUP($A191,'İşçi Bilgileri'!$A$2:$J$700,10,FALSE)=0,"",VLOOKUP($A191,'İşçi Bilgileri'!$A$2:$J$700,10,FALSE)))</f>
        <v>#N/A</v>
      </c>
    </row>
    <row r="192" spans="1:39" x14ac:dyDescent="0.2">
      <c r="A192" s="170">
        <v>184</v>
      </c>
      <c r="B192" s="147" t="e">
        <f>CONCATENATE(IF($A192="","",VLOOKUP($A192,'İşçi Bilgileri'!$A$2:$D$700,2,FALSE))," ",IF($A192="","",VLOOKUP($A192,'İşçi Bilgileri'!$A$2:$D$700,3,FALSE)))</f>
        <v>#N/A</v>
      </c>
      <c r="C192" s="171" t="e">
        <f>IF($A192="","",VLOOKUP($A192,'İşçi Bilgileri'!$A$2:$D$700,4,FALSE))</f>
        <v>#N/A</v>
      </c>
      <c r="D192" s="298"/>
      <c r="E192" s="298"/>
      <c r="F192" s="298"/>
      <c r="G192" s="298"/>
      <c r="H192" s="298"/>
      <c r="I192" s="298"/>
      <c r="J192" s="298"/>
      <c r="K192" s="298"/>
      <c r="L192" s="298"/>
      <c r="M192" s="298"/>
      <c r="N192" s="298"/>
      <c r="O192" s="298"/>
      <c r="P192" s="298"/>
      <c r="Q192" s="298"/>
      <c r="R192" s="298"/>
      <c r="S192" s="298"/>
      <c r="T192" s="298"/>
      <c r="U192" s="298"/>
      <c r="V192" s="298"/>
      <c r="W192" s="298"/>
      <c r="X192" s="298"/>
      <c r="Y192" s="298"/>
      <c r="Z192" s="298"/>
      <c r="AA192" s="298"/>
      <c r="AB192" s="298"/>
      <c r="AC192" s="298"/>
      <c r="AD192" s="298"/>
      <c r="AE192" s="298"/>
      <c r="AF192" s="298"/>
      <c r="AG192" s="298"/>
      <c r="AH192" s="298"/>
      <c r="AI192" s="166">
        <f t="shared" si="4"/>
        <v>0</v>
      </c>
      <c r="AJ192" s="166">
        <f t="shared" si="5"/>
        <v>0</v>
      </c>
      <c r="AK192" s="166"/>
      <c r="AL192" s="230" t="e">
        <f>IF($A192="","",IF(VLOOKUP($A192,'İşçi Bilgileri'!$A$2:$J$700,9,FALSE)=0,"",VLOOKUP($A192,'İşçi Bilgileri'!$A$2:$J$700,9,FALSE)))</f>
        <v>#N/A</v>
      </c>
      <c r="AM192" s="172" t="e">
        <f>IF($A192="","",IF(VLOOKUP($A192,'İşçi Bilgileri'!$A$2:$J$700,10,FALSE)=0,"",VLOOKUP($A192,'İşçi Bilgileri'!$A$2:$J$700,10,FALSE)))</f>
        <v>#N/A</v>
      </c>
    </row>
    <row r="193" spans="1:39" x14ac:dyDescent="0.2">
      <c r="A193" s="170">
        <v>185</v>
      </c>
      <c r="B193" s="147" t="e">
        <f>CONCATENATE(IF($A193="","",VLOOKUP($A193,'İşçi Bilgileri'!$A$2:$D$700,2,FALSE))," ",IF($A193="","",VLOOKUP($A193,'İşçi Bilgileri'!$A$2:$D$700,3,FALSE)))</f>
        <v>#N/A</v>
      </c>
      <c r="C193" s="171" t="e">
        <f>IF($A193="","",VLOOKUP($A193,'İşçi Bilgileri'!$A$2:$D$700,4,FALSE))</f>
        <v>#N/A</v>
      </c>
      <c r="D193" s="298"/>
      <c r="E193" s="298"/>
      <c r="F193" s="298"/>
      <c r="G193" s="298"/>
      <c r="H193" s="298"/>
      <c r="I193" s="298"/>
      <c r="J193" s="298"/>
      <c r="K193" s="298"/>
      <c r="L193" s="298"/>
      <c r="M193" s="298"/>
      <c r="N193" s="298"/>
      <c r="O193" s="298"/>
      <c r="P193" s="298"/>
      <c r="Q193" s="298"/>
      <c r="R193" s="298"/>
      <c r="S193" s="298"/>
      <c r="T193" s="298"/>
      <c r="U193" s="298"/>
      <c r="V193" s="298"/>
      <c r="W193" s="298"/>
      <c r="X193" s="298"/>
      <c r="Y193" s="298"/>
      <c r="Z193" s="298"/>
      <c r="AA193" s="298"/>
      <c r="AB193" s="298"/>
      <c r="AC193" s="298"/>
      <c r="AD193" s="298"/>
      <c r="AE193" s="298"/>
      <c r="AF193" s="298"/>
      <c r="AG193" s="298"/>
      <c r="AH193" s="298"/>
      <c r="AI193" s="166">
        <f t="shared" si="4"/>
        <v>0</v>
      </c>
      <c r="AJ193" s="166">
        <f t="shared" si="5"/>
        <v>0</v>
      </c>
      <c r="AK193" s="166"/>
      <c r="AL193" s="230" t="e">
        <f>IF($A193="","",IF(VLOOKUP($A193,'İşçi Bilgileri'!$A$2:$J$700,9,FALSE)=0,"",VLOOKUP($A193,'İşçi Bilgileri'!$A$2:$J$700,9,FALSE)))</f>
        <v>#N/A</v>
      </c>
      <c r="AM193" s="172" t="e">
        <f>IF($A193="","",IF(VLOOKUP($A193,'İşçi Bilgileri'!$A$2:$J$700,10,FALSE)=0,"",VLOOKUP($A193,'İşçi Bilgileri'!$A$2:$J$700,10,FALSE)))</f>
        <v>#N/A</v>
      </c>
    </row>
    <row r="194" spans="1:39" x14ac:dyDescent="0.2">
      <c r="A194" s="170">
        <v>186</v>
      </c>
      <c r="B194" s="147" t="e">
        <f>CONCATENATE(IF($A194="","",VLOOKUP($A194,'İşçi Bilgileri'!$A$2:$D$700,2,FALSE))," ",IF($A194="","",VLOOKUP($A194,'İşçi Bilgileri'!$A$2:$D$700,3,FALSE)))</f>
        <v>#N/A</v>
      </c>
      <c r="C194" s="171" t="e">
        <f>IF($A194="","",VLOOKUP($A194,'İşçi Bilgileri'!$A$2:$D$700,4,FALSE))</f>
        <v>#N/A</v>
      </c>
      <c r="D194" s="298"/>
      <c r="E194" s="298"/>
      <c r="F194" s="298"/>
      <c r="G194" s="298"/>
      <c r="H194" s="298"/>
      <c r="I194" s="298"/>
      <c r="J194" s="298"/>
      <c r="K194" s="298"/>
      <c r="L194" s="298"/>
      <c r="M194" s="298"/>
      <c r="N194" s="298"/>
      <c r="O194" s="298"/>
      <c r="P194" s="298"/>
      <c r="Q194" s="298"/>
      <c r="R194" s="298"/>
      <c r="S194" s="298"/>
      <c r="T194" s="298"/>
      <c r="U194" s="298"/>
      <c r="V194" s="298"/>
      <c r="W194" s="298"/>
      <c r="X194" s="298"/>
      <c r="Y194" s="298"/>
      <c r="Z194" s="298"/>
      <c r="AA194" s="298"/>
      <c r="AB194" s="298"/>
      <c r="AC194" s="298"/>
      <c r="AD194" s="298"/>
      <c r="AE194" s="298"/>
      <c r="AF194" s="298"/>
      <c r="AG194" s="298"/>
      <c r="AH194" s="298"/>
      <c r="AI194" s="166">
        <f t="shared" si="4"/>
        <v>0</v>
      </c>
      <c r="AJ194" s="166">
        <f t="shared" si="5"/>
        <v>0</v>
      </c>
      <c r="AK194" s="166"/>
      <c r="AL194" s="230" t="e">
        <f>IF($A194="","",IF(VLOOKUP($A194,'İşçi Bilgileri'!$A$2:$J$700,9,FALSE)=0,"",VLOOKUP($A194,'İşçi Bilgileri'!$A$2:$J$700,9,FALSE)))</f>
        <v>#N/A</v>
      </c>
      <c r="AM194" s="172" t="e">
        <f>IF($A194="","",IF(VLOOKUP($A194,'İşçi Bilgileri'!$A$2:$J$700,10,FALSE)=0,"",VLOOKUP($A194,'İşçi Bilgileri'!$A$2:$J$700,10,FALSE)))</f>
        <v>#N/A</v>
      </c>
    </row>
    <row r="195" spans="1:39" x14ac:dyDescent="0.2">
      <c r="A195" s="170">
        <v>187</v>
      </c>
      <c r="B195" s="147" t="e">
        <f>CONCATENATE(IF($A195="","",VLOOKUP($A195,'İşçi Bilgileri'!$A$2:$D$700,2,FALSE))," ",IF($A195="","",VLOOKUP($A195,'İşçi Bilgileri'!$A$2:$D$700,3,FALSE)))</f>
        <v>#N/A</v>
      </c>
      <c r="C195" s="171" t="e">
        <f>IF($A195="","",VLOOKUP($A195,'İşçi Bilgileri'!$A$2:$D$700,4,FALSE))</f>
        <v>#N/A</v>
      </c>
      <c r="D195" s="298"/>
      <c r="E195" s="298"/>
      <c r="F195" s="298"/>
      <c r="G195" s="298"/>
      <c r="H195" s="298"/>
      <c r="I195" s="298"/>
      <c r="J195" s="298"/>
      <c r="K195" s="298"/>
      <c r="L195" s="298"/>
      <c r="M195" s="298"/>
      <c r="N195" s="298"/>
      <c r="O195" s="298"/>
      <c r="P195" s="298"/>
      <c r="Q195" s="298"/>
      <c r="R195" s="298"/>
      <c r="S195" s="298"/>
      <c r="T195" s="298"/>
      <c r="U195" s="298"/>
      <c r="V195" s="298"/>
      <c r="W195" s="298"/>
      <c r="X195" s="298"/>
      <c r="Y195" s="298"/>
      <c r="Z195" s="298"/>
      <c r="AA195" s="298"/>
      <c r="AB195" s="298"/>
      <c r="AC195" s="298"/>
      <c r="AD195" s="298"/>
      <c r="AE195" s="298"/>
      <c r="AF195" s="298"/>
      <c r="AG195" s="298"/>
      <c r="AH195" s="298"/>
      <c r="AI195" s="166">
        <f t="shared" si="4"/>
        <v>0</v>
      </c>
      <c r="AJ195" s="166">
        <f t="shared" si="5"/>
        <v>0</v>
      </c>
      <c r="AK195" s="166"/>
      <c r="AL195" s="230" t="e">
        <f>IF($A195="","",IF(VLOOKUP($A195,'İşçi Bilgileri'!$A$2:$J$700,9,FALSE)=0,"",VLOOKUP($A195,'İşçi Bilgileri'!$A$2:$J$700,9,FALSE)))</f>
        <v>#N/A</v>
      </c>
      <c r="AM195" s="172" t="e">
        <f>IF($A195="","",IF(VLOOKUP($A195,'İşçi Bilgileri'!$A$2:$J$700,10,FALSE)=0,"",VLOOKUP($A195,'İşçi Bilgileri'!$A$2:$J$700,10,FALSE)))</f>
        <v>#N/A</v>
      </c>
    </row>
    <row r="196" spans="1:39" x14ac:dyDescent="0.2">
      <c r="A196" s="170">
        <v>188</v>
      </c>
      <c r="B196" s="147" t="e">
        <f>CONCATENATE(IF($A196="","",VLOOKUP($A196,'İşçi Bilgileri'!$A$2:$D$700,2,FALSE))," ",IF($A196="","",VLOOKUP($A196,'İşçi Bilgileri'!$A$2:$D$700,3,FALSE)))</f>
        <v>#N/A</v>
      </c>
      <c r="C196" s="171" t="e">
        <f>IF($A196="","",VLOOKUP($A196,'İşçi Bilgileri'!$A$2:$D$700,4,FALSE))</f>
        <v>#N/A</v>
      </c>
      <c r="D196" s="298"/>
      <c r="E196" s="298"/>
      <c r="F196" s="298"/>
      <c r="G196" s="298"/>
      <c r="H196" s="298"/>
      <c r="I196" s="298"/>
      <c r="J196" s="298"/>
      <c r="K196" s="298"/>
      <c r="L196" s="298"/>
      <c r="M196" s="298"/>
      <c r="N196" s="298"/>
      <c r="O196" s="298"/>
      <c r="P196" s="298"/>
      <c r="Q196" s="298"/>
      <c r="R196" s="298"/>
      <c r="S196" s="298"/>
      <c r="T196" s="298"/>
      <c r="U196" s="298"/>
      <c r="V196" s="298"/>
      <c r="W196" s="298"/>
      <c r="X196" s="298"/>
      <c r="Y196" s="298"/>
      <c r="Z196" s="298"/>
      <c r="AA196" s="298"/>
      <c r="AB196" s="298"/>
      <c r="AC196" s="298"/>
      <c r="AD196" s="298"/>
      <c r="AE196" s="298"/>
      <c r="AF196" s="298"/>
      <c r="AG196" s="298"/>
      <c r="AH196" s="298"/>
      <c r="AI196" s="166">
        <f t="shared" si="4"/>
        <v>0</v>
      </c>
      <c r="AJ196" s="166">
        <f t="shared" si="5"/>
        <v>0</v>
      </c>
      <c r="AK196" s="166"/>
      <c r="AL196" s="230" t="e">
        <f>IF($A196="","",IF(VLOOKUP($A196,'İşçi Bilgileri'!$A$2:$J$700,9,FALSE)=0,"",VLOOKUP($A196,'İşçi Bilgileri'!$A$2:$J$700,9,FALSE)))</f>
        <v>#N/A</v>
      </c>
      <c r="AM196" s="172" t="e">
        <f>IF($A196="","",IF(VLOOKUP($A196,'İşçi Bilgileri'!$A$2:$J$700,10,FALSE)=0,"",VLOOKUP($A196,'İşçi Bilgileri'!$A$2:$J$700,10,FALSE)))</f>
        <v>#N/A</v>
      </c>
    </row>
    <row r="197" spans="1:39" x14ac:dyDescent="0.2">
      <c r="A197" s="170">
        <v>189</v>
      </c>
      <c r="B197" s="147" t="e">
        <f>CONCATENATE(IF($A197="","",VLOOKUP($A197,'İşçi Bilgileri'!$A$2:$D$700,2,FALSE))," ",IF($A197="","",VLOOKUP($A197,'İşçi Bilgileri'!$A$2:$D$700,3,FALSE)))</f>
        <v>#N/A</v>
      </c>
      <c r="C197" s="171" t="e">
        <f>IF($A197="","",VLOOKUP($A197,'İşçi Bilgileri'!$A$2:$D$700,4,FALSE))</f>
        <v>#N/A</v>
      </c>
      <c r="D197" s="298"/>
      <c r="E197" s="298"/>
      <c r="F197" s="298"/>
      <c r="G197" s="298"/>
      <c r="H197" s="298"/>
      <c r="I197" s="298"/>
      <c r="J197" s="298"/>
      <c r="K197" s="298"/>
      <c r="L197" s="298"/>
      <c r="M197" s="298"/>
      <c r="N197" s="298"/>
      <c r="O197" s="298"/>
      <c r="P197" s="298"/>
      <c r="Q197" s="298"/>
      <c r="R197" s="298"/>
      <c r="S197" s="298"/>
      <c r="T197" s="298"/>
      <c r="U197" s="298"/>
      <c r="V197" s="298"/>
      <c r="W197" s="298"/>
      <c r="X197" s="298"/>
      <c r="Y197" s="298"/>
      <c r="Z197" s="298"/>
      <c r="AA197" s="298"/>
      <c r="AB197" s="298"/>
      <c r="AC197" s="298"/>
      <c r="AD197" s="298"/>
      <c r="AE197" s="298"/>
      <c r="AF197" s="298"/>
      <c r="AG197" s="298"/>
      <c r="AH197" s="298"/>
      <c r="AI197" s="166">
        <f t="shared" si="4"/>
        <v>0</v>
      </c>
      <c r="AJ197" s="166">
        <f t="shared" si="5"/>
        <v>0</v>
      </c>
      <c r="AK197" s="166"/>
      <c r="AL197" s="230" t="e">
        <f>IF($A197="","",IF(VLOOKUP($A197,'İşçi Bilgileri'!$A$2:$J$700,9,FALSE)=0,"",VLOOKUP($A197,'İşçi Bilgileri'!$A$2:$J$700,9,FALSE)))</f>
        <v>#N/A</v>
      </c>
      <c r="AM197" s="172" t="e">
        <f>IF($A197="","",IF(VLOOKUP($A197,'İşçi Bilgileri'!$A$2:$J$700,10,FALSE)=0,"",VLOOKUP($A197,'İşçi Bilgileri'!$A$2:$J$700,10,FALSE)))</f>
        <v>#N/A</v>
      </c>
    </row>
    <row r="198" spans="1:39" x14ac:dyDescent="0.2">
      <c r="A198" s="170">
        <v>190</v>
      </c>
      <c r="B198" s="147" t="e">
        <f>CONCATENATE(IF($A198="","",VLOOKUP($A198,'İşçi Bilgileri'!$A$2:$D$700,2,FALSE))," ",IF($A198="","",VLOOKUP($A198,'İşçi Bilgileri'!$A$2:$D$700,3,FALSE)))</f>
        <v>#N/A</v>
      </c>
      <c r="C198" s="171" t="e">
        <f>IF($A198="","",VLOOKUP($A198,'İşçi Bilgileri'!$A$2:$D$700,4,FALSE))</f>
        <v>#N/A</v>
      </c>
      <c r="D198" s="298"/>
      <c r="E198" s="298"/>
      <c r="F198" s="298"/>
      <c r="G198" s="298"/>
      <c r="H198" s="298"/>
      <c r="I198" s="298"/>
      <c r="J198" s="298"/>
      <c r="K198" s="298"/>
      <c r="L198" s="298"/>
      <c r="M198" s="298"/>
      <c r="N198" s="298"/>
      <c r="O198" s="298"/>
      <c r="P198" s="298"/>
      <c r="Q198" s="298"/>
      <c r="R198" s="298"/>
      <c r="S198" s="298"/>
      <c r="T198" s="298"/>
      <c r="U198" s="298"/>
      <c r="V198" s="298"/>
      <c r="W198" s="298"/>
      <c r="X198" s="298"/>
      <c r="Y198" s="298"/>
      <c r="Z198" s="298"/>
      <c r="AA198" s="298"/>
      <c r="AB198" s="298"/>
      <c r="AC198" s="298"/>
      <c r="AD198" s="298"/>
      <c r="AE198" s="298"/>
      <c r="AF198" s="298"/>
      <c r="AG198" s="298"/>
      <c r="AH198" s="298"/>
      <c r="AI198" s="166">
        <f t="shared" si="4"/>
        <v>0</v>
      </c>
      <c r="AJ198" s="166">
        <f t="shared" si="5"/>
        <v>0</v>
      </c>
      <c r="AK198" s="166"/>
      <c r="AL198" s="230" t="e">
        <f>IF($A198="","",IF(VLOOKUP($A198,'İşçi Bilgileri'!$A$2:$J$700,9,FALSE)=0,"",VLOOKUP($A198,'İşçi Bilgileri'!$A$2:$J$700,9,FALSE)))</f>
        <v>#N/A</v>
      </c>
      <c r="AM198" s="172" t="e">
        <f>IF($A198="","",IF(VLOOKUP($A198,'İşçi Bilgileri'!$A$2:$J$700,10,FALSE)=0,"",VLOOKUP($A198,'İşçi Bilgileri'!$A$2:$J$700,10,FALSE)))</f>
        <v>#N/A</v>
      </c>
    </row>
    <row r="199" spans="1:39" x14ac:dyDescent="0.2">
      <c r="A199" s="170">
        <v>191</v>
      </c>
      <c r="B199" s="147" t="e">
        <f>CONCATENATE(IF($A199="","",VLOOKUP($A199,'İşçi Bilgileri'!$A$2:$D$700,2,FALSE))," ",IF($A199="","",VLOOKUP($A199,'İşçi Bilgileri'!$A$2:$D$700,3,FALSE)))</f>
        <v>#N/A</v>
      </c>
      <c r="C199" s="171" t="e">
        <f>IF($A199="","",VLOOKUP($A199,'İşçi Bilgileri'!$A$2:$D$700,4,FALSE))</f>
        <v>#N/A</v>
      </c>
      <c r="D199" s="298"/>
      <c r="E199" s="298"/>
      <c r="F199" s="298"/>
      <c r="G199" s="298"/>
      <c r="H199" s="298"/>
      <c r="I199" s="298"/>
      <c r="J199" s="298"/>
      <c r="K199" s="298"/>
      <c r="L199" s="298"/>
      <c r="M199" s="298"/>
      <c r="N199" s="298"/>
      <c r="O199" s="298"/>
      <c r="P199" s="298"/>
      <c r="Q199" s="298"/>
      <c r="R199" s="298"/>
      <c r="S199" s="298"/>
      <c r="T199" s="298"/>
      <c r="U199" s="298"/>
      <c r="V199" s="298"/>
      <c r="W199" s="298"/>
      <c r="X199" s="298"/>
      <c r="Y199" s="298"/>
      <c r="Z199" s="298"/>
      <c r="AA199" s="298"/>
      <c r="AB199" s="298"/>
      <c r="AC199" s="298"/>
      <c r="AD199" s="298"/>
      <c r="AE199" s="298"/>
      <c r="AF199" s="298"/>
      <c r="AG199" s="298"/>
      <c r="AH199" s="298"/>
      <c r="AI199" s="166">
        <f t="shared" si="4"/>
        <v>0</v>
      </c>
      <c r="AJ199" s="166">
        <f t="shared" si="5"/>
        <v>0</v>
      </c>
      <c r="AK199" s="166"/>
      <c r="AL199" s="230" t="e">
        <f>IF($A199="","",IF(VLOOKUP($A199,'İşçi Bilgileri'!$A$2:$J$700,9,FALSE)=0,"",VLOOKUP($A199,'İşçi Bilgileri'!$A$2:$J$700,9,FALSE)))</f>
        <v>#N/A</v>
      </c>
      <c r="AM199" s="172" t="e">
        <f>IF($A199="","",IF(VLOOKUP($A199,'İşçi Bilgileri'!$A$2:$J$700,10,FALSE)=0,"",VLOOKUP($A199,'İşçi Bilgileri'!$A$2:$J$700,10,FALSE)))</f>
        <v>#N/A</v>
      </c>
    </row>
    <row r="200" spans="1:39" x14ac:dyDescent="0.2">
      <c r="A200" s="170">
        <v>192</v>
      </c>
      <c r="B200" s="147" t="e">
        <f>CONCATENATE(IF($A200="","",VLOOKUP($A200,'İşçi Bilgileri'!$A$2:$D$700,2,FALSE))," ",IF($A200="","",VLOOKUP($A200,'İşçi Bilgileri'!$A$2:$D$700,3,FALSE)))</f>
        <v>#N/A</v>
      </c>
      <c r="C200" s="171" t="e">
        <f>IF($A200="","",VLOOKUP($A200,'İşçi Bilgileri'!$A$2:$D$700,4,FALSE))</f>
        <v>#N/A</v>
      </c>
      <c r="D200" s="298"/>
      <c r="E200" s="298"/>
      <c r="F200" s="298"/>
      <c r="G200" s="298"/>
      <c r="H200" s="298"/>
      <c r="I200" s="298"/>
      <c r="J200" s="298"/>
      <c r="K200" s="298"/>
      <c r="L200" s="298"/>
      <c r="M200" s="298"/>
      <c r="N200" s="298"/>
      <c r="O200" s="298"/>
      <c r="P200" s="298"/>
      <c r="Q200" s="298"/>
      <c r="R200" s="298"/>
      <c r="S200" s="298"/>
      <c r="T200" s="298"/>
      <c r="U200" s="298"/>
      <c r="V200" s="298"/>
      <c r="W200" s="298"/>
      <c r="X200" s="298"/>
      <c r="Y200" s="298"/>
      <c r="Z200" s="298"/>
      <c r="AA200" s="298"/>
      <c r="AB200" s="298"/>
      <c r="AC200" s="298"/>
      <c r="AD200" s="298"/>
      <c r="AE200" s="298"/>
      <c r="AF200" s="298"/>
      <c r="AG200" s="298"/>
      <c r="AH200" s="298"/>
      <c r="AI200" s="166">
        <f t="shared" si="4"/>
        <v>0</v>
      </c>
      <c r="AJ200" s="166">
        <f t="shared" si="5"/>
        <v>0</v>
      </c>
      <c r="AK200" s="166"/>
      <c r="AL200" s="230" t="e">
        <f>IF($A200="","",IF(VLOOKUP($A200,'İşçi Bilgileri'!$A$2:$J$700,9,FALSE)=0,"",VLOOKUP($A200,'İşçi Bilgileri'!$A$2:$J$700,9,FALSE)))</f>
        <v>#N/A</v>
      </c>
      <c r="AM200" s="172" t="e">
        <f>IF($A200="","",IF(VLOOKUP($A200,'İşçi Bilgileri'!$A$2:$J$700,10,FALSE)=0,"",VLOOKUP($A200,'İşçi Bilgileri'!$A$2:$J$700,10,FALSE)))</f>
        <v>#N/A</v>
      </c>
    </row>
    <row r="201" spans="1:39" x14ac:dyDescent="0.2">
      <c r="A201" s="170">
        <v>193</v>
      </c>
      <c r="B201" s="147" t="e">
        <f>CONCATENATE(IF($A201="","",VLOOKUP($A201,'İşçi Bilgileri'!$A$2:$D$700,2,FALSE))," ",IF($A201="","",VLOOKUP($A201,'İşçi Bilgileri'!$A$2:$D$700,3,FALSE)))</f>
        <v>#N/A</v>
      </c>
      <c r="C201" s="171" t="e">
        <f>IF($A201="","",VLOOKUP($A201,'İşçi Bilgileri'!$A$2:$D$700,4,FALSE))</f>
        <v>#N/A</v>
      </c>
      <c r="D201" s="298"/>
      <c r="E201" s="298"/>
      <c r="F201" s="298"/>
      <c r="G201" s="298"/>
      <c r="H201" s="298"/>
      <c r="I201" s="298"/>
      <c r="J201" s="298"/>
      <c r="K201" s="298"/>
      <c r="L201" s="298"/>
      <c r="M201" s="298"/>
      <c r="N201" s="298"/>
      <c r="O201" s="298"/>
      <c r="P201" s="298"/>
      <c r="Q201" s="298"/>
      <c r="R201" s="298"/>
      <c r="S201" s="298"/>
      <c r="T201" s="298"/>
      <c r="U201" s="298"/>
      <c r="V201" s="298"/>
      <c r="W201" s="298"/>
      <c r="X201" s="298"/>
      <c r="Y201" s="298"/>
      <c r="Z201" s="298"/>
      <c r="AA201" s="298"/>
      <c r="AB201" s="298"/>
      <c r="AC201" s="298"/>
      <c r="AD201" s="298"/>
      <c r="AE201" s="298"/>
      <c r="AF201" s="298"/>
      <c r="AG201" s="298"/>
      <c r="AH201" s="298"/>
      <c r="AI201" s="166">
        <f t="shared" si="4"/>
        <v>0</v>
      </c>
      <c r="AJ201" s="166">
        <f t="shared" si="5"/>
        <v>0</v>
      </c>
      <c r="AK201" s="166"/>
      <c r="AL201" s="230" t="e">
        <f>IF($A201="","",IF(VLOOKUP($A201,'İşçi Bilgileri'!$A$2:$J$700,9,FALSE)=0,"",VLOOKUP($A201,'İşçi Bilgileri'!$A$2:$J$700,9,FALSE)))</f>
        <v>#N/A</v>
      </c>
      <c r="AM201" s="172" t="e">
        <f>IF($A201="","",IF(VLOOKUP($A201,'İşçi Bilgileri'!$A$2:$J$700,10,FALSE)=0,"",VLOOKUP($A201,'İşçi Bilgileri'!$A$2:$J$700,10,FALSE)))</f>
        <v>#N/A</v>
      </c>
    </row>
    <row r="202" spans="1:39" x14ac:dyDescent="0.2">
      <c r="A202" s="170">
        <v>194</v>
      </c>
      <c r="B202" s="147" t="e">
        <f>CONCATENATE(IF($A202="","",VLOOKUP($A202,'İşçi Bilgileri'!$A$2:$D$700,2,FALSE))," ",IF($A202="","",VLOOKUP($A202,'İşçi Bilgileri'!$A$2:$D$700,3,FALSE)))</f>
        <v>#N/A</v>
      </c>
      <c r="C202" s="171" t="e">
        <f>IF($A202="","",VLOOKUP($A202,'İşçi Bilgileri'!$A$2:$D$700,4,FALSE))</f>
        <v>#N/A</v>
      </c>
      <c r="D202" s="298"/>
      <c r="E202" s="298"/>
      <c r="F202" s="298"/>
      <c r="G202" s="298"/>
      <c r="H202" s="298"/>
      <c r="I202" s="298"/>
      <c r="J202" s="298"/>
      <c r="K202" s="298"/>
      <c r="L202" s="298"/>
      <c r="M202" s="298"/>
      <c r="N202" s="298"/>
      <c r="O202" s="298"/>
      <c r="P202" s="298"/>
      <c r="Q202" s="298"/>
      <c r="R202" s="298"/>
      <c r="S202" s="298"/>
      <c r="T202" s="298"/>
      <c r="U202" s="298"/>
      <c r="V202" s="298"/>
      <c r="W202" s="298"/>
      <c r="X202" s="298"/>
      <c r="Y202" s="298"/>
      <c r="Z202" s="298"/>
      <c r="AA202" s="298"/>
      <c r="AB202" s="298"/>
      <c r="AC202" s="298"/>
      <c r="AD202" s="298"/>
      <c r="AE202" s="298"/>
      <c r="AF202" s="298"/>
      <c r="AG202" s="298"/>
      <c r="AH202" s="298"/>
      <c r="AI202" s="166">
        <f t="shared" ref="AI202:AI265" si="6">SUM(COUNTIF(D202:AH202,"İ"),COUNTIF(D202:AH202,"R"),COUNTIF(D202:AH202,"D"),COUNTIF(D202:AH202,"C"))</f>
        <v>0</v>
      </c>
      <c r="AJ202" s="166">
        <f t="shared" ref="AJ202:AJ265" si="7">IF(COUNTIF(D202:AH202,"X")=$AL$6,30,COUNTIF(D202:AH202,"X"))</f>
        <v>0</v>
      </c>
      <c r="AK202" s="166"/>
      <c r="AL202" s="230" t="e">
        <f>IF($A202="","",IF(VLOOKUP($A202,'İşçi Bilgileri'!$A$2:$J$700,9,FALSE)=0,"",VLOOKUP($A202,'İşçi Bilgileri'!$A$2:$J$700,9,FALSE)))</f>
        <v>#N/A</v>
      </c>
      <c r="AM202" s="172" t="e">
        <f>IF($A202="","",IF(VLOOKUP($A202,'İşçi Bilgileri'!$A$2:$J$700,10,FALSE)=0,"",VLOOKUP($A202,'İşçi Bilgileri'!$A$2:$J$700,10,FALSE)))</f>
        <v>#N/A</v>
      </c>
    </row>
    <row r="203" spans="1:39" x14ac:dyDescent="0.2">
      <c r="A203" s="170">
        <v>195</v>
      </c>
      <c r="B203" s="147" t="e">
        <f>CONCATENATE(IF($A203="","",VLOOKUP($A203,'İşçi Bilgileri'!$A$2:$D$700,2,FALSE))," ",IF($A203="","",VLOOKUP($A203,'İşçi Bilgileri'!$A$2:$D$700,3,FALSE)))</f>
        <v>#N/A</v>
      </c>
      <c r="C203" s="171" t="e">
        <f>IF($A203="","",VLOOKUP($A203,'İşçi Bilgileri'!$A$2:$D$700,4,FALSE))</f>
        <v>#N/A</v>
      </c>
      <c r="D203" s="298"/>
      <c r="E203" s="298"/>
      <c r="F203" s="298"/>
      <c r="G203" s="298"/>
      <c r="H203" s="298"/>
      <c r="I203" s="298"/>
      <c r="J203" s="298"/>
      <c r="K203" s="298"/>
      <c r="L203" s="298"/>
      <c r="M203" s="298"/>
      <c r="N203" s="298"/>
      <c r="O203" s="298"/>
      <c r="P203" s="298"/>
      <c r="Q203" s="298"/>
      <c r="R203" s="298"/>
      <c r="S203" s="298"/>
      <c r="T203" s="298"/>
      <c r="U203" s="298"/>
      <c r="V203" s="298"/>
      <c r="W203" s="298"/>
      <c r="X203" s="298"/>
      <c r="Y203" s="298"/>
      <c r="Z203" s="298"/>
      <c r="AA203" s="298"/>
      <c r="AB203" s="298"/>
      <c r="AC203" s="298"/>
      <c r="AD203" s="298"/>
      <c r="AE203" s="298"/>
      <c r="AF203" s="298"/>
      <c r="AG203" s="298"/>
      <c r="AH203" s="298"/>
      <c r="AI203" s="166">
        <f t="shared" si="6"/>
        <v>0</v>
      </c>
      <c r="AJ203" s="166">
        <f t="shared" si="7"/>
        <v>0</v>
      </c>
      <c r="AK203" s="166"/>
      <c r="AL203" s="230" t="e">
        <f>IF($A203="","",IF(VLOOKUP($A203,'İşçi Bilgileri'!$A$2:$J$700,9,FALSE)=0,"",VLOOKUP($A203,'İşçi Bilgileri'!$A$2:$J$700,9,FALSE)))</f>
        <v>#N/A</v>
      </c>
      <c r="AM203" s="172" t="e">
        <f>IF($A203="","",IF(VLOOKUP($A203,'İşçi Bilgileri'!$A$2:$J$700,10,FALSE)=0,"",VLOOKUP($A203,'İşçi Bilgileri'!$A$2:$J$700,10,FALSE)))</f>
        <v>#N/A</v>
      </c>
    </row>
    <row r="204" spans="1:39" x14ac:dyDescent="0.2">
      <c r="A204" s="170">
        <v>196</v>
      </c>
      <c r="B204" s="147" t="e">
        <f>CONCATENATE(IF($A204="","",VLOOKUP($A204,'İşçi Bilgileri'!$A$2:$D$700,2,FALSE))," ",IF($A204="","",VLOOKUP($A204,'İşçi Bilgileri'!$A$2:$D$700,3,FALSE)))</f>
        <v>#N/A</v>
      </c>
      <c r="C204" s="171" t="e">
        <f>IF($A204="","",VLOOKUP($A204,'İşçi Bilgileri'!$A$2:$D$700,4,FALSE))</f>
        <v>#N/A</v>
      </c>
      <c r="D204" s="298"/>
      <c r="E204" s="298"/>
      <c r="F204" s="298"/>
      <c r="G204" s="298"/>
      <c r="H204" s="298"/>
      <c r="I204" s="298"/>
      <c r="J204" s="298"/>
      <c r="K204" s="298"/>
      <c r="L204" s="298"/>
      <c r="M204" s="298"/>
      <c r="N204" s="298"/>
      <c r="O204" s="298"/>
      <c r="P204" s="298"/>
      <c r="Q204" s="298"/>
      <c r="R204" s="298"/>
      <c r="S204" s="298"/>
      <c r="T204" s="298"/>
      <c r="U204" s="298"/>
      <c r="V204" s="298"/>
      <c r="W204" s="298"/>
      <c r="X204" s="298"/>
      <c r="Y204" s="298"/>
      <c r="Z204" s="298"/>
      <c r="AA204" s="298"/>
      <c r="AB204" s="298"/>
      <c r="AC204" s="298"/>
      <c r="AD204" s="298"/>
      <c r="AE204" s="298"/>
      <c r="AF204" s="298"/>
      <c r="AG204" s="298"/>
      <c r="AH204" s="298"/>
      <c r="AI204" s="166">
        <f t="shared" si="6"/>
        <v>0</v>
      </c>
      <c r="AJ204" s="166">
        <f t="shared" si="7"/>
        <v>0</v>
      </c>
      <c r="AK204" s="166"/>
      <c r="AL204" s="230" t="e">
        <f>IF($A204="","",IF(VLOOKUP($A204,'İşçi Bilgileri'!$A$2:$J$700,9,FALSE)=0,"",VLOOKUP($A204,'İşçi Bilgileri'!$A$2:$J$700,9,FALSE)))</f>
        <v>#N/A</v>
      </c>
      <c r="AM204" s="172" t="e">
        <f>IF($A204="","",IF(VLOOKUP($A204,'İşçi Bilgileri'!$A$2:$J$700,10,FALSE)=0,"",VLOOKUP($A204,'İşçi Bilgileri'!$A$2:$J$700,10,FALSE)))</f>
        <v>#N/A</v>
      </c>
    </row>
    <row r="205" spans="1:39" x14ac:dyDescent="0.2">
      <c r="A205" s="170">
        <v>197</v>
      </c>
      <c r="B205" s="147" t="e">
        <f>CONCATENATE(IF($A205="","",VLOOKUP($A205,'İşçi Bilgileri'!$A$2:$D$700,2,FALSE))," ",IF($A205="","",VLOOKUP($A205,'İşçi Bilgileri'!$A$2:$D$700,3,FALSE)))</f>
        <v>#N/A</v>
      </c>
      <c r="C205" s="171" t="e">
        <f>IF($A205="","",VLOOKUP($A205,'İşçi Bilgileri'!$A$2:$D$700,4,FALSE))</f>
        <v>#N/A</v>
      </c>
      <c r="D205" s="298"/>
      <c r="E205" s="298"/>
      <c r="F205" s="298"/>
      <c r="G205" s="298"/>
      <c r="H205" s="298"/>
      <c r="I205" s="298"/>
      <c r="J205" s="298"/>
      <c r="K205" s="298"/>
      <c r="L205" s="298"/>
      <c r="M205" s="298"/>
      <c r="N205" s="298"/>
      <c r="O205" s="298"/>
      <c r="P205" s="298"/>
      <c r="Q205" s="298"/>
      <c r="R205" s="298"/>
      <c r="S205" s="298"/>
      <c r="T205" s="298"/>
      <c r="U205" s="298"/>
      <c r="V205" s="298"/>
      <c r="W205" s="298"/>
      <c r="X205" s="298"/>
      <c r="Y205" s="298"/>
      <c r="Z205" s="298"/>
      <c r="AA205" s="298"/>
      <c r="AB205" s="298"/>
      <c r="AC205" s="298"/>
      <c r="AD205" s="298"/>
      <c r="AE205" s="298"/>
      <c r="AF205" s="298"/>
      <c r="AG205" s="298"/>
      <c r="AH205" s="298"/>
      <c r="AI205" s="166">
        <f t="shared" si="6"/>
        <v>0</v>
      </c>
      <c r="AJ205" s="166">
        <f t="shared" si="7"/>
        <v>0</v>
      </c>
      <c r="AK205" s="166"/>
      <c r="AL205" s="230" t="e">
        <f>IF($A205="","",IF(VLOOKUP($A205,'İşçi Bilgileri'!$A$2:$J$700,9,FALSE)=0,"",VLOOKUP($A205,'İşçi Bilgileri'!$A$2:$J$700,9,FALSE)))</f>
        <v>#N/A</v>
      </c>
      <c r="AM205" s="172" t="e">
        <f>IF($A205="","",IF(VLOOKUP($A205,'İşçi Bilgileri'!$A$2:$J$700,10,FALSE)=0,"",VLOOKUP($A205,'İşçi Bilgileri'!$A$2:$J$700,10,FALSE)))</f>
        <v>#N/A</v>
      </c>
    </row>
    <row r="206" spans="1:39" x14ac:dyDescent="0.2">
      <c r="A206" s="170">
        <v>198</v>
      </c>
      <c r="B206" s="147" t="e">
        <f>CONCATENATE(IF($A206="","",VLOOKUP($A206,'İşçi Bilgileri'!$A$2:$D$700,2,FALSE))," ",IF($A206="","",VLOOKUP($A206,'İşçi Bilgileri'!$A$2:$D$700,3,FALSE)))</f>
        <v>#N/A</v>
      </c>
      <c r="C206" s="171" t="e">
        <f>IF($A206="","",VLOOKUP($A206,'İşçi Bilgileri'!$A$2:$D$700,4,FALSE))</f>
        <v>#N/A</v>
      </c>
      <c r="D206" s="298"/>
      <c r="E206" s="298"/>
      <c r="F206" s="298"/>
      <c r="G206" s="298"/>
      <c r="H206" s="298"/>
      <c r="I206" s="298"/>
      <c r="J206" s="298"/>
      <c r="K206" s="298"/>
      <c r="L206" s="298"/>
      <c r="M206" s="298"/>
      <c r="N206" s="298"/>
      <c r="O206" s="298"/>
      <c r="P206" s="298"/>
      <c r="Q206" s="298"/>
      <c r="R206" s="298"/>
      <c r="S206" s="298"/>
      <c r="T206" s="298"/>
      <c r="U206" s="298"/>
      <c r="V206" s="298"/>
      <c r="W206" s="298"/>
      <c r="X206" s="298"/>
      <c r="Y206" s="298"/>
      <c r="Z206" s="298"/>
      <c r="AA206" s="298"/>
      <c r="AB206" s="298"/>
      <c r="AC206" s="298"/>
      <c r="AD206" s="298"/>
      <c r="AE206" s="298"/>
      <c r="AF206" s="298"/>
      <c r="AG206" s="298"/>
      <c r="AH206" s="298"/>
      <c r="AI206" s="166">
        <f t="shared" si="6"/>
        <v>0</v>
      </c>
      <c r="AJ206" s="166">
        <f t="shared" si="7"/>
        <v>0</v>
      </c>
      <c r="AK206" s="166"/>
      <c r="AL206" s="230" t="e">
        <f>IF($A206="","",IF(VLOOKUP($A206,'İşçi Bilgileri'!$A$2:$J$700,9,FALSE)=0,"",VLOOKUP($A206,'İşçi Bilgileri'!$A$2:$J$700,9,FALSE)))</f>
        <v>#N/A</v>
      </c>
      <c r="AM206" s="172" t="e">
        <f>IF($A206="","",IF(VLOOKUP($A206,'İşçi Bilgileri'!$A$2:$J$700,10,FALSE)=0,"",VLOOKUP($A206,'İşçi Bilgileri'!$A$2:$J$700,10,FALSE)))</f>
        <v>#N/A</v>
      </c>
    </row>
    <row r="207" spans="1:39" x14ac:dyDescent="0.2">
      <c r="A207" s="170">
        <v>199</v>
      </c>
      <c r="B207" s="147" t="e">
        <f>CONCATENATE(IF($A207="","",VLOOKUP($A207,'İşçi Bilgileri'!$A$2:$D$700,2,FALSE))," ",IF($A207="","",VLOOKUP($A207,'İşçi Bilgileri'!$A$2:$D$700,3,FALSE)))</f>
        <v>#N/A</v>
      </c>
      <c r="C207" s="171" t="e">
        <f>IF($A207="","",VLOOKUP($A207,'İşçi Bilgileri'!$A$2:$D$700,4,FALSE))</f>
        <v>#N/A</v>
      </c>
      <c r="D207" s="298"/>
      <c r="E207" s="298"/>
      <c r="F207" s="298"/>
      <c r="G207" s="298"/>
      <c r="H207" s="298"/>
      <c r="I207" s="298"/>
      <c r="J207" s="298"/>
      <c r="K207" s="298"/>
      <c r="L207" s="298"/>
      <c r="M207" s="298"/>
      <c r="N207" s="298"/>
      <c r="O207" s="298"/>
      <c r="P207" s="298"/>
      <c r="Q207" s="298"/>
      <c r="R207" s="298"/>
      <c r="S207" s="298"/>
      <c r="T207" s="298"/>
      <c r="U207" s="298"/>
      <c r="V207" s="298"/>
      <c r="W207" s="298"/>
      <c r="X207" s="298"/>
      <c r="Y207" s="298"/>
      <c r="Z207" s="298"/>
      <c r="AA207" s="298"/>
      <c r="AB207" s="298"/>
      <c r="AC207" s="298"/>
      <c r="AD207" s="298"/>
      <c r="AE207" s="298"/>
      <c r="AF207" s="298"/>
      <c r="AG207" s="298"/>
      <c r="AH207" s="298"/>
      <c r="AI207" s="166">
        <f t="shared" si="6"/>
        <v>0</v>
      </c>
      <c r="AJ207" s="166">
        <f t="shared" si="7"/>
        <v>0</v>
      </c>
      <c r="AK207" s="166"/>
      <c r="AL207" s="230" t="e">
        <f>IF($A207="","",IF(VLOOKUP($A207,'İşçi Bilgileri'!$A$2:$J$700,9,FALSE)=0,"",VLOOKUP($A207,'İşçi Bilgileri'!$A$2:$J$700,9,FALSE)))</f>
        <v>#N/A</v>
      </c>
      <c r="AM207" s="172" t="e">
        <f>IF($A207="","",IF(VLOOKUP($A207,'İşçi Bilgileri'!$A$2:$J$700,10,FALSE)=0,"",VLOOKUP($A207,'İşçi Bilgileri'!$A$2:$J$700,10,FALSE)))</f>
        <v>#N/A</v>
      </c>
    </row>
    <row r="208" spans="1:39" x14ac:dyDescent="0.2">
      <c r="A208" s="170">
        <v>200</v>
      </c>
      <c r="B208" s="147" t="e">
        <f>CONCATENATE(IF($A208="","",VLOOKUP($A208,'İşçi Bilgileri'!$A$2:$D$700,2,FALSE))," ",IF($A208="","",VLOOKUP($A208,'İşçi Bilgileri'!$A$2:$D$700,3,FALSE)))</f>
        <v>#N/A</v>
      </c>
      <c r="C208" s="171" t="e">
        <f>IF($A208="","",VLOOKUP($A208,'İşçi Bilgileri'!$A$2:$D$700,4,FALSE))</f>
        <v>#N/A</v>
      </c>
      <c r="D208" s="298"/>
      <c r="E208" s="298"/>
      <c r="F208" s="298"/>
      <c r="G208" s="298"/>
      <c r="H208" s="298"/>
      <c r="I208" s="298"/>
      <c r="J208" s="298"/>
      <c r="K208" s="298"/>
      <c r="L208" s="298"/>
      <c r="M208" s="298"/>
      <c r="N208" s="298"/>
      <c r="O208" s="298"/>
      <c r="P208" s="298"/>
      <c r="Q208" s="298"/>
      <c r="R208" s="298"/>
      <c r="S208" s="298"/>
      <c r="T208" s="298"/>
      <c r="U208" s="298"/>
      <c r="V208" s="298"/>
      <c r="W208" s="298"/>
      <c r="X208" s="298"/>
      <c r="Y208" s="298"/>
      <c r="Z208" s="298"/>
      <c r="AA208" s="298"/>
      <c r="AB208" s="298"/>
      <c r="AC208" s="298"/>
      <c r="AD208" s="298"/>
      <c r="AE208" s="298"/>
      <c r="AF208" s="298"/>
      <c r="AG208" s="298"/>
      <c r="AH208" s="298"/>
      <c r="AI208" s="166">
        <f t="shared" si="6"/>
        <v>0</v>
      </c>
      <c r="AJ208" s="166">
        <f t="shared" si="7"/>
        <v>0</v>
      </c>
      <c r="AK208" s="166"/>
      <c r="AL208" s="230" t="e">
        <f>IF($A208="","",IF(VLOOKUP($A208,'İşçi Bilgileri'!$A$2:$J$700,9,FALSE)=0,"",VLOOKUP($A208,'İşçi Bilgileri'!$A$2:$J$700,9,FALSE)))</f>
        <v>#N/A</v>
      </c>
      <c r="AM208" s="172" t="e">
        <f>IF($A208="","",IF(VLOOKUP($A208,'İşçi Bilgileri'!$A$2:$J$700,10,FALSE)=0,"",VLOOKUP($A208,'İşçi Bilgileri'!$A$2:$J$700,10,FALSE)))</f>
        <v>#N/A</v>
      </c>
    </row>
    <row r="209" spans="1:39" x14ac:dyDescent="0.2">
      <c r="A209" s="170">
        <v>201</v>
      </c>
      <c r="B209" s="147" t="e">
        <f>CONCATENATE(IF($A209="","",VLOOKUP($A209,'İşçi Bilgileri'!$A$2:$D$700,2,FALSE))," ",IF($A209="","",VLOOKUP($A209,'İşçi Bilgileri'!$A$2:$D$700,3,FALSE)))</f>
        <v>#N/A</v>
      </c>
      <c r="C209" s="171" t="e">
        <f>IF($A209="","",VLOOKUP($A209,'İşçi Bilgileri'!$A$2:$D$700,4,FALSE))</f>
        <v>#N/A</v>
      </c>
      <c r="D209" s="298"/>
      <c r="E209" s="298"/>
      <c r="F209" s="298"/>
      <c r="G209" s="298"/>
      <c r="H209" s="298"/>
      <c r="I209" s="298"/>
      <c r="J209" s="298"/>
      <c r="K209" s="298"/>
      <c r="L209" s="298"/>
      <c r="M209" s="298"/>
      <c r="N209" s="298"/>
      <c r="O209" s="298"/>
      <c r="P209" s="298"/>
      <c r="Q209" s="298"/>
      <c r="R209" s="298"/>
      <c r="S209" s="298"/>
      <c r="T209" s="298"/>
      <c r="U209" s="298"/>
      <c r="V209" s="298"/>
      <c r="W209" s="298"/>
      <c r="X209" s="298"/>
      <c r="Y209" s="298"/>
      <c r="Z209" s="298"/>
      <c r="AA209" s="298"/>
      <c r="AB209" s="298"/>
      <c r="AC209" s="298"/>
      <c r="AD209" s="298"/>
      <c r="AE209" s="298"/>
      <c r="AF209" s="298"/>
      <c r="AG209" s="298"/>
      <c r="AH209" s="298"/>
      <c r="AI209" s="166">
        <f t="shared" si="6"/>
        <v>0</v>
      </c>
      <c r="AJ209" s="166">
        <f t="shared" si="7"/>
        <v>0</v>
      </c>
      <c r="AK209" s="166"/>
      <c r="AL209" s="230" t="e">
        <f>IF($A209="","",IF(VLOOKUP($A209,'İşçi Bilgileri'!$A$2:$J$700,9,FALSE)=0,"",VLOOKUP($A209,'İşçi Bilgileri'!$A$2:$J$700,9,FALSE)))</f>
        <v>#N/A</v>
      </c>
      <c r="AM209" s="172" t="e">
        <f>IF($A209="","",IF(VLOOKUP($A209,'İşçi Bilgileri'!$A$2:$J$700,10,FALSE)=0,"",VLOOKUP($A209,'İşçi Bilgileri'!$A$2:$J$700,10,FALSE)))</f>
        <v>#N/A</v>
      </c>
    </row>
    <row r="210" spans="1:39" x14ac:dyDescent="0.2">
      <c r="A210" s="170">
        <v>202</v>
      </c>
      <c r="B210" s="147" t="e">
        <f>CONCATENATE(IF($A210="","",VLOOKUP($A210,'İşçi Bilgileri'!$A$2:$D$700,2,FALSE))," ",IF($A210="","",VLOOKUP($A210,'İşçi Bilgileri'!$A$2:$D$700,3,FALSE)))</f>
        <v>#N/A</v>
      </c>
      <c r="C210" s="171" t="e">
        <f>IF($A210="","",VLOOKUP($A210,'İşçi Bilgileri'!$A$2:$D$700,4,FALSE))</f>
        <v>#N/A</v>
      </c>
      <c r="D210" s="298"/>
      <c r="E210" s="298"/>
      <c r="F210" s="298"/>
      <c r="G210" s="298"/>
      <c r="H210" s="298"/>
      <c r="I210" s="298"/>
      <c r="J210" s="298"/>
      <c r="K210" s="298"/>
      <c r="L210" s="298"/>
      <c r="M210" s="298"/>
      <c r="N210" s="298"/>
      <c r="O210" s="298"/>
      <c r="P210" s="298"/>
      <c r="Q210" s="298"/>
      <c r="R210" s="298"/>
      <c r="S210" s="298"/>
      <c r="T210" s="298"/>
      <c r="U210" s="298"/>
      <c r="V210" s="298"/>
      <c r="W210" s="298"/>
      <c r="X210" s="298"/>
      <c r="Y210" s="298"/>
      <c r="Z210" s="298"/>
      <c r="AA210" s="298"/>
      <c r="AB210" s="298"/>
      <c r="AC210" s="298"/>
      <c r="AD210" s="298"/>
      <c r="AE210" s="298"/>
      <c r="AF210" s="298"/>
      <c r="AG210" s="298"/>
      <c r="AH210" s="298"/>
      <c r="AI210" s="166">
        <f t="shared" si="6"/>
        <v>0</v>
      </c>
      <c r="AJ210" s="166">
        <f t="shared" si="7"/>
        <v>0</v>
      </c>
      <c r="AK210" s="166"/>
      <c r="AL210" s="230" t="e">
        <f>IF($A210="","",IF(VLOOKUP($A210,'İşçi Bilgileri'!$A$2:$J$700,9,FALSE)=0,"",VLOOKUP($A210,'İşçi Bilgileri'!$A$2:$J$700,9,FALSE)))</f>
        <v>#N/A</v>
      </c>
      <c r="AM210" s="172" t="e">
        <f>IF($A210="","",IF(VLOOKUP($A210,'İşçi Bilgileri'!$A$2:$J$700,10,FALSE)=0,"",VLOOKUP($A210,'İşçi Bilgileri'!$A$2:$J$700,10,FALSE)))</f>
        <v>#N/A</v>
      </c>
    </row>
    <row r="211" spans="1:39" x14ac:dyDescent="0.2">
      <c r="A211" s="170">
        <v>203</v>
      </c>
      <c r="B211" s="147" t="e">
        <f>CONCATENATE(IF($A211="","",VLOOKUP($A211,'İşçi Bilgileri'!$A$2:$D$700,2,FALSE))," ",IF($A211="","",VLOOKUP($A211,'İşçi Bilgileri'!$A$2:$D$700,3,FALSE)))</f>
        <v>#N/A</v>
      </c>
      <c r="C211" s="171" t="e">
        <f>IF($A211="","",VLOOKUP($A211,'İşçi Bilgileri'!$A$2:$D$700,4,FALSE))</f>
        <v>#N/A</v>
      </c>
      <c r="D211" s="298"/>
      <c r="E211" s="298"/>
      <c r="F211" s="298"/>
      <c r="G211" s="298"/>
      <c r="H211" s="298"/>
      <c r="I211" s="298"/>
      <c r="J211" s="298"/>
      <c r="K211" s="298"/>
      <c r="L211" s="298"/>
      <c r="M211" s="298"/>
      <c r="N211" s="298"/>
      <c r="O211" s="298"/>
      <c r="P211" s="298"/>
      <c r="Q211" s="298"/>
      <c r="R211" s="298"/>
      <c r="S211" s="298"/>
      <c r="T211" s="298"/>
      <c r="U211" s="298"/>
      <c r="V211" s="298"/>
      <c r="W211" s="298"/>
      <c r="X211" s="298"/>
      <c r="Y211" s="298"/>
      <c r="Z211" s="298"/>
      <c r="AA211" s="298"/>
      <c r="AB211" s="298"/>
      <c r="AC211" s="298"/>
      <c r="AD211" s="298"/>
      <c r="AE211" s="298"/>
      <c r="AF211" s="298"/>
      <c r="AG211" s="298"/>
      <c r="AH211" s="298"/>
      <c r="AI211" s="166">
        <f t="shared" si="6"/>
        <v>0</v>
      </c>
      <c r="AJ211" s="166">
        <f t="shared" si="7"/>
        <v>0</v>
      </c>
      <c r="AK211" s="166"/>
      <c r="AL211" s="230" t="e">
        <f>IF($A211="","",IF(VLOOKUP($A211,'İşçi Bilgileri'!$A$2:$J$700,9,FALSE)=0,"",VLOOKUP($A211,'İşçi Bilgileri'!$A$2:$J$700,9,FALSE)))</f>
        <v>#N/A</v>
      </c>
      <c r="AM211" s="172" t="e">
        <f>IF($A211="","",IF(VLOOKUP($A211,'İşçi Bilgileri'!$A$2:$J$700,10,FALSE)=0,"",VLOOKUP($A211,'İşçi Bilgileri'!$A$2:$J$700,10,FALSE)))</f>
        <v>#N/A</v>
      </c>
    </row>
    <row r="212" spans="1:39" x14ac:dyDescent="0.2">
      <c r="A212" s="170">
        <v>204</v>
      </c>
      <c r="B212" s="147" t="e">
        <f>CONCATENATE(IF($A212="","",VLOOKUP($A212,'İşçi Bilgileri'!$A$2:$D$700,2,FALSE))," ",IF($A212="","",VLOOKUP($A212,'İşçi Bilgileri'!$A$2:$D$700,3,FALSE)))</f>
        <v>#N/A</v>
      </c>
      <c r="C212" s="171" t="e">
        <f>IF($A212="","",VLOOKUP($A212,'İşçi Bilgileri'!$A$2:$D$700,4,FALSE))</f>
        <v>#N/A</v>
      </c>
      <c r="D212" s="298"/>
      <c r="E212" s="298"/>
      <c r="F212" s="298"/>
      <c r="G212" s="298"/>
      <c r="H212" s="298"/>
      <c r="I212" s="298"/>
      <c r="J212" s="298"/>
      <c r="K212" s="298"/>
      <c r="L212" s="298"/>
      <c r="M212" s="298"/>
      <c r="N212" s="298"/>
      <c r="O212" s="298"/>
      <c r="P212" s="298"/>
      <c r="Q212" s="298"/>
      <c r="R212" s="298"/>
      <c r="S212" s="298"/>
      <c r="T212" s="298"/>
      <c r="U212" s="298"/>
      <c r="V212" s="298"/>
      <c r="W212" s="298"/>
      <c r="X212" s="298"/>
      <c r="Y212" s="298"/>
      <c r="Z212" s="298"/>
      <c r="AA212" s="298"/>
      <c r="AB212" s="298"/>
      <c r="AC212" s="298"/>
      <c r="AD212" s="298"/>
      <c r="AE212" s="298"/>
      <c r="AF212" s="298"/>
      <c r="AG212" s="298"/>
      <c r="AH212" s="298"/>
      <c r="AI212" s="166">
        <f t="shared" si="6"/>
        <v>0</v>
      </c>
      <c r="AJ212" s="166">
        <f t="shared" si="7"/>
        <v>0</v>
      </c>
      <c r="AK212" s="166"/>
      <c r="AL212" s="230" t="e">
        <f>IF($A212="","",IF(VLOOKUP($A212,'İşçi Bilgileri'!$A$2:$J$700,9,FALSE)=0,"",VLOOKUP($A212,'İşçi Bilgileri'!$A$2:$J$700,9,FALSE)))</f>
        <v>#N/A</v>
      </c>
      <c r="AM212" s="172" t="e">
        <f>IF($A212="","",IF(VLOOKUP($A212,'İşçi Bilgileri'!$A$2:$J$700,10,FALSE)=0,"",VLOOKUP($A212,'İşçi Bilgileri'!$A$2:$J$700,10,FALSE)))</f>
        <v>#N/A</v>
      </c>
    </row>
    <row r="213" spans="1:39" x14ac:dyDescent="0.2">
      <c r="A213" s="170">
        <v>205</v>
      </c>
      <c r="B213" s="147" t="e">
        <f>CONCATENATE(IF($A213="","",VLOOKUP($A213,'İşçi Bilgileri'!$A$2:$D$700,2,FALSE))," ",IF($A213="","",VLOOKUP($A213,'İşçi Bilgileri'!$A$2:$D$700,3,FALSE)))</f>
        <v>#N/A</v>
      </c>
      <c r="C213" s="171" t="e">
        <f>IF($A213="","",VLOOKUP($A213,'İşçi Bilgileri'!$A$2:$D$700,4,FALSE))</f>
        <v>#N/A</v>
      </c>
      <c r="D213" s="298"/>
      <c r="E213" s="298"/>
      <c r="F213" s="298"/>
      <c r="G213" s="298"/>
      <c r="H213" s="298"/>
      <c r="I213" s="298"/>
      <c r="J213" s="298"/>
      <c r="K213" s="298"/>
      <c r="L213" s="298"/>
      <c r="M213" s="298"/>
      <c r="N213" s="298"/>
      <c r="O213" s="298"/>
      <c r="P213" s="298"/>
      <c r="Q213" s="298"/>
      <c r="R213" s="298"/>
      <c r="S213" s="298"/>
      <c r="T213" s="298"/>
      <c r="U213" s="298"/>
      <c r="V213" s="298"/>
      <c r="W213" s="298"/>
      <c r="X213" s="298"/>
      <c r="Y213" s="298"/>
      <c r="Z213" s="298"/>
      <c r="AA213" s="298"/>
      <c r="AB213" s="298"/>
      <c r="AC213" s="298"/>
      <c r="AD213" s="298"/>
      <c r="AE213" s="298"/>
      <c r="AF213" s="298"/>
      <c r="AG213" s="298"/>
      <c r="AH213" s="298"/>
      <c r="AI213" s="166">
        <f t="shared" si="6"/>
        <v>0</v>
      </c>
      <c r="AJ213" s="166">
        <f t="shared" si="7"/>
        <v>0</v>
      </c>
      <c r="AK213" s="166"/>
      <c r="AL213" s="230" t="e">
        <f>IF($A213="","",IF(VLOOKUP($A213,'İşçi Bilgileri'!$A$2:$J$700,9,FALSE)=0,"",VLOOKUP($A213,'İşçi Bilgileri'!$A$2:$J$700,9,FALSE)))</f>
        <v>#N/A</v>
      </c>
      <c r="AM213" s="172" t="e">
        <f>IF($A213="","",IF(VLOOKUP($A213,'İşçi Bilgileri'!$A$2:$J$700,10,FALSE)=0,"",VLOOKUP($A213,'İşçi Bilgileri'!$A$2:$J$700,10,FALSE)))</f>
        <v>#N/A</v>
      </c>
    </row>
    <row r="214" spans="1:39" ht="14.25" customHeight="1" x14ac:dyDescent="0.2">
      <c r="A214" s="170">
        <v>206</v>
      </c>
      <c r="B214" s="147" t="e">
        <f>CONCATENATE(IF($A214="","",VLOOKUP($A214,'İşçi Bilgileri'!$A$2:$D$700,2,FALSE))," ",IF($A214="","",VLOOKUP($A214,'İşçi Bilgileri'!$A$2:$D$700,3,FALSE)))</f>
        <v>#N/A</v>
      </c>
      <c r="C214" s="171" t="e">
        <f>IF($A214="","",VLOOKUP($A214,'İşçi Bilgileri'!$A$2:$D$700,4,FALSE))</f>
        <v>#N/A</v>
      </c>
      <c r="D214" s="298"/>
      <c r="E214" s="298"/>
      <c r="F214" s="298"/>
      <c r="G214" s="298"/>
      <c r="H214" s="298"/>
      <c r="I214" s="298"/>
      <c r="J214" s="298"/>
      <c r="K214" s="298"/>
      <c r="L214" s="298"/>
      <c r="M214" s="298"/>
      <c r="N214" s="298"/>
      <c r="O214" s="298"/>
      <c r="P214" s="298"/>
      <c r="Q214" s="298"/>
      <c r="R214" s="298"/>
      <c r="S214" s="298"/>
      <c r="T214" s="298"/>
      <c r="U214" s="298"/>
      <c r="V214" s="298"/>
      <c r="W214" s="298"/>
      <c r="X214" s="298"/>
      <c r="Y214" s="298"/>
      <c r="Z214" s="298"/>
      <c r="AA214" s="298"/>
      <c r="AB214" s="298"/>
      <c r="AC214" s="298"/>
      <c r="AD214" s="298"/>
      <c r="AE214" s="298"/>
      <c r="AF214" s="298"/>
      <c r="AG214" s="298"/>
      <c r="AH214" s="298"/>
      <c r="AI214" s="166">
        <f t="shared" si="6"/>
        <v>0</v>
      </c>
      <c r="AJ214" s="166">
        <f t="shared" si="7"/>
        <v>0</v>
      </c>
      <c r="AK214" s="166"/>
      <c r="AL214" s="230" t="e">
        <f>IF($A214="","",IF(VLOOKUP($A214,'İşçi Bilgileri'!$A$2:$J$700,9,FALSE)=0,"",VLOOKUP($A214,'İşçi Bilgileri'!$A$2:$J$700,9,FALSE)))</f>
        <v>#N/A</v>
      </c>
      <c r="AM214" s="172" t="e">
        <f>IF($A214="","",IF(VLOOKUP($A214,'İşçi Bilgileri'!$A$2:$J$700,10,FALSE)=0,"",VLOOKUP($A214,'İşçi Bilgileri'!$A$2:$J$700,10,FALSE)))</f>
        <v>#N/A</v>
      </c>
    </row>
    <row r="215" spans="1:39" x14ac:dyDescent="0.2">
      <c r="A215" s="170">
        <v>207</v>
      </c>
      <c r="B215" s="147" t="e">
        <f>CONCATENATE(IF($A215="","",VLOOKUP($A215,'İşçi Bilgileri'!$A$2:$D$700,2,FALSE))," ",IF($A215="","",VLOOKUP($A215,'İşçi Bilgileri'!$A$2:$D$700,3,FALSE)))</f>
        <v>#N/A</v>
      </c>
      <c r="C215" s="171" t="e">
        <f>IF($A215="","",VLOOKUP($A215,'İşçi Bilgileri'!$A$2:$D$700,4,FALSE))</f>
        <v>#N/A</v>
      </c>
      <c r="D215" s="298"/>
      <c r="E215" s="298"/>
      <c r="F215" s="298"/>
      <c r="G215" s="298"/>
      <c r="H215" s="298"/>
      <c r="I215" s="298"/>
      <c r="J215" s="298"/>
      <c r="K215" s="298"/>
      <c r="L215" s="298"/>
      <c r="M215" s="298"/>
      <c r="N215" s="298"/>
      <c r="O215" s="298"/>
      <c r="P215" s="298"/>
      <c r="Q215" s="298"/>
      <c r="R215" s="298"/>
      <c r="S215" s="298"/>
      <c r="T215" s="298"/>
      <c r="U215" s="298"/>
      <c r="V215" s="298"/>
      <c r="W215" s="298"/>
      <c r="X215" s="298"/>
      <c r="Y215" s="298"/>
      <c r="Z215" s="298"/>
      <c r="AA215" s="298"/>
      <c r="AB215" s="298"/>
      <c r="AC215" s="298"/>
      <c r="AD215" s="298"/>
      <c r="AE215" s="298"/>
      <c r="AF215" s="298"/>
      <c r="AG215" s="298"/>
      <c r="AH215" s="298"/>
      <c r="AI215" s="166">
        <f t="shared" si="6"/>
        <v>0</v>
      </c>
      <c r="AJ215" s="166">
        <f t="shared" si="7"/>
        <v>0</v>
      </c>
      <c r="AK215" s="166"/>
      <c r="AL215" s="230" t="e">
        <f>IF($A215="","",IF(VLOOKUP($A215,'İşçi Bilgileri'!$A$2:$J$700,9,FALSE)=0,"",VLOOKUP($A215,'İşçi Bilgileri'!$A$2:$J$700,9,FALSE)))</f>
        <v>#N/A</v>
      </c>
      <c r="AM215" s="172" t="e">
        <f>IF($A215="","",IF(VLOOKUP($A215,'İşçi Bilgileri'!$A$2:$J$700,10,FALSE)=0,"",VLOOKUP($A215,'İşçi Bilgileri'!$A$2:$J$700,10,FALSE)))</f>
        <v>#N/A</v>
      </c>
    </row>
    <row r="216" spans="1:39" x14ac:dyDescent="0.2">
      <c r="A216" s="170">
        <v>208</v>
      </c>
      <c r="B216" s="147" t="e">
        <f>CONCATENATE(IF($A216="","",VLOOKUP($A216,'İşçi Bilgileri'!$A$2:$D$700,2,FALSE))," ",IF($A216="","",VLOOKUP($A216,'İşçi Bilgileri'!$A$2:$D$700,3,FALSE)))</f>
        <v>#N/A</v>
      </c>
      <c r="C216" s="171" t="e">
        <f>IF($A216="","",VLOOKUP($A216,'İşçi Bilgileri'!$A$2:$D$700,4,FALSE))</f>
        <v>#N/A</v>
      </c>
      <c r="D216" s="298"/>
      <c r="E216" s="298"/>
      <c r="F216" s="298"/>
      <c r="G216" s="298"/>
      <c r="H216" s="298"/>
      <c r="I216" s="298"/>
      <c r="J216" s="298"/>
      <c r="K216" s="298"/>
      <c r="L216" s="298"/>
      <c r="M216" s="298"/>
      <c r="N216" s="298"/>
      <c r="O216" s="298"/>
      <c r="P216" s="298"/>
      <c r="Q216" s="298"/>
      <c r="R216" s="298"/>
      <c r="S216" s="298"/>
      <c r="T216" s="298"/>
      <c r="U216" s="298"/>
      <c r="V216" s="298"/>
      <c r="W216" s="298"/>
      <c r="X216" s="298"/>
      <c r="Y216" s="298"/>
      <c r="Z216" s="298"/>
      <c r="AA216" s="298"/>
      <c r="AB216" s="298"/>
      <c r="AC216" s="298"/>
      <c r="AD216" s="298"/>
      <c r="AE216" s="298"/>
      <c r="AF216" s="298"/>
      <c r="AG216" s="298"/>
      <c r="AH216" s="298"/>
      <c r="AI216" s="166">
        <f t="shared" si="6"/>
        <v>0</v>
      </c>
      <c r="AJ216" s="166">
        <f t="shared" si="7"/>
        <v>0</v>
      </c>
      <c r="AK216" s="166"/>
      <c r="AL216" s="230" t="e">
        <f>IF($A216="","",IF(VLOOKUP($A216,'İşçi Bilgileri'!$A$2:$J$700,9,FALSE)=0,"",VLOOKUP($A216,'İşçi Bilgileri'!$A$2:$J$700,9,FALSE)))</f>
        <v>#N/A</v>
      </c>
      <c r="AM216" s="172" t="e">
        <f>IF($A216="","",IF(VLOOKUP($A216,'İşçi Bilgileri'!$A$2:$J$700,10,FALSE)=0,"",VLOOKUP($A216,'İşçi Bilgileri'!$A$2:$J$700,10,FALSE)))</f>
        <v>#N/A</v>
      </c>
    </row>
    <row r="217" spans="1:39" x14ac:dyDescent="0.2">
      <c r="A217" s="170">
        <v>209</v>
      </c>
      <c r="B217" s="147" t="e">
        <f>CONCATENATE(IF($A217="","",VLOOKUP($A217,'İşçi Bilgileri'!$A$2:$D$700,2,FALSE))," ",IF($A217="","",VLOOKUP($A217,'İşçi Bilgileri'!$A$2:$D$700,3,FALSE)))</f>
        <v>#N/A</v>
      </c>
      <c r="C217" s="171" t="e">
        <f>IF($A217="","",VLOOKUP($A217,'İşçi Bilgileri'!$A$2:$D$700,4,FALSE))</f>
        <v>#N/A</v>
      </c>
      <c r="D217" s="298"/>
      <c r="E217" s="298"/>
      <c r="F217" s="298"/>
      <c r="G217" s="298"/>
      <c r="H217" s="298"/>
      <c r="I217" s="298"/>
      <c r="J217" s="298"/>
      <c r="K217" s="298"/>
      <c r="L217" s="298"/>
      <c r="M217" s="298"/>
      <c r="N217" s="298"/>
      <c r="O217" s="298"/>
      <c r="P217" s="298"/>
      <c r="Q217" s="298"/>
      <c r="R217" s="298"/>
      <c r="S217" s="298"/>
      <c r="T217" s="298"/>
      <c r="U217" s="298"/>
      <c r="V217" s="298"/>
      <c r="W217" s="298"/>
      <c r="X217" s="298"/>
      <c r="Y217" s="298"/>
      <c r="Z217" s="298"/>
      <c r="AA217" s="298"/>
      <c r="AB217" s="298"/>
      <c r="AC217" s="298"/>
      <c r="AD217" s="298"/>
      <c r="AE217" s="298"/>
      <c r="AF217" s="298"/>
      <c r="AG217" s="298"/>
      <c r="AH217" s="298"/>
      <c r="AI217" s="166">
        <f t="shared" si="6"/>
        <v>0</v>
      </c>
      <c r="AJ217" s="166">
        <f t="shared" si="7"/>
        <v>0</v>
      </c>
      <c r="AK217" s="166"/>
      <c r="AL217" s="230" t="e">
        <f>IF($A217="","",IF(VLOOKUP($A217,'İşçi Bilgileri'!$A$2:$J$700,9,FALSE)=0,"",VLOOKUP($A217,'İşçi Bilgileri'!$A$2:$J$700,9,FALSE)))</f>
        <v>#N/A</v>
      </c>
      <c r="AM217" s="172" t="e">
        <f>IF($A217="","",IF(VLOOKUP($A217,'İşçi Bilgileri'!$A$2:$J$700,10,FALSE)=0,"",VLOOKUP($A217,'İşçi Bilgileri'!$A$2:$J$700,10,FALSE)))</f>
        <v>#N/A</v>
      </c>
    </row>
    <row r="218" spans="1:39" x14ac:dyDescent="0.2">
      <c r="A218" s="170">
        <v>210</v>
      </c>
      <c r="B218" s="147" t="e">
        <f>CONCATENATE(IF($A218="","",VLOOKUP($A218,'İşçi Bilgileri'!$A$2:$D$700,2,FALSE))," ",IF($A218="","",VLOOKUP($A218,'İşçi Bilgileri'!$A$2:$D$700,3,FALSE)))</f>
        <v>#N/A</v>
      </c>
      <c r="C218" s="171" t="e">
        <f>IF($A218="","",VLOOKUP($A218,'İşçi Bilgileri'!$A$2:$D$700,4,FALSE))</f>
        <v>#N/A</v>
      </c>
      <c r="D218" s="298"/>
      <c r="E218" s="298"/>
      <c r="F218" s="298"/>
      <c r="G218" s="298"/>
      <c r="H218" s="298"/>
      <c r="I218" s="298"/>
      <c r="J218" s="298"/>
      <c r="K218" s="298"/>
      <c r="L218" s="298"/>
      <c r="M218" s="298"/>
      <c r="N218" s="298"/>
      <c r="O218" s="298"/>
      <c r="P218" s="298"/>
      <c r="Q218" s="298"/>
      <c r="R218" s="298"/>
      <c r="S218" s="298"/>
      <c r="T218" s="298"/>
      <c r="U218" s="298"/>
      <c r="V218" s="298"/>
      <c r="W218" s="298"/>
      <c r="X218" s="298"/>
      <c r="Y218" s="298"/>
      <c r="Z218" s="298"/>
      <c r="AA218" s="298"/>
      <c r="AB218" s="298"/>
      <c r="AC218" s="298"/>
      <c r="AD218" s="298"/>
      <c r="AE218" s="298"/>
      <c r="AF218" s="298"/>
      <c r="AG218" s="298"/>
      <c r="AH218" s="298"/>
      <c r="AI218" s="166">
        <f t="shared" si="6"/>
        <v>0</v>
      </c>
      <c r="AJ218" s="166">
        <f t="shared" si="7"/>
        <v>0</v>
      </c>
      <c r="AK218" s="166"/>
      <c r="AL218" s="230" t="e">
        <f>IF($A218="","",IF(VLOOKUP($A218,'İşçi Bilgileri'!$A$2:$J$700,9,FALSE)=0,"",VLOOKUP($A218,'İşçi Bilgileri'!$A$2:$J$700,9,FALSE)))</f>
        <v>#N/A</v>
      </c>
      <c r="AM218" s="172" t="e">
        <f>IF($A218="","",IF(VLOOKUP($A218,'İşçi Bilgileri'!$A$2:$J$700,10,FALSE)=0,"",VLOOKUP($A218,'İşçi Bilgileri'!$A$2:$J$700,10,FALSE)))</f>
        <v>#N/A</v>
      </c>
    </row>
    <row r="219" spans="1:39" x14ac:dyDescent="0.2">
      <c r="A219" s="170">
        <v>211</v>
      </c>
      <c r="B219" s="147" t="e">
        <f>CONCATENATE(IF($A219="","",VLOOKUP($A219,'İşçi Bilgileri'!$A$2:$D$700,2,FALSE))," ",IF($A219="","",VLOOKUP($A219,'İşçi Bilgileri'!$A$2:$D$700,3,FALSE)))</f>
        <v>#N/A</v>
      </c>
      <c r="C219" s="171" t="e">
        <f>IF($A219="","",VLOOKUP($A219,'İşçi Bilgileri'!$A$2:$D$700,4,FALSE))</f>
        <v>#N/A</v>
      </c>
      <c r="D219" s="298"/>
      <c r="E219" s="298"/>
      <c r="F219" s="298"/>
      <c r="G219" s="298"/>
      <c r="H219" s="298"/>
      <c r="I219" s="298"/>
      <c r="J219" s="298"/>
      <c r="K219" s="298"/>
      <c r="L219" s="298"/>
      <c r="M219" s="298"/>
      <c r="N219" s="298"/>
      <c r="O219" s="298"/>
      <c r="P219" s="298"/>
      <c r="Q219" s="298"/>
      <c r="R219" s="298"/>
      <c r="S219" s="298"/>
      <c r="T219" s="298"/>
      <c r="U219" s="298"/>
      <c r="V219" s="298"/>
      <c r="W219" s="298"/>
      <c r="X219" s="298"/>
      <c r="Y219" s="298"/>
      <c r="Z219" s="298"/>
      <c r="AA219" s="298"/>
      <c r="AB219" s="298"/>
      <c r="AC219" s="298"/>
      <c r="AD219" s="298"/>
      <c r="AE219" s="298"/>
      <c r="AF219" s="298"/>
      <c r="AG219" s="298"/>
      <c r="AH219" s="298"/>
      <c r="AI219" s="166">
        <f t="shared" si="6"/>
        <v>0</v>
      </c>
      <c r="AJ219" s="166">
        <f t="shared" si="7"/>
        <v>0</v>
      </c>
      <c r="AK219" s="166"/>
      <c r="AL219" s="230" t="e">
        <f>IF($A219="","",IF(VLOOKUP($A219,'İşçi Bilgileri'!$A$2:$J$700,9,FALSE)=0,"",VLOOKUP($A219,'İşçi Bilgileri'!$A$2:$J$700,9,FALSE)))</f>
        <v>#N/A</v>
      </c>
      <c r="AM219" s="172" t="e">
        <f>IF($A219="","",IF(VLOOKUP($A219,'İşçi Bilgileri'!$A$2:$J$700,10,FALSE)=0,"",VLOOKUP($A219,'İşçi Bilgileri'!$A$2:$J$700,10,FALSE)))</f>
        <v>#N/A</v>
      </c>
    </row>
    <row r="220" spans="1:39" x14ac:dyDescent="0.2">
      <c r="A220" s="170">
        <v>212</v>
      </c>
      <c r="B220" s="147" t="e">
        <f>CONCATENATE(IF($A220="","",VLOOKUP($A220,'İşçi Bilgileri'!$A$2:$D$700,2,FALSE))," ",IF($A220="","",VLOOKUP($A220,'İşçi Bilgileri'!$A$2:$D$700,3,FALSE)))</f>
        <v>#N/A</v>
      </c>
      <c r="C220" s="171" t="e">
        <f>IF($A220="","",VLOOKUP($A220,'İşçi Bilgileri'!$A$2:$D$700,4,FALSE))</f>
        <v>#N/A</v>
      </c>
      <c r="D220" s="298"/>
      <c r="E220" s="298"/>
      <c r="F220" s="298"/>
      <c r="G220" s="298"/>
      <c r="H220" s="298"/>
      <c r="I220" s="298"/>
      <c r="J220" s="298"/>
      <c r="K220" s="298"/>
      <c r="L220" s="298"/>
      <c r="M220" s="298"/>
      <c r="N220" s="298"/>
      <c r="O220" s="298"/>
      <c r="P220" s="298"/>
      <c r="Q220" s="298"/>
      <c r="R220" s="298"/>
      <c r="S220" s="298"/>
      <c r="T220" s="298"/>
      <c r="U220" s="298"/>
      <c r="V220" s="298"/>
      <c r="W220" s="298"/>
      <c r="X220" s="298"/>
      <c r="Y220" s="298"/>
      <c r="Z220" s="298"/>
      <c r="AA220" s="298"/>
      <c r="AB220" s="298"/>
      <c r="AC220" s="298"/>
      <c r="AD220" s="298"/>
      <c r="AE220" s="298"/>
      <c r="AF220" s="298"/>
      <c r="AG220" s="298"/>
      <c r="AH220" s="298"/>
      <c r="AI220" s="166">
        <f t="shared" si="6"/>
        <v>0</v>
      </c>
      <c r="AJ220" s="166">
        <f t="shared" si="7"/>
        <v>0</v>
      </c>
      <c r="AK220" s="166"/>
      <c r="AL220" s="230" t="e">
        <f>IF($A220="","",IF(VLOOKUP($A220,'İşçi Bilgileri'!$A$2:$J$700,9,FALSE)=0,"",VLOOKUP($A220,'İşçi Bilgileri'!$A$2:$J$700,9,FALSE)))</f>
        <v>#N/A</v>
      </c>
      <c r="AM220" s="172" t="e">
        <f>IF($A220="","",IF(VLOOKUP($A220,'İşçi Bilgileri'!$A$2:$J$700,10,FALSE)=0,"",VLOOKUP($A220,'İşçi Bilgileri'!$A$2:$J$700,10,FALSE)))</f>
        <v>#N/A</v>
      </c>
    </row>
    <row r="221" spans="1:39" x14ac:dyDescent="0.2">
      <c r="A221" s="170">
        <v>213</v>
      </c>
      <c r="B221" s="147" t="e">
        <f>CONCATENATE(IF($A221="","",VLOOKUP($A221,'İşçi Bilgileri'!$A$2:$D$700,2,FALSE))," ",IF($A221="","",VLOOKUP($A221,'İşçi Bilgileri'!$A$2:$D$700,3,FALSE)))</f>
        <v>#N/A</v>
      </c>
      <c r="C221" s="171" t="e">
        <f>IF($A221="","",VLOOKUP($A221,'İşçi Bilgileri'!$A$2:$D$700,4,FALSE))</f>
        <v>#N/A</v>
      </c>
      <c r="D221" s="298"/>
      <c r="E221" s="298"/>
      <c r="F221" s="298"/>
      <c r="G221" s="298"/>
      <c r="H221" s="298"/>
      <c r="I221" s="298"/>
      <c r="J221" s="298"/>
      <c r="K221" s="298"/>
      <c r="L221" s="298"/>
      <c r="M221" s="298"/>
      <c r="N221" s="298"/>
      <c r="O221" s="298"/>
      <c r="P221" s="298"/>
      <c r="Q221" s="298"/>
      <c r="R221" s="298"/>
      <c r="S221" s="298"/>
      <c r="T221" s="298"/>
      <c r="U221" s="298"/>
      <c r="V221" s="298"/>
      <c r="W221" s="298"/>
      <c r="X221" s="298"/>
      <c r="Y221" s="298"/>
      <c r="Z221" s="298"/>
      <c r="AA221" s="298"/>
      <c r="AB221" s="298"/>
      <c r="AC221" s="298"/>
      <c r="AD221" s="298"/>
      <c r="AE221" s="298"/>
      <c r="AF221" s="298"/>
      <c r="AG221" s="298"/>
      <c r="AH221" s="298"/>
      <c r="AI221" s="166">
        <f t="shared" si="6"/>
        <v>0</v>
      </c>
      <c r="AJ221" s="166">
        <f t="shared" si="7"/>
        <v>0</v>
      </c>
      <c r="AK221" s="166"/>
      <c r="AL221" s="230" t="e">
        <f>IF($A221="","",IF(VLOOKUP($A221,'İşçi Bilgileri'!$A$2:$J$700,9,FALSE)=0,"",VLOOKUP($A221,'İşçi Bilgileri'!$A$2:$J$700,9,FALSE)))</f>
        <v>#N/A</v>
      </c>
      <c r="AM221" s="172" t="e">
        <f>IF($A221="","",IF(VLOOKUP($A221,'İşçi Bilgileri'!$A$2:$J$700,10,FALSE)=0,"",VLOOKUP($A221,'İşçi Bilgileri'!$A$2:$J$700,10,FALSE)))</f>
        <v>#N/A</v>
      </c>
    </row>
    <row r="222" spans="1:39" x14ac:dyDescent="0.2">
      <c r="A222" s="170">
        <v>214</v>
      </c>
      <c r="B222" s="147" t="e">
        <f>CONCATENATE(IF($A222="","",VLOOKUP($A222,'İşçi Bilgileri'!$A$2:$D$700,2,FALSE))," ",IF($A222="","",VLOOKUP($A222,'İşçi Bilgileri'!$A$2:$D$700,3,FALSE)))</f>
        <v>#N/A</v>
      </c>
      <c r="C222" s="171" t="e">
        <f>IF($A222="","",VLOOKUP($A222,'İşçi Bilgileri'!$A$2:$D$700,4,FALSE))</f>
        <v>#N/A</v>
      </c>
      <c r="D222" s="298"/>
      <c r="E222" s="298"/>
      <c r="F222" s="298"/>
      <c r="G222" s="298"/>
      <c r="H222" s="298"/>
      <c r="I222" s="298"/>
      <c r="J222" s="298"/>
      <c r="K222" s="298"/>
      <c r="L222" s="298"/>
      <c r="M222" s="298"/>
      <c r="N222" s="298"/>
      <c r="O222" s="298"/>
      <c r="P222" s="298"/>
      <c r="Q222" s="298"/>
      <c r="R222" s="298"/>
      <c r="S222" s="298"/>
      <c r="T222" s="298"/>
      <c r="U222" s="298"/>
      <c r="V222" s="298"/>
      <c r="W222" s="298"/>
      <c r="X222" s="298"/>
      <c r="Y222" s="298"/>
      <c r="Z222" s="298"/>
      <c r="AA222" s="298"/>
      <c r="AB222" s="298"/>
      <c r="AC222" s="298"/>
      <c r="AD222" s="298"/>
      <c r="AE222" s="298"/>
      <c r="AF222" s="298"/>
      <c r="AG222" s="298"/>
      <c r="AH222" s="298"/>
      <c r="AI222" s="166">
        <f t="shared" si="6"/>
        <v>0</v>
      </c>
      <c r="AJ222" s="166">
        <f t="shared" si="7"/>
        <v>0</v>
      </c>
      <c r="AK222" s="166"/>
      <c r="AL222" s="230" t="e">
        <f>IF($A222="","",IF(VLOOKUP($A222,'İşçi Bilgileri'!$A$2:$J$700,9,FALSE)=0,"",VLOOKUP($A222,'İşçi Bilgileri'!$A$2:$J$700,9,FALSE)))</f>
        <v>#N/A</v>
      </c>
      <c r="AM222" s="172" t="e">
        <f>IF($A222="","",IF(VLOOKUP($A222,'İşçi Bilgileri'!$A$2:$J$700,10,FALSE)=0,"",VLOOKUP($A222,'İşçi Bilgileri'!$A$2:$J$700,10,FALSE)))</f>
        <v>#N/A</v>
      </c>
    </row>
    <row r="223" spans="1:39" x14ac:dyDescent="0.2">
      <c r="A223" s="170">
        <v>215</v>
      </c>
      <c r="B223" s="147" t="e">
        <f>CONCATENATE(IF($A223="","",VLOOKUP($A223,'İşçi Bilgileri'!$A$2:$D$700,2,FALSE))," ",IF($A223="","",VLOOKUP($A223,'İşçi Bilgileri'!$A$2:$D$700,3,FALSE)))</f>
        <v>#N/A</v>
      </c>
      <c r="C223" s="171" t="e">
        <f>IF($A223="","",VLOOKUP($A223,'İşçi Bilgileri'!$A$2:$D$700,4,FALSE))</f>
        <v>#N/A</v>
      </c>
      <c r="D223" s="298"/>
      <c r="E223" s="298"/>
      <c r="F223" s="298"/>
      <c r="G223" s="298"/>
      <c r="H223" s="298"/>
      <c r="I223" s="298"/>
      <c r="J223" s="298"/>
      <c r="K223" s="298"/>
      <c r="L223" s="298"/>
      <c r="M223" s="298"/>
      <c r="N223" s="298"/>
      <c r="O223" s="298"/>
      <c r="P223" s="298"/>
      <c r="Q223" s="298"/>
      <c r="R223" s="298"/>
      <c r="S223" s="298"/>
      <c r="T223" s="298"/>
      <c r="U223" s="298"/>
      <c r="V223" s="298"/>
      <c r="W223" s="298"/>
      <c r="X223" s="298"/>
      <c r="Y223" s="298"/>
      <c r="Z223" s="298"/>
      <c r="AA223" s="298"/>
      <c r="AB223" s="298"/>
      <c r="AC223" s="298"/>
      <c r="AD223" s="298"/>
      <c r="AE223" s="298"/>
      <c r="AF223" s="298"/>
      <c r="AG223" s="298"/>
      <c r="AH223" s="298"/>
      <c r="AI223" s="166">
        <f t="shared" si="6"/>
        <v>0</v>
      </c>
      <c r="AJ223" s="166">
        <f t="shared" si="7"/>
        <v>0</v>
      </c>
      <c r="AK223" s="166"/>
      <c r="AL223" s="230" t="e">
        <f>IF($A223="","",IF(VLOOKUP($A223,'İşçi Bilgileri'!$A$2:$J$700,9,FALSE)=0,"",VLOOKUP($A223,'İşçi Bilgileri'!$A$2:$J$700,9,FALSE)))</f>
        <v>#N/A</v>
      </c>
      <c r="AM223" s="172" t="e">
        <f>IF($A223="","",IF(VLOOKUP($A223,'İşçi Bilgileri'!$A$2:$J$700,10,FALSE)=0,"",VLOOKUP($A223,'İşçi Bilgileri'!$A$2:$J$700,10,FALSE)))</f>
        <v>#N/A</v>
      </c>
    </row>
    <row r="224" spans="1:39" x14ac:dyDescent="0.2">
      <c r="A224" s="170">
        <v>216</v>
      </c>
      <c r="B224" s="147" t="e">
        <f>CONCATENATE(IF($A224="","",VLOOKUP($A224,'İşçi Bilgileri'!$A$2:$D$700,2,FALSE))," ",IF($A224="","",VLOOKUP($A224,'İşçi Bilgileri'!$A$2:$D$700,3,FALSE)))</f>
        <v>#N/A</v>
      </c>
      <c r="C224" s="171" t="e">
        <f>IF($A224="","",VLOOKUP($A224,'İşçi Bilgileri'!$A$2:$D$700,4,FALSE))</f>
        <v>#N/A</v>
      </c>
      <c r="D224" s="298"/>
      <c r="E224" s="298"/>
      <c r="F224" s="298"/>
      <c r="G224" s="298"/>
      <c r="H224" s="298"/>
      <c r="I224" s="298"/>
      <c r="J224" s="298"/>
      <c r="K224" s="298"/>
      <c r="L224" s="298"/>
      <c r="M224" s="298"/>
      <c r="N224" s="298"/>
      <c r="O224" s="298"/>
      <c r="P224" s="298"/>
      <c r="Q224" s="298"/>
      <c r="R224" s="298"/>
      <c r="S224" s="298"/>
      <c r="T224" s="298"/>
      <c r="U224" s="298"/>
      <c r="V224" s="298"/>
      <c r="W224" s="298"/>
      <c r="X224" s="298"/>
      <c r="Y224" s="298"/>
      <c r="Z224" s="298"/>
      <c r="AA224" s="298"/>
      <c r="AB224" s="298"/>
      <c r="AC224" s="298"/>
      <c r="AD224" s="298"/>
      <c r="AE224" s="298"/>
      <c r="AF224" s="298"/>
      <c r="AG224" s="298"/>
      <c r="AH224" s="298"/>
      <c r="AI224" s="166">
        <f t="shared" si="6"/>
        <v>0</v>
      </c>
      <c r="AJ224" s="166">
        <f t="shared" si="7"/>
        <v>0</v>
      </c>
      <c r="AK224" s="166"/>
      <c r="AL224" s="230" t="e">
        <f>IF($A224="","",IF(VLOOKUP($A224,'İşçi Bilgileri'!$A$2:$J$700,9,FALSE)=0,"",VLOOKUP($A224,'İşçi Bilgileri'!$A$2:$J$700,9,FALSE)))</f>
        <v>#N/A</v>
      </c>
      <c r="AM224" s="172" t="e">
        <f>IF($A224="","",IF(VLOOKUP($A224,'İşçi Bilgileri'!$A$2:$J$700,10,FALSE)=0,"",VLOOKUP($A224,'İşçi Bilgileri'!$A$2:$J$700,10,FALSE)))</f>
        <v>#N/A</v>
      </c>
    </row>
    <row r="225" spans="1:39" x14ac:dyDescent="0.2">
      <c r="A225" s="170">
        <v>217</v>
      </c>
      <c r="B225" s="147" t="e">
        <f>CONCATENATE(IF($A225="","",VLOOKUP($A225,'İşçi Bilgileri'!$A$2:$D$700,2,FALSE))," ",IF($A225="","",VLOOKUP($A225,'İşçi Bilgileri'!$A$2:$D$700,3,FALSE)))</f>
        <v>#N/A</v>
      </c>
      <c r="C225" s="171" t="e">
        <f>IF($A225="","",VLOOKUP($A225,'İşçi Bilgileri'!$A$2:$D$700,4,FALSE))</f>
        <v>#N/A</v>
      </c>
      <c r="D225" s="298"/>
      <c r="E225" s="298"/>
      <c r="F225" s="298"/>
      <c r="G225" s="298"/>
      <c r="H225" s="298"/>
      <c r="I225" s="298"/>
      <c r="J225" s="298"/>
      <c r="K225" s="298"/>
      <c r="L225" s="298"/>
      <c r="M225" s="298"/>
      <c r="N225" s="298"/>
      <c r="O225" s="298"/>
      <c r="P225" s="298"/>
      <c r="Q225" s="298"/>
      <c r="R225" s="298"/>
      <c r="S225" s="298"/>
      <c r="T225" s="298"/>
      <c r="U225" s="298"/>
      <c r="V225" s="298"/>
      <c r="W225" s="298"/>
      <c r="X225" s="298"/>
      <c r="Y225" s="298"/>
      <c r="Z225" s="298"/>
      <c r="AA225" s="298"/>
      <c r="AB225" s="298"/>
      <c r="AC225" s="298"/>
      <c r="AD225" s="298"/>
      <c r="AE225" s="298"/>
      <c r="AF225" s="298"/>
      <c r="AG225" s="298"/>
      <c r="AH225" s="298"/>
      <c r="AI225" s="166">
        <f t="shared" si="6"/>
        <v>0</v>
      </c>
      <c r="AJ225" s="166">
        <f t="shared" si="7"/>
        <v>0</v>
      </c>
      <c r="AK225" s="166"/>
      <c r="AL225" s="230" t="e">
        <f>IF($A225="","",IF(VLOOKUP($A225,'İşçi Bilgileri'!$A$2:$J$700,9,FALSE)=0,"",VLOOKUP($A225,'İşçi Bilgileri'!$A$2:$J$700,9,FALSE)))</f>
        <v>#N/A</v>
      </c>
      <c r="AM225" s="172" t="e">
        <f>IF($A225="","",IF(VLOOKUP($A225,'İşçi Bilgileri'!$A$2:$J$700,10,FALSE)=0,"",VLOOKUP($A225,'İşçi Bilgileri'!$A$2:$J$700,10,FALSE)))</f>
        <v>#N/A</v>
      </c>
    </row>
    <row r="226" spans="1:39" x14ac:dyDescent="0.2">
      <c r="A226" s="170">
        <v>218</v>
      </c>
      <c r="B226" s="147" t="e">
        <f>CONCATENATE(IF($A226="","",VLOOKUP($A226,'İşçi Bilgileri'!$A$2:$D$700,2,FALSE))," ",IF($A226="","",VLOOKUP($A226,'İşçi Bilgileri'!$A$2:$D$700,3,FALSE)))</f>
        <v>#N/A</v>
      </c>
      <c r="C226" s="171" t="e">
        <f>IF($A226="","",VLOOKUP($A226,'İşçi Bilgileri'!$A$2:$D$700,4,FALSE))</f>
        <v>#N/A</v>
      </c>
      <c r="D226" s="298"/>
      <c r="E226" s="298"/>
      <c r="F226" s="298"/>
      <c r="G226" s="298"/>
      <c r="H226" s="298"/>
      <c r="I226" s="298"/>
      <c r="J226" s="298"/>
      <c r="K226" s="298"/>
      <c r="L226" s="298"/>
      <c r="M226" s="298"/>
      <c r="N226" s="298"/>
      <c r="O226" s="298"/>
      <c r="P226" s="298"/>
      <c r="Q226" s="298"/>
      <c r="R226" s="298"/>
      <c r="S226" s="298"/>
      <c r="T226" s="298"/>
      <c r="U226" s="298"/>
      <c r="V226" s="298"/>
      <c r="W226" s="298"/>
      <c r="X226" s="298"/>
      <c r="Y226" s="298"/>
      <c r="Z226" s="298"/>
      <c r="AA226" s="298"/>
      <c r="AB226" s="298"/>
      <c r="AC226" s="298"/>
      <c r="AD226" s="298"/>
      <c r="AE226" s="298"/>
      <c r="AF226" s="298"/>
      <c r="AG226" s="298"/>
      <c r="AH226" s="298"/>
      <c r="AI226" s="166">
        <f t="shared" si="6"/>
        <v>0</v>
      </c>
      <c r="AJ226" s="166">
        <f t="shared" si="7"/>
        <v>0</v>
      </c>
      <c r="AK226" s="166"/>
      <c r="AL226" s="230" t="e">
        <f>IF($A226="","",IF(VLOOKUP($A226,'İşçi Bilgileri'!$A$2:$J$700,9,FALSE)=0,"",VLOOKUP($A226,'İşçi Bilgileri'!$A$2:$J$700,9,FALSE)))</f>
        <v>#N/A</v>
      </c>
      <c r="AM226" s="172" t="e">
        <f>IF($A226="","",IF(VLOOKUP($A226,'İşçi Bilgileri'!$A$2:$J$700,10,FALSE)=0,"",VLOOKUP($A226,'İşçi Bilgileri'!$A$2:$J$700,10,FALSE)))</f>
        <v>#N/A</v>
      </c>
    </row>
    <row r="227" spans="1:39" x14ac:dyDescent="0.2">
      <c r="A227" s="170">
        <v>219</v>
      </c>
      <c r="B227" s="147" t="e">
        <f>CONCATENATE(IF($A227="","",VLOOKUP($A227,'İşçi Bilgileri'!$A$2:$D$700,2,FALSE))," ",IF($A227="","",VLOOKUP($A227,'İşçi Bilgileri'!$A$2:$D$700,3,FALSE)))</f>
        <v>#N/A</v>
      </c>
      <c r="C227" s="171" t="e">
        <f>IF($A227="","",VLOOKUP($A227,'İşçi Bilgileri'!$A$2:$D$700,4,FALSE))</f>
        <v>#N/A</v>
      </c>
      <c r="D227" s="298"/>
      <c r="E227" s="298"/>
      <c r="F227" s="298"/>
      <c r="G227" s="298"/>
      <c r="H227" s="298"/>
      <c r="I227" s="298"/>
      <c r="J227" s="298"/>
      <c r="K227" s="298"/>
      <c r="L227" s="298"/>
      <c r="M227" s="298"/>
      <c r="N227" s="298"/>
      <c r="O227" s="298"/>
      <c r="P227" s="298"/>
      <c r="Q227" s="298"/>
      <c r="R227" s="298"/>
      <c r="S227" s="298"/>
      <c r="T227" s="298"/>
      <c r="U227" s="298"/>
      <c r="V227" s="298"/>
      <c r="W227" s="298"/>
      <c r="X227" s="298"/>
      <c r="Y227" s="298"/>
      <c r="Z227" s="298"/>
      <c r="AA227" s="298"/>
      <c r="AB227" s="298"/>
      <c r="AC227" s="298"/>
      <c r="AD227" s="298"/>
      <c r="AE227" s="298"/>
      <c r="AF227" s="298"/>
      <c r="AG227" s="298"/>
      <c r="AH227" s="298"/>
      <c r="AI227" s="166">
        <f t="shared" si="6"/>
        <v>0</v>
      </c>
      <c r="AJ227" s="166">
        <f t="shared" si="7"/>
        <v>0</v>
      </c>
      <c r="AK227" s="166"/>
      <c r="AL227" s="230" t="e">
        <f>IF($A227="","",IF(VLOOKUP($A227,'İşçi Bilgileri'!$A$2:$J$700,9,FALSE)=0,"",VLOOKUP($A227,'İşçi Bilgileri'!$A$2:$J$700,9,FALSE)))</f>
        <v>#N/A</v>
      </c>
      <c r="AM227" s="172" t="e">
        <f>IF($A227="","",IF(VLOOKUP($A227,'İşçi Bilgileri'!$A$2:$J$700,10,FALSE)=0,"",VLOOKUP($A227,'İşçi Bilgileri'!$A$2:$J$700,10,FALSE)))</f>
        <v>#N/A</v>
      </c>
    </row>
    <row r="228" spans="1:39" x14ac:dyDescent="0.2">
      <c r="A228" s="170">
        <v>220</v>
      </c>
      <c r="B228" s="147" t="e">
        <f>CONCATENATE(IF($A228="","",VLOOKUP($A228,'İşçi Bilgileri'!$A$2:$D$700,2,FALSE))," ",IF($A228="","",VLOOKUP($A228,'İşçi Bilgileri'!$A$2:$D$700,3,FALSE)))</f>
        <v>#N/A</v>
      </c>
      <c r="C228" s="171" t="e">
        <f>IF($A228="","",VLOOKUP($A228,'İşçi Bilgileri'!$A$2:$D$700,4,FALSE))</f>
        <v>#N/A</v>
      </c>
      <c r="D228" s="298"/>
      <c r="E228" s="298"/>
      <c r="F228" s="298"/>
      <c r="G228" s="298"/>
      <c r="H228" s="298"/>
      <c r="I228" s="298"/>
      <c r="J228" s="298"/>
      <c r="K228" s="298"/>
      <c r="L228" s="298"/>
      <c r="M228" s="298"/>
      <c r="N228" s="298"/>
      <c r="O228" s="298"/>
      <c r="P228" s="298"/>
      <c r="Q228" s="298"/>
      <c r="R228" s="298"/>
      <c r="S228" s="298"/>
      <c r="T228" s="298"/>
      <c r="U228" s="298"/>
      <c r="V228" s="298"/>
      <c r="W228" s="298"/>
      <c r="X228" s="298"/>
      <c r="Y228" s="298"/>
      <c r="Z228" s="298"/>
      <c r="AA228" s="298"/>
      <c r="AB228" s="298"/>
      <c r="AC228" s="298"/>
      <c r="AD228" s="298"/>
      <c r="AE228" s="298"/>
      <c r="AF228" s="298"/>
      <c r="AG228" s="298"/>
      <c r="AH228" s="298"/>
      <c r="AI228" s="166">
        <f t="shared" si="6"/>
        <v>0</v>
      </c>
      <c r="AJ228" s="166">
        <f t="shared" si="7"/>
        <v>0</v>
      </c>
      <c r="AK228" s="166"/>
      <c r="AL228" s="230" t="e">
        <f>IF($A228="","",IF(VLOOKUP($A228,'İşçi Bilgileri'!$A$2:$J$700,9,FALSE)=0,"",VLOOKUP($A228,'İşçi Bilgileri'!$A$2:$J$700,9,FALSE)))</f>
        <v>#N/A</v>
      </c>
      <c r="AM228" s="172" t="e">
        <f>IF($A228="","",IF(VLOOKUP($A228,'İşçi Bilgileri'!$A$2:$J$700,10,FALSE)=0,"",VLOOKUP($A228,'İşçi Bilgileri'!$A$2:$J$700,10,FALSE)))</f>
        <v>#N/A</v>
      </c>
    </row>
    <row r="229" spans="1:39" x14ac:dyDescent="0.2">
      <c r="A229" s="170">
        <v>221</v>
      </c>
      <c r="B229" s="147" t="e">
        <f>CONCATENATE(IF($A229="","",VLOOKUP($A229,'İşçi Bilgileri'!$A$2:$D$700,2,FALSE))," ",IF($A229="","",VLOOKUP($A229,'İşçi Bilgileri'!$A$2:$D$700,3,FALSE)))</f>
        <v>#N/A</v>
      </c>
      <c r="C229" s="171" t="e">
        <f>IF($A229="","",VLOOKUP($A229,'İşçi Bilgileri'!$A$2:$D$700,4,FALSE))</f>
        <v>#N/A</v>
      </c>
      <c r="D229" s="298"/>
      <c r="E229" s="298"/>
      <c r="F229" s="298"/>
      <c r="G229" s="298"/>
      <c r="H229" s="298"/>
      <c r="I229" s="298"/>
      <c r="J229" s="298"/>
      <c r="K229" s="298"/>
      <c r="L229" s="298"/>
      <c r="M229" s="298"/>
      <c r="N229" s="298"/>
      <c r="O229" s="298"/>
      <c r="P229" s="298"/>
      <c r="Q229" s="298"/>
      <c r="R229" s="298"/>
      <c r="S229" s="298"/>
      <c r="T229" s="298"/>
      <c r="U229" s="298"/>
      <c r="V229" s="298"/>
      <c r="W229" s="298"/>
      <c r="X229" s="298"/>
      <c r="Y229" s="298"/>
      <c r="Z229" s="298"/>
      <c r="AA229" s="298"/>
      <c r="AB229" s="298"/>
      <c r="AC229" s="298"/>
      <c r="AD229" s="298"/>
      <c r="AE229" s="298"/>
      <c r="AF229" s="298"/>
      <c r="AG229" s="298"/>
      <c r="AH229" s="298"/>
      <c r="AI229" s="166">
        <f t="shared" si="6"/>
        <v>0</v>
      </c>
      <c r="AJ229" s="166">
        <f t="shared" si="7"/>
        <v>0</v>
      </c>
      <c r="AK229" s="166"/>
      <c r="AL229" s="230" t="e">
        <f>IF($A229="","",IF(VLOOKUP($A229,'İşçi Bilgileri'!$A$2:$J$700,9,FALSE)=0,"",VLOOKUP($A229,'İşçi Bilgileri'!$A$2:$J$700,9,FALSE)))</f>
        <v>#N/A</v>
      </c>
      <c r="AM229" s="172" t="e">
        <f>IF($A229="","",IF(VLOOKUP($A229,'İşçi Bilgileri'!$A$2:$J$700,10,FALSE)=0,"",VLOOKUP($A229,'İşçi Bilgileri'!$A$2:$J$700,10,FALSE)))</f>
        <v>#N/A</v>
      </c>
    </row>
    <row r="230" spans="1:39" x14ac:dyDescent="0.2">
      <c r="A230" s="170">
        <v>222</v>
      </c>
      <c r="B230" s="147" t="e">
        <f>CONCATENATE(IF($A230="","",VLOOKUP($A230,'İşçi Bilgileri'!$A$2:$D$700,2,FALSE))," ",IF($A230="","",VLOOKUP($A230,'İşçi Bilgileri'!$A$2:$D$700,3,FALSE)))</f>
        <v>#N/A</v>
      </c>
      <c r="C230" s="171" t="e">
        <f>IF($A230="","",VLOOKUP($A230,'İşçi Bilgileri'!$A$2:$D$700,4,FALSE))</f>
        <v>#N/A</v>
      </c>
      <c r="D230" s="298"/>
      <c r="E230" s="298"/>
      <c r="F230" s="298"/>
      <c r="G230" s="298"/>
      <c r="H230" s="298"/>
      <c r="I230" s="298"/>
      <c r="J230" s="298"/>
      <c r="K230" s="298"/>
      <c r="L230" s="298"/>
      <c r="M230" s="298"/>
      <c r="N230" s="298"/>
      <c r="O230" s="298"/>
      <c r="P230" s="298"/>
      <c r="Q230" s="298"/>
      <c r="R230" s="298"/>
      <c r="S230" s="298"/>
      <c r="T230" s="298"/>
      <c r="U230" s="298"/>
      <c r="V230" s="298"/>
      <c r="W230" s="298"/>
      <c r="X230" s="298"/>
      <c r="Y230" s="298"/>
      <c r="Z230" s="298"/>
      <c r="AA230" s="298"/>
      <c r="AB230" s="298"/>
      <c r="AC230" s="298"/>
      <c r="AD230" s="298"/>
      <c r="AE230" s="298"/>
      <c r="AF230" s="298"/>
      <c r="AG230" s="298"/>
      <c r="AH230" s="298"/>
      <c r="AI230" s="166">
        <f t="shared" si="6"/>
        <v>0</v>
      </c>
      <c r="AJ230" s="166">
        <f t="shared" si="7"/>
        <v>0</v>
      </c>
      <c r="AK230" s="166"/>
      <c r="AL230" s="230" t="e">
        <f>IF($A230="","",IF(VLOOKUP($A230,'İşçi Bilgileri'!$A$2:$J$700,9,FALSE)=0,"",VLOOKUP($A230,'İşçi Bilgileri'!$A$2:$J$700,9,FALSE)))</f>
        <v>#N/A</v>
      </c>
      <c r="AM230" s="172" t="e">
        <f>IF($A230="","",IF(VLOOKUP($A230,'İşçi Bilgileri'!$A$2:$J$700,10,FALSE)=0,"",VLOOKUP($A230,'İşçi Bilgileri'!$A$2:$J$700,10,FALSE)))</f>
        <v>#N/A</v>
      </c>
    </row>
    <row r="231" spans="1:39" x14ac:dyDescent="0.2">
      <c r="A231" s="170">
        <v>223</v>
      </c>
      <c r="B231" s="147" t="e">
        <f>CONCATENATE(IF($A231="","",VLOOKUP($A231,'İşçi Bilgileri'!$A$2:$D$700,2,FALSE))," ",IF($A231="","",VLOOKUP($A231,'İşçi Bilgileri'!$A$2:$D$700,3,FALSE)))</f>
        <v>#N/A</v>
      </c>
      <c r="C231" s="171" t="e">
        <f>IF($A231="","",VLOOKUP($A231,'İşçi Bilgileri'!$A$2:$D$700,4,FALSE))</f>
        <v>#N/A</v>
      </c>
      <c r="D231" s="298"/>
      <c r="E231" s="298"/>
      <c r="F231" s="298"/>
      <c r="G231" s="298"/>
      <c r="H231" s="298"/>
      <c r="I231" s="298"/>
      <c r="J231" s="298"/>
      <c r="K231" s="298"/>
      <c r="L231" s="298"/>
      <c r="M231" s="298"/>
      <c r="N231" s="298"/>
      <c r="O231" s="298"/>
      <c r="P231" s="298"/>
      <c r="Q231" s="298"/>
      <c r="R231" s="298"/>
      <c r="S231" s="298"/>
      <c r="T231" s="298"/>
      <c r="U231" s="298"/>
      <c r="V231" s="298"/>
      <c r="W231" s="298"/>
      <c r="X231" s="298"/>
      <c r="Y231" s="298"/>
      <c r="Z231" s="298"/>
      <c r="AA231" s="298"/>
      <c r="AB231" s="298"/>
      <c r="AC231" s="298"/>
      <c r="AD231" s="298"/>
      <c r="AE231" s="298"/>
      <c r="AF231" s="298"/>
      <c r="AG231" s="298"/>
      <c r="AH231" s="298"/>
      <c r="AI231" s="166">
        <f t="shared" si="6"/>
        <v>0</v>
      </c>
      <c r="AJ231" s="166">
        <f t="shared" si="7"/>
        <v>0</v>
      </c>
      <c r="AK231" s="166"/>
      <c r="AL231" s="230" t="e">
        <f>IF($A231="","",IF(VLOOKUP($A231,'İşçi Bilgileri'!$A$2:$J$700,9,FALSE)=0,"",VLOOKUP($A231,'İşçi Bilgileri'!$A$2:$J$700,9,FALSE)))</f>
        <v>#N/A</v>
      </c>
      <c r="AM231" s="172" t="e">
        <f>IF($A231="","",IF(VLOOKUP($A231,'İşçi Bilgileri'!$A$2:$J$700,10,FALSE)=0,"",VLOOKUP($A231,'İşçi Bilgileri'!$A$2:$J$700,10,FALSE)))</f>
        <v>#N/A</v>
      </c>
    </row>
    <row r="232" spans="1:39" x14ac:dyDescent="0.2">
      <c r="A232" s="170">
        <v>224</v>
      </c>
      <c r="B232" s="147" t="e">
        <f>CONCATENATE(IF($A232="","",VLOOKUP($A232,'İşçi Bilgileri'!$A$2:$D$700,2,FALSE))," ",IF($A232="","",VLOOKUP($A232,'İşçi Bilgileri'!$A$2:$D$700,3,FALSE)))</f>
        <v>#N/A</v>
      </c>
      <c r="C232" s="171" t="e">
        <f>IF($A232="","",VLOOKUP($A232,'İşçi Bilgileri'!$A$2:$D$700,4,FALSE))</f>
        <v>#N/A</v>
      </c>
      <c r="D232" s="298"/>
      <c r="E232" s="298"/>
      <c r="F232" s="298"/>
      <c r="G232" s="298"/>
      <c r="H232" s="298"/>
      <c r="I232" s="298"/>
      <c r="J232" s="298"/>
      <c r="K232" s="298"/>
      <c r="L232" s="298"/>
      <c r="M232" s="298"/>
      <c r="N232" s="298"/>
      <c r="O232" s="298"/>
      <c r="P232" s="298"/>
      <c r="Q232" s="298"/>
      <c r="R232" s="298"/>
      <c r="S232" s="298"/>
      <c r="T232" s="298"/>
      <c r="U232" s="298"/>
      <c r="V232" s="298"/>
      <c r="W232" s="298"/>
      <c r="X232" s="298"/>
      <c r="Y232" s="298"/>
      <c r="Z232" s="298"/>
      <c r="AA232" s="298"/>
      <c r="AB232" s="298"/>
      <c r="AC232" s="298"/>
      <c r="AD232" s="298"/>
      <c r="AE232" s="298"/>
      <c r="AF232" s="298"/>
      <c r="AG232" s="298"/>
      <c r="AH232" s="298"/>
      <c r="AI232" s="166">
        <f t="shared" si="6"/>
        <v>0</v>
      </c>
      <c r="AJ232" s="166">
        <f t="shared" si="7"/>
        <v>0</v>
      </c>
      <c r="AK232" s="166"/>
      <c r="AL232" s="230" t="e">
        <f>IF($A232="","",IF(VLOOKUP($A232,'İşçi Bilgileri'!$A$2:$J$700,9,FALSE)=0,"",VLOOKUP($A232,'İşçi Bilgileri'!$A$2:$J$700,9,FALSE)))</f>
        <v>#N/A</v>
      </c>
      <c r="AM232" s="172" t="e">
        <f>IF($A232="","",IF(VLOOKUP($A232,'İşçi Bilgileri'!$A$2:$J$700,10,FALSE)=0,"",VLOOKUP($A232,'İşçi Bilgileri'!$A$2:$J$700,10,FALSE)))</f>
        <v>#N/A</v>
      </c>
    </row>
    <row r="233" spans="1:39" x14ac:dyDescent="0.2">
      <c r="A233" s="170">
        <v>225</v>
      </c>
      <c r="B233" s="147" t="e">
        <f>CONCATENATE(IF($A233="","",VLOOKUP($A233,'İşçi Bilgileri'!$A$2:$D$700,2,FALSE))," ",IF($A233="","",VLOOKUP($A233,'İşçi Bilgileri'!$A$2:$D$700,3,FALSE)))</f>
        <v>#N/A</v>
      </c>
      <c r="C233" s="171" t="e">
        <f>IF($A233="","",VLOOKUP($A233,'İşçi Bilgileri'!$A$2:$D$700,4,FALSE))</f>
        <v>#N/A</v>
      </c>
      <c r="D233" s="298"/>
      <c r="E233" s="298"/>
      <c r="F233" s="298"/>
      <c r="G233" s="298"/>
      <c r="H233" s="298"/>
      <c r="I233" s="298"/>
      <c r="J233" s="298"/>
      <c r="K233" s="298"/>
      <c r="L233" s="298"/>
      <c r="M233" s="298"/>
      <c r="N233" s="298"/>
      <c r="O233" s="298"/>
      <c r="P233" s="298"/>
      <c r="Q233" s="298"/>
      <c r="R233" s="298"/>
      <c r="S233" s="298"/>
      <c r="T233" s="298"/>
      <c r="U233" s="298"/>
      <c r="V233" s="298"/>
      <c r="W233" s="298"/>
      <c r="X233" s="298"/>
      <c r="Y233" s="298"/>
      <c r="Z233" s="298"/>
      <c r="AA233" s="298"/>
      <c r="AB233" s="298"/>
      <c r="AC233" s="298"/>
      <c r="AD233" s="298"/>
      <c r="AE233" s="298"/>
      <c r="AF233" s="298"/>
      <c r="AG233" s="298"/>
      <c r="AH233" s="298"/>
      <c r="AI233" s="166">
        <f t="shared" si="6"/>
        <v>0</v>
      </c>
      <c r="AJ233" s="166">
        <f t="shared" si="7"/>
        <v>0</v>
      </c>
      <c r="AK233" s="166"/>
      <c r="AL233" s="230" t="e">
        <f>IF($A233="","",IF(VLOOKUP($A233,'İşçi Bilgileri'!$A$2:$J$700,9,FALSE)=0,"",VLOOKUP($A233,'İşçi Bilgileri'!$A$2:$J$700,9,FALSE)))</f>
        <v>#N/A</v>
      </c>
      <c r="AM233" s="172" t="e">
        <f>IF($A233="","",IF(VLOOKUP($A233,'İşçi Bilgileri'!$A$2:$J$700,10,FALSE)=0,"",VLOOKUP($A233,'İşçi Bilgileri'!$A$2:$J$700,10,FALSE)))</f>
        <v>#N/A</v>
      </c>
    </row>
    <row r="234" spans="1:39" x14ac:dyDescent="0.2">
      <c r="A234" s="170">
        <v>226</v>
      </c>
      <c r="B234" s="147" t="e">
        <f>CONCATENATE(IF($A234="","",VLOOKUP($A234,'İşçi Bilgileri'!$A$2:$D$700,2,FALSE))," ",IF($A234="","",VLOOKUP($A234,'İşçi Bilgileri'!$A$2:$D$700,3,FALSE)))</f>
        <v>#N/A</v>
      </c>
      <c r="C234" s="171" t="e">
        <f>IF($A234="","",VLOOKUP($A234,'İşçi Bilgileri'!$A$2:$D$700,4,FALSE))</f>
        <v>#N/A</v>
      </c>
      <c r="D234" s="298"/>
      <c r="E234" s="298"/>
      <c r="F234" s="298"/>
      <c r="G234" s="298"/>
      <c r="H234" s="298"/>
      <c r="I234" s="298"/>
      <c r="J234" s="298"/>
      <c r="K234" s="298"/>
      <c r="L234" s="298"/>
      <c r="M234" s="298"/>
      <c r="N234" s="298"/>
      <c r="O234" s="298"/>
      <c r="P234" s="298"/>
      <c r="Q234" s="298"/>
      <c r="R234" s="298"/>
      <c r="S234" s="298"/>
      <c r="T234" s="298"/>
      <c r="U234" s="298"/>
      <c r="V234" s="298"/>
      <c r="W234" s="298"/>
      <c r="X234" s="298"/>
      <c r="Y234" s="298"/>
      <c r="Z234" s="298"/>
      <c r="AA234" s="298"/>
      <c r="AB234" s="298"/>
      <c r="AC234" s="298"/>
      <c r="AD234" s="298"/>
      <c r="AE234" s="298"/>
      <c r="AF234" s="298"/>
      <c r="AG234" s="298"/>
      <c r="AH234" s="298"/>
      <c r="AI234" s="166">
        <f t="shared" si="6"/>
        <v>0</v>
      </c>
      <c r="AJ234" s="166">
        <f t="shared" si="7"/>
        <v>0</v>
      </c>
      <c r="AK234" s="166"/>
      <c r="AL234" s="230" t="e">
        <f>IF($A234="","",IF(VLOOKUP($A234,'İşçi Bilgileri'!$A$2:$J$700,9,FALSE)=0,"",VLOOKUP($A234,'İşçi Bilgileri'!$A$2:$J$700,9,FALSE)))</f>
        <v>#N/A</v>
      </c>
      <c r="AM234" s="172" t="e">
        <f>IF($A234="","",IF(VLOOKUP($A234,'İşçi Bilgileri'!$A$2:$J$700,10,FALSE)=0,"",VLOOKUP($A234,'İşçi Bilgileri'!$A$2:$J$700,10,FALSE)))</f>
        <v>#N/A</v>
      </c>
    </row>
    <row r="235" spans="1:39" x14ac:dyDescent="0.2">
      <c r="A235" s="170">
        <v>227</v>
      </c>
      <c r="B235" s="147" t="e">
        <f>CONCATENATE(IF($A235="","",VLOOKUP($A235,'İşçi Bilgileri'!$A$2:$D$700,2,FALSE))," ",IF($A235="","",VLOOKUP($A235,'İşçi Bilgileri'!$A$2:$D$700,3,FALSE)))</f>
        <v>#N/A</v>
      </c>
      <c r="C235" s="171" t="e">
        <f>IF($A235="","",VLOOKUP($A235,'İşçi Bilgileri'!$A$2:$D$700,4,FALSE))</f>
        <v>#N/A</v>
      </c>
      <c r="D235" s="298"/>
      <c r="E235" s="298"/>
      <c r="F235" s="298"/>
      <c r="G235" s="298"/>
      <c r="H235" s="298"/>
      <c r="I235" s="298"/>
      <c r="J235" s="298"/>
      <c r="K235" s="298"/>
      <c r="L235" s="298"/>
      <c r="M235" s="298"/>
      <c r="N235" s="298"/>
      <c r="O235" s="298"/>
      <c r="P235" s="298"/>
      <c r="Q235" s="298"/>
      <c r="R235" s="298"/>
      <c r="S235" s="298"/>
      <c r="T235" s="298"/>
      <c r="U235" s="298"/>
      <c r="V235" s="298"/>
      <c r="W235" s="298"/>
      <c r="X235" s="298"/>
      <c r="Y235" s="298"/>
      <c r="Z235" s="298"/>
      <c r="AA235" s="298"/>
      <c r="AB235" s="298"/>
      <c r="AC235" s="298"/>
      <c r="AD235" s="298"/>
      <c r="AE235" s="298"/>
      <c r="AF235" s="298"/>
      <c r="AG235" s="298"/>
      <c r="AH235" s="298"/>
      <c r="AI235" s="166">
        <f t="shared" si="6"/>
        <v>0</v>
      </c>
      <c r="AJ235" s="166">
        <f t="shared" si="7"/>
        <v>0</v>
      </c>
      <c r="AK235" s="166"/>
      <c r="AL235" s="230" t="e">
        <f>IF($A235="","",IF(VLOOKUP($A235,'İşçi Bilgileri'!$A$2:$J$700,9,FALSE)=0,"",VLOOKUP($A235,'İşçi Bilgileri'!$A$2:$J$700,9,FALSE)))</f>
        <v>#N/A</v>
      </c>
      <c r="AM235" s="172" t="e">
        <f>IF($A235="","",IF(VLOOKUP($A235,'İşçi Bilgileri'!$A$2:$J$700,10,FALSE)=0,"",VLOOKUP($A235,'İşçi Bilgileri'!$A$2:$J$700,10,FALSE)))</f>
        <v>#N/A</v>
      </c>
    </row>
    <row r="236" spans="1:39" x14ac:dyDescent="0.2">
      <c r="A236" s="170">
        <v>228</v>
      </c>
      <c r="B236" s="147" t="e">
        <f>CONCATENATE(IF($A236="","",VLOOKUP($A236,'İşçi Bilgileri'!$A$2:$D$700,2,FALSE))," ",IF($A236="","",VLOOKUP($A236,'İşçi Bilgileri'!$A$2:$D$700,3,FALSE)))</f>
        <v>#N/A</v>
      </c>
      <c r="C236" s="171" t="e">
        <f>IF($A236="","",VLOOKUP($A236,'İşçi Bilgileri'!$A$2:$D$700,4,FALSE))</f>
        <v>#N/A</v>
      </c>
      <c r="D236" s="298"/>
      <c r="E236" s="298"/>
      <c r="F236" s="298"/>
      <c r="G236" s="298"/>
      <c r="H236" s="298"/>
      <c r="I236" s="298"/>
      <c r="J236" s="298"/>
      <c r="K236" s="298"/>
      <c r="L236" s="298"/>
      <c r="M236" s="298"/>
      <c r="N236" s="298"/>
      <c r="O236" s="298"/>
      <c r="P236" s="298"/>
      <c r="Q236" s="298"/>
      <c r="R236" s="298"/>
      <c r="S236" s="298"/>
      <c r="T236" s="298"/>
      <c r="U236" s="298"/>
      <c r="V236" s="298"/>
      <c r="W236" s="298"/>
      <c r="X236" s="298"/>
      <c r="Y236" s="298"/>
      <c r="Z236" s="298"/>
      <c r="AA236" s="298"/>
      <c r="AB236" s="298"/>
      <c r="AC236" s="298"/>
      <c r="AD236" s="298"/>
      <c r="AE236" s="298"/>
      <c r="AF236" s="298"/>
      <c r="AG236" s="298"/>
      <c r="AH236" s="298"/>
      <c r="AI236" s="166">
        <f t="shared" si="6"/>
        <v>0</v>
      </c>
      <c r="AJ236" s="166">
        <f t="shared" si="7"/>
        <v>0</v>
      </c>
      <c r="AK236" s="166"/>
      <c r="AL236" s="230" t="e">
        <f>IF($A236="","",IF(VLOOKUP($A236,'İşçi Bilgileri'!$A$2:$J$700,9,FALSE)=0,"",VLOOKUP($A236,'İşçi Bilgileri'!$A$2:$J$700,9,FALSE)))</f>
        <v>#N/A</v>
      </c>
      <c r="AM236" s="172" t="e">
        <f>IF($A236="","",IF(VLOOKUP($A236,'İşçi Bilgileri'!$A$2:$J$700,10,FALSE)=0,"",VLOOKUP($A236,'İşçi Bilgileri'!$A$2:$J$700,10,FALSE)))</f>
        <v>#N/A</v>
      </c>
    </row>
    <row r="237" spans="1:39" x14ac:dyDescent="0.2">
      <c r="A237" s="170">
        <v>229</v>
      </c>
      <c r="B237" s="147" t="e">
        <f>CONCATENATE(IF($A237="","",VLOOKUP($A237,'İşçi Bilgileri'!$A$2:$D$700,2,FALSE))," ",IF($A237="","",VLOOKUP($A237,'İşçi Bilgileri'!$A$2:$D$700,3,FALSE)))</f>
        <v>#N/A</v>
      </c>
      <c r="C237" s="171" t="e">
        <f>IF($A237="","",VLOOKUP($A237,'İşçi Bilgileri'!$A$2:$D$700,4,FALSE))</f>
        <v>#N/A</v>
      </c>
      <c r="D237" s="298"/>
      <c r="E237" s="298"/>
      <c r="F237" s="298"/>
      <c r="G237" s="298"/>
      <c r="H237" s="298"/>
      <c r="I237" s="298"/>
      <c r="J237" s="298"/>
      <c r="K237" s="298"/>
      <c r="L237" s="298"/>
      <c r="M237" s="298"/>
      <c r="N237" s="298"/>
      <c r="O237" s="298"/>
      <c r="P237" s="298"/>
      <c r="Q237" s="298"/>
      <c r="R237" s="298"/>
      <c r="S237" s="298"/>
      <c r="T237" s="298"/>
      <c r="U237" s="298"/>
      <c r="V237" s="298"/>
      <c r="W237" s="298"/>
      <c r="X237" s="298"/>
      <c r="Y237" s="298"/>
      <c r="Z237" s="298"/>
      <c r="AA237" s="298"/>
      <c r="AB237" s="298"/>
      <c r="AC237" s="298"/>
      <c r="AD237" s="298"/>
      <c r="AE237" s="298"/>
      <c r="AF237" s="298"/>
      <c r="AG237" s="298"/>
      <c r="AH237" s="298"/>
      <c r="AI237" s="166">
        <f t="shared" si="6"/>
        <v>0</v>
      </c>
      <c r="AJ237" s="166">
        <f t="shared" si="7"/>
        <v>0</v>
      </c>
      <c r="AK237" s="166"/>
      <c r="AL237" s="230" t="e">
        <f>IF($A237="","",IF(VLOOKUP($A237,'İşçi Bilgileri'!$A$2:$J$700,9,FALSE)=0,"",VLOOKUP($A237,'İşçi Bilgileri'!$A$2:$J$700,9,FALSE)))</f>
        <v>#N/A</v>
      </c>
      <c r="AM237" s="172" t="e">
        <f>IF($A237="","",IF(VLOOKUP($A237,'İşçi Bilgileri'!$A$2:$J$700,10,FALSE)=0,"",VLOOKUP($A237,'İşçi Bilgileri'!$A$2:$J$700,10,FALSE)))</f>
        <v>#N/A</v>
      </c>
    </row>
    <row r="238" spans="1:39" x14ac:dyDescent="0.2">
      <c r="A238" s="170">
        <v>230</v>
      </c>
      <c r="B238" s="147" t="e">
        <f>CONCATENATE(IF($A238="","",VLOOKUP($A238,'İşçi Bilgileri'!$A$2:$D$700,2,FALSE))," ",IF($A238="","",VLOOKUP($A238,'İşçi Bilgileri'!$A$2:$D$700,3,FALSE)))</f>
        <v>#N/A</v>
      </c>
      <c r="C238" s="171" t="e">
        <f>IF($A238="","",VLOOKUP($A238,'İşçi Bilgileri'!$A$2:$D$700,4,FALSE))</f>
        <v>#N/A</v>
      </c>
      <c r="D238" s="298"/>
      <c r="E238" s="298"/>
      <c r="F238" s="298"/>
      <c r="G238" s="298"/>
      <c r="H238" s="298"/>
      <c r="I238" s="298"/>
      <c r="J238" s="298"/>
      <c r="K238" s="298"/>
      <c r="L238" s="298"/>
      <c r="M238" s="298"/>
      <c r="N238" s="298"/>
      <c r="O238" s="298"/>
      <c r="P238" s="298"/>
      <c r="Q238" s="298"/>
      <c r="R238" s="298"/>
      <c r="S238" s="298"/>
      <c r="T238" s="298"/>
      <c r="U238" s="298"/>
      <c r="V238" s="298"/>
      <c r="W238" s="298"/>
      <c r="X238" s="298"/>
      <c r="Y238" s="298"/>
      <c r="Z238" s="298"/>
      <c r="AA238" s="298"/>
      <c r="AB238" s="298"/>
      <c r="AC238" s="298"/>
      <c r="AD238" s="298"/>
      <c r="AE238" s="298"/>
      <c r="AF238" s="298"/>
      <c r="AG238" s="298"/>
      <c r="AH238" s="298"/>
      <c r="AI238" s="166">
        <f t="shared" si="6"/>
        <v>0</v>
      </c>
      <c r="AJ238" s="166">
        <f t="shared" si="7"/>
        <v>0</v>
      </c>
      <c r="AK238" s="166"/>
      <c r="AL238" s="230" t="e">
        <f>IF($A238="","",IF(VLOOKUP($A238,'İşçi Bilgileri'!$A$2:$J$700,9,FALSE)=0,"",VLOOKUP($A238,'İşçi Bilgileri'!$A$2:$J$700,9,FALSE)))</f>
        <v>#N/A</v>
      </c>
      <c r="AM238" s="172" t="e">
        <f>IF($A238="","",IF(VLOOKUP($A238,'İşçi Bilgileri'!$A$2:$J$700,10,FALSE)=0,"",VLOOKUP($A238,'İşçi Bilgileri'!$A$2:$J$700,10,FALSE)))</f>
        <v>#N/A</v>
      </c>
    </row>
    <row r="239" spans="1:39" x14ac:dyDescent="0.2">
      <c r="A239" s="170">
        <v>231</v>
      </c>
      <c r="B239" s="147" t="e">
        <f>CONCATENATE(IF($A239="","",VLOOKUP($A239,'İşçi Bilgileri'!$A$2:$D$700,2,FALSE))," ",IF($A239="","",VLOOKUP($A239,'İşçi Bilgileri'!$A$2:$D$700,3,FALSE)))</f>
        <v>#N/A</v>
      </c>
      <c r="C239" s="171" t="e">
        <f>IF($A239="","",VLOOKUP($A239,'İşçi Bilgileri'!$A$2:$D$700,4,FALSE))</f>
        <v>#N/A</v>
      </c>
      <c r="D239" s="298"/>
      <c r="E239" s="298"/>
      <c r="F239" s="298"/>
      <c r="G239" s="298"/>
      <c r="H239" s="298"/>
      <c r="I239" s="298"/>
      <c r="J239" s="298"/>
      <c r="K239" s="298"/>
      <c r="L239" s="298"/>
      <c r="M239" s="298"/>
      <c r="N239" s="298"/>
      <c r="O239" s="298"/>
      <c r="P239" s="298"/>
      <c r="Q239" s="298"/>
      <c r="R239" s="298"/>
      <c r="S239" s="298"/>
      <c r="T239" s="298"/>
      <c r="U239" s="298"/>
      <c r="V239" s="298"/>
      <c r="W239" s="298"/>
      <c r="X239" s="298"/>
      <c r="Y239" s="298"/>
      <c r="Z239" s="298"/>
      <c r="AA239" s="298"/>
      <c r="AB239" s="298"/>
      <c r="AC239" s="298"/>
      <c r="AD239" s="298"/>
      <c r="AE239" s="298"/>
      <c r="AF239" s="298"/>
      <c r="AG239" s="298"/>
      <c r="AH239" s="298"/>
      <c r="AI239" s="166">
        <f t="shared" si="6"/>
        <v>0</v>
      </c>
      <c r="AJ239" s="166">
        <f t="shared" si="7"/>
        <v>0</v>
      </c>
      <c r="AK239" s="166"/>
      <c r="AL239" s="230" t="e">
        <f>IF($A239="","",IF(VLOOKUP($A239,'İşçi Bilgileri'!$A$2:$J$700,9,FALSE)=0,"",VLOOKUP($A239,'İşçi Bilgileri'!$A$2:$J$700,9,FALSE)))</f>
        <v>#N/A</v>
      </c>
      <c r="AM239" s="172" t="e">
        <f>IF($A239="","",IF(VLOOKUP($A239,'İşçi Bilgileri'!$A$2:$J$700,10,FALSE)=0,"",VLOOKUP($A239,'İşçi Bilgileri'!$A$2:$J$700,10,FALSE)))</f>
        <v>#N/A</v>
      </c>
    </row>
    <row r="240" spans="1:39" x14ac:dyDescent="0.2">
      <c r="A240" s="170">
        <v>232</v>
      </c>
      <c r="B240" s="147" t="e">
        <f>CONCATENATE(IF($A240="","",VLOOKUP($A240,'İşçi Bilgileri'!$A$2:$D$700,2,FALSE))," ",IF($A240="","",VLOOKUP($A240,'İşçi Bilgileri'!$A$2:$D$700,3,FALSE)))</f>
        <v>#N/A</v>
      </c>
      <c r="C240" s="171" t="e">
        <f>IF($A240="","",VLOOKUP($A240,'İşçi Bilgileri'!$A$2:$D$700,4,FALSE))</f>
        <v>#N/A</v>
      </c>
      <c r="D240" s="298"/>
      <c r="E240" s="298"/>
      <c r="F240" s="298"/>
      <c r="G240" s="298"/>
      <c r="H240" s="298"/>
      <c r="I240" s="298"/>
      <c r="J240" s="298"/>
      <c r="K240" s="298"/>
      <c r="L240" s="298"/>
      <c r="M240" s="298"/>
      <c r="N240" s="298"/>
      <c r="O240" s="298"/>
      <c r="P240" s="298"/>
      <c r="Q240" s="298"/>
      <c r="R240" s="298"/>
      <c r="S240" s="298"/>
      <c r="T240" s="298"/>
      <c r="U240" s="298"/>
      <c r="V240" s="298"/>
      <c r="W240" s="298"/>
      <c r="X240" s="298"/>
      <c r="Y240" s="298"/>
      <c r="Z240" s="298"/>
      <c r="AA240" s="298"/>
      <c r="AB240" s="298"/>
      <c r="AC240" s="298"/>
      <c r="AD240" s="298"/>
      <c r="AE240" s="298"/>
      <c r="AF240" s="298"/>
      <c r="AG240" s="298"/>
      <c r="AH240" s="298"/>
      <c r="AI240" s="166">
        <f t="shared" si="6"/>
        <v>0</v>
      </c>
      <c r="AJ240" s="166">
        <f t="shared" si="7"/>
        <v>0</v>
      </c>
      <c r="AK240" s="166"/>
      <c r="AL240" s="230" t="e">
        <f>IF($A240="","",IF(VLOOKUP($A240,'İşçi Bilgileri'!$A$2:$J$700,9,FALSE)=0,"",VLOOKUP($A240,'İşçi Bilgileri'!$A$2:$J$700,9,FALSE)))</f>
        <v>#N/A</v>
      </c>
      <c r="AM240" s="172" t="e">
        <f>IF($A240="","",IF(VLOOKUP($A240,'İşçi Bilgileri'!$A$2:$J$700,10,FALSE)=0,"",VLOOKUP($A240,'İşçi Bilgileri'!$A$2:$J$700,10,FALSE)))</f>
        <v>#N/A</v>
      </c>
    </row>
    <row r="241" spans="1:47" x14ac:dyDescent="0.2">
      <c r="A241" s="170">
        <v>233</v>
      </c>
      <c r="B241" s="147" t="e">
        <f>CONCATENATE(IF($A241="","",VLOOKUP($A241,'İşçi Bilgileri'!$A$2:$D$700,2,FALSE))," ",IF($A241="","",VLOOKUP($A241,'İşçi Bilgileri'!$A$2:$D$700,3,FALSE)))</f>
        <v>#N/A</v>
      </c>
      <c r="C241" s="171" t="e">
        <f>IF($A241="","",VLOOKUP($A241,'İşçi Bilgileri'!$A$2:$D$700,4,FALSE))</f>
        <v>#N/A</v>
      </c>
      <c r="D241" s="298"/>
      <c r="E241" s="298"/>
      <c r="F241" s="298"/>
      <c r="G241" s="298"/>
      <c r="H241" s="298"/>
      <c r="I241" s="298"/>
      <c r="J241" s="298"/>
      <c r="K241" s="298"/>
      <c r="L241" s="298"/>
      <c r="M241" s="298"/>
      <c r="N241" s="298"/>
      <c r="O241" s="298"/>
      <c r="P241" s="298"/>
      <c r="Q241" s="298"/>
      <c r="R241" s="298"/>
      <c r="S241" s="298"/>
      <c r="T241" s="298"/>
      <c r="U241" s="298"/>
      <c r="V241" s="298"/>
      <c r="W241" s="298"/>
      <c r="X241" s="298"/>
      <c r="Y241" s="298"/>
      <c r="Z241" s="298"/>
      <c r="AA241" s="298"/>
      <c r="AB241" s="298"/>
      <c r="AC241" s="298"/>
      <c r="AD241" s="298"/>
      <c r="AE241" s="298"/>
      <c r="AF241" s="298"/>
      <c r="AG241" s="298"/>
      <c r="AH241" s="298"/>
      <c r="AI241" s="166">
        <f t="shared" si="6"/>
        <v>0</v>
      </c>
      <c r="AJ241" s="166">
        <f t="shared" si="7"/>
        <v>0</v>
      </c>
      <c r="AK241" s="166"/>
      <c r="AL241" s="230" t="e">
        <f>IF($A241="","",IF(VLOOKUP($A241,'İşçi Bilgileri'!$A$2:$J$700,9,FALSE)=0,"",VLOOKUP($A241,'İşçi Bilgileri'!$A$2:$J$700,9,FALSE)))</f>
        <v>#N/A</v>
      </c>
      <c r="AM241" s="172" t="e">
        <f>IF($A241="","",IF(VLOOKUP($A241,'İşçi Bilgileri'!$A$2:$J$700,10,FALSE)=0,"",VLOOKUP($A241,'İşçi Bilgileri'!$A$2:$J$700,10,FALSE)))</f>
        <v>#N/A</v>
      </c>
    </row>
    <row r="242" spans="1:47" x14ac:dyDescent="0.2">
      <c r="A242" s="170">
        <v>234</v>
      </c>
      <c r="B242" s="147" t="e">
        <f>CONCATENATE(IF($A242="","",VLOOKUP($A242,'İşçi Bilgileri'!$A$2:$D$700,2,FALSE))," ",IF($A242="","",VLOOKUP($A242,'İşçi Bilgileri'!$A$2:$D$700,3,FALSE)))</f>
        <v>#N/A</v>
      </c>
      <c r="C242" s="171" t="e">
        <f>IF($A242="","",VLOOKUP($A242,'İşçi Bilgileri'!$A$2:$D$700,4,FALSE))</f>
        <v>#N/A</v>
      </c>
      <c r="D242" s="298"/>
      <c r="E242" s="298"/>
      <c r="F242" s="298"/>
      <c r="G242" s="298"/>
      <c r="H242" s="298"/>
      <c r="I242" s="298"/>
      <c r="J242" s="298"/>
      <c r="K242" s="298"/>
      <c r="L242" s="298"/>
      <c r="M242" s="298"/>
      <c r="N242" s="298"/>
      <c r="O242" s="298"/>
      <c r="P242" s="298"/>
      <c r="Q242" s="298"/>
      <c r="R242" s="298"/>
      <c r="S242" s="298"/>
      <c r="T242" s="298"/>
      <c r="U242" s="298"/>
      <c r="V242" s="298"/>
      <c r="W242" s="298"/>
      <c r="X242" s="298"/>
      <c r="Y242" s="298"/>
      <c r="Z242" s="298"/>
      <c r="AA242" s="298"/>
      <c r="AB242" s="298"/>
      <c r="AC242" s="298"/>
      <c r="AD242" s="298"/>
      <c r="AE242" s="298"/>
      <c r="AF242" s="298"/>
      <c r="AG242" s="298"/>
      <c r="AH242" s="298"/>
      <c r="AI242" s="166">
        <f t="shared" si="6"/>
        <v>0</v>
      </c>
      <c r="AJ242" s="166">
        <f t="shared" si="7"/>
        <v>0</v>
      </c>
      <c r="AK242" s="166"/>
      <c r="AL242" s="230" t="e">
        <f>IF($A242="","",IF(VLOOKUP($A242,'İşçi Bilgileri'!$A$2:$J$700,9,FALSE)=0,"",VLOOKUP($A242,'İşçi Bilgileri'!$A$2:$J$700,9,FALSE)))</f>
        <v>#N/A</v>
      </c>
      <c r="AM242" s="172" t="e">
        <f>IF($A242="","",IF(VLOOKUP($A242,'İşçi Bilgileri'!$A$2:$J$700,10,FALSE)=0,"",VLOOKUP($A242,'İşçi Bilgileri'!$A$2:$J$700,10,FALSE)))</f>
        <v>#N/A</v>
      </c>
    </row>
    <row r="243" spans="1:47" x14ac:dyDescent="0.2">
      <c r="A243" s="170">
        <v>235</v>
      </c>
      <c r="B243" s="147" t="e">
        <f>CONCATENATE(IF($A243="","",VLOOKUP($A243,'İşçi Bilgileri'!$A$2:$D$700,2,FALSE))," ",IF($A243="","",VLOOKUP($A243,'İşçi Bilgileri'!$A$2:$D$700,3,FALSE)))</f>
        <v>#N/A</v>
      </c>
      <c r="C243" s="171" t="e">
        <f>IF($A243="","",VLOOKUP($A243,'İşçi Bilgileri'!$A$2:$D$700,4,FALSE))</f>
        <v>#N/A</v>
      </c>
      <c r="D243" s="298"/>
      <c r="E243" s="298"/>
      <c r="F243" s="298"/>
      <c r="G243" s="298"/>
      <c r="H243" s="298"/>
      <c r="I243" s="298"/>
      <c r="J243" s="298"/>
      <c r="K243" s="298"/>
      <c r="L243" s="298"/>
      <c r="M243" s="298"/>
      <c r="N243" s="298"/>
      <c r="O243" s="298"/>
      <c r="P243" s="298"/>
      <c r="Q243" s="298"/>
      <c r="R243" s="298"/>
      <c r="S243" s="298"/>
      <c r="T243" s="298"/>
      <c r="U243" s="298"/>
      <c r="V243" s="298"/>
      <c r="W243" s="298"/>
      <c r="X243" s="298"/>
      <c r="Y243" s="298"/>
      <c r="Z243" s="298"/>
      <c r="AA243" s="298"/>
      <c r="AB243" s="298"/>
      <c r="AC243" s="298"/>
      <c r="AD243" s="298"/>
      <c r="AE243" s="298"/>
      <c r="AF243" s="298"/>
      <c r="AG243" s="298"/>
      <c r="AH243" s="298"/>
      <c r="AI243" s="166">
        <f t="shared" si="6"/>
        <v>0</v>
      </c>
      <c r="AJ243" s="166">
        <f t="shared" si="7"/>
        <v>0</v>
      </c>
      <c r="AK243" s="166"/>
      <c r="AL243" s="230" t="e">
        <f>IF($A243="","",IF(VLOOKUP($A243,'İşçi Bilgileri'!$A$2:$J$700,9,FALSE)=0,"",VLOOKUP($A243,'İşçi Bilgileri'!$A$2:$J$700,9,FALSE)))</f>
        <v>#N/A</v>
      </c>
      <c r="AM243" s="172" t="e">
        <f>IF($A243="","",IF(VLOOKUP($A243,'İşçi Bilgileri'!$A$2:$J$700,10,FALSE)=0,"",VLOOKUP($A243,'İşçi Bilgileri'!$A$2:$J$700,10,FALSE)))</f>
        <v>#N/A</v>
      </c>
    </row>
    <row r="244" spans="1:47" x14ac:dyDescent="0.2">
      <c r="A244" s="170">
        <v>236</v>
      </c>
      <c r="B244" s="147" t="e">
        <f>CONCATENATE(IF($A244="","",VLOOKUP($A244,'İşçi Bilgileri'!$A$2:$D$700,2,FALSE))," ",IF($A244="","",VLOOKUP($A244,'İşçi Bilgileri'!$A$2:$D$700,3,FALSE)))</f>
        <v>#N/A</v>
      </c>
      <c r="C244" s="171" t="e">
        <f>IF($A244="","",VLOOKUP($A244,'İşçi Bilgileri'!$A$2:$D$700,4,FALSE))</f>
        <v>#N/A</v>
      </c>
      <c r="D244" s="298"/>
      <c r="E244" s="298"/>
      <c r="F244" s="298"/>
      <c r="G244" s="298"/>
      <c r="H244" s="298"/>
      <c r="I244" s="298"/>
      <c r="J244" s="298"/>
      <c r="K244" s="298"/>
      <c r="L244" s="298"/>
      <c r="M244" s="298"/>
      <c r="N244" s="298"/>
      <c r="O244" s="298"/>
      <c r="P244" s="298"/>
      <c r="Q244" s="298"/>
      <c r="R244" s="298"/>
      <c r="S244" s="298"/>
      <c r="T244" s="298"/>
      <c r="U244" s="298"/>
      <c r="V244" s="298"/>
      <c r="W244" s="298"/>
      <c r="X244" s="298"/>
      <c r="Y244" s="298"/>
      <c r="Z244" s="298"/>
      <c r="AA244" s="298"/>
      <c r="AB244" s="298"/>
      <c r="AC244" s="298"/>
      <c r="AD244" s="298"/>
      <c r="AE244" s="298"/>
      <c r="AF244" s="298"/>
      <c r="AG244" s="298"/>
      <c r="AH244" s="298"/>
      <c r="AI244" s="166">
        <f t="shared" si="6"/>
        <v>0</v>
      </c>
      <c r="AJ244" s="166">
        <f t="shared" si="7"/>
        <v>0</v>
      </c>
      <c r="AK244" s="166"/>
      <c r="AL244" s="230" t="e">
        <f>IF($A244="","",IF(VLOOKUP($A244,'İşçi Bilgileri'!$A$2:$J$700,9,FALSE)=0,"",VLOOKUP($A244,'İşçi Bilgileri'!$A$2:$J$700,9,FALSE)))</f>
        <v>#N/A</v>
      </c>
      <c r="AM244" s="172" t="e">
        <f>IF($A244="","",IF(VLOOKUP($A244,'İşçi Bilgileri'!$A$2:$J$700,10,FALSE)=0,"",VLOOKUP($A244,'İşçi Bilgileri'!$A$2:$J$700,10,FALSE)))</f>
        <v>#N/A</v>
      </c>
    </row>
    <row r="245" spans="1:47" x14ac:dyDescent="0.2">
      <c r="A245" s="170">
        <v>237</v>
      </c>
      <c r="B245" s="147" t="e">
        <f>CONCATENATE(IF($A245="","",VLOOKUP($A245,'İşçi Bilgileri'!$A$2:$D$700,2,FALSE))," ",IF($A245="","",VLOOKUP($A245,'İşçi Bilgileri'!$A$2:$D$700,3,FALSE)))</f>
        <v>#N/A</v>
      </c>
      <c r="C245" s="171" t="e">
        <f>IF($A245="","",VLOOKUP($A245,'İşçi Bilgileri'!$A$2:$D$700,4,FALSE))</f>
        <v>#N/A</v>
      </c>
      <c r="D245" s="298"/>
      <c r="E245" s="298"/>
      <c r="F245" s="298"/>
      <c r="G245" s="298"/>
      <c r="H245" s="298"/>
      <c r="I245" s="298"/>
      <c r="J245" s="298"/>
      <c r="K245" s="298"/>
      <c r="L245" s="298"/>
      <c r="M245" s="298"/>
      <c r="N245" s="298"/>
      <c r="O245" s="298"/>
      <c r="P245" s="298"/>
      <c r="Q245" s="298"/>
      <c r="R245" s="298"/>
      <c r="S245" s="298"/>
      <c r="T245" s="298"/>
      <c r="U245" s="298"/>
      <c r="V245" s="298"/>
      <c r="W245" s="298"/>
      <c r="X245" s="298"/>
      <c r="Y245" s="298"/>
      <c r="Z245" s="298"/>
      <c r="AA245" s="298"/>
      <c r="AB245" s="298"/>
      <c r="AC245" s="298"/>
      <c r="AD245" s="298"/>
      <c r="AE245" s="298"/>
      <c r="AF245" s="298"/>
      <c r="AG245" s="298"/>
      <c r="AH245" s="298"/>
      <c r="AI245" s="166">
        <f t="shared" si="6"/>
        <v>0</v>
      </c>
      <c r="AJ245" s="166">
        <f t="shared" si="7"/>
        <v>0</v>
      </c>
      <c r="AK245" s="166"/>
      <c r="AL245" s="230" t="e">
        <f>IF($A245="","",IF(VLOOKUP($A245,'İşçi Bilgileri'!$A$2:$J$700,9,FALSE)=0,"",VLOOKUP($A245,'İşçi Bilgileri'!$A$2:$J$700,9,FALSE)))</f>
        <v>#N/A</v>
      </c>
      <c r="AM245" s="172" t="e">
        <f>IF($A245="","",IF(VLOOKUP($A245,'İşçi Bilgileri'!$A$2:$J$700,10,FALSE)=0,"",VLOOKUP($A245,'İşçi Bilgileri'!$A$2:$J$700,10,FALSE)))</f>
        <v>#N/A</v>
      </c>
    </row>
    <row r="246" spans="1:47" x14ac:dyDescent="0.2">
      <c r="A246" s="170">
        <v>238</v>
      </c>
      <c r="B246" s="147" t="e">
        <f>CONCATENATE(IF($A246="","",VLOOKUP($A246,'İşçi Bilgileri'!$A$2:$D$700,2,FALSE))," ",IF($A246="","",VLOOKUP($A246,'İşçi Bilgileri'!$A$2:$D$700,3,FALSE)))</f>
        <v>#N/A</v>
      </c>
      <c r="C246" s="171" t="e">
        <f>IF($A246="","",VLOOKUP($A246,'İşçi Bilgileri'!$A$2:$D$700,4,FALSE))</f>
        <v>#N/A</v>
      </c>
      <c r="D246" s="298"/>
      <c r="E246" s="298"/>
      <c r="F246" s="298"/>
      <c r="G246" s="298"/>
      <c r="H246" s="298"/>
      <c r="I246" s="298"/>
      <c r="J246" s="298"/>
      <c r="K246" s="298"/>
      <c r="L246" s="298"/>
      <c r="M246" s="298"/>
      <c r="N246" s="298"/>
      <c r="O246" s="298"/>
      <c r="P246" s="298"/>
      <c r="Q246" s="298"/>
      <c r="R246" s="298"/>
      <c r="S246" s="298"/>
      <c r="T246" s="298"/>
      <c r="U246" s="298"/>
      <c r="V246" s="298"/>
      <c r="W246" s="298"/>
      <c r="X246" s="298"/>
      <c r="Y246" s="298"/>
      <c r="Z246" s="298"/>
      <c r="AA246" s="298"/>
      <c r="AB246" s="298"/>
      <c r="AC246" s="298"/>
      <c r="AD246" s="298"/>
      <c r="AE246" s="298"/>
      <c r="AF246" s="298"/>
      <c r="AG246" s="298"/>
      <c r="AH246" s="298"/>
      <c r="AI246" s="166">
        <f t="shared" si="6"/>
        <v>0</v>
      </c>
      <c r="AJ246" s="166">
        <f t="shared" si="7"/>
        <v>0</v>
      </c>
      <c r="AK246" s="166"/>
      <c r="AL246" s="230" t="e">
        <f>IF($A246="","",IF(VLOOKUP($A246,'İşçi Bilgileri'!$A$2:$J$700,9,FALSE)=0,"",VLOOKUP($A246,'İşçi Bilgileri'!$A$2:$J$700,9,FALSE)))</f>
        <v>#N/A</v>
      </c>
      <c r="AM246" s="172" t="e">
        <f>IF($A246="","",IF(VLOOKUP($A246,'İşçi Bilgileri'!$A$2:$J$700,10,FALSE)=0,"",VLOOKUP($A246,'İşçi Bilgileri'!$A$2:$J$700,10,FALSE)))</f>
        <v>#N/A</v>
      </c>
    </row>
    <row r="247" spans="1:47" x14ac:dyDescent="0.2">
      <c r="A247" s="170">
        <v>239</v>
      </c>
      <c r="B247" s="147" t="e">
        <f>CONCATENATE(IF($A247="","",VLOOKUP($A247,'İşçi Bilgileri'!$A$2:$D$700,2,FALSE))," ",IF($A247="","",VLOOKUP($A247,'İşçi Bilgileri'!$A$2:$D$700,3,FALSE)))</f>
        <v>#N/A</v>
      </c>
      <c r="C247" s="171" t="e">
        <f>IF($A247="","",VLOOKUP($A247,'İşçi Bilgileri'!$A$2:$D$700,4,FALSE))</f>
        <v>#N/A</v>
      </c>
      <c r="D247" s="298"/>
      <c r="E247" s="298"/>
      <c r="F247" s="298"/>
      <c r="G247" s="298"/>
      <c r="H247" s="298"/>
      <c r="I247" s="298"/>
      <c r="J247" s="298"/>
      <c r="K247" s="298"/>
      <c r="L247" s="298"/>
      <c r="M247" s="298"/>
      <c r="N247" s="298"/>
      <c r="O247" s="298"/>
      <c r="P247" s="298"/>
      <c r="Q247" s="298"/>
      <c r="R247" s="298"/>
      <c r="S247" s="298"/>
      <c r="T247" s="298"/>
      <c r="U247" s="298"/>
      <c r="V247" s="298"/>
      <c r="W247" s="298"/>
      <c r="X247" s="298"/>
      <c r="Y247" s="298"/>
      <c r="Z247" s="298"/>
      <c r="AA247" s="298"/>
      <c r="AB247" s="298"/>
      <c r="AC247" s="298"/>
      <c r="AD247" s="298"/>
      <c r="AE247" s="298"/>
      <c r="AF247" s="298"/>
      <c r="AG247" s="298"/>
      <c r="AH247" s="298"/>
      <c r="AI247" s="166">
        <f t="shared" si="6"/>
        <v>0</v>
      </c>
      <c r="AJ247" s="166">
        <f t="shared" si="7"/>
        <v>0</v>
      </c>
      <c r="AK247" s="166"/>
      <c r="AL247" s="230" t="e">
        <f>IF($A247="","",IF(VLOOKUP($A247,'İşçi Bilgileri'!$A$2:$J$700,9,FALSE)=0,"",VLOOKUP($A247,'İşçi Bilgileri'!$A$2:$J$700,9,FALSE)))</f>
        <v>#N/A</v>
      </c>
      <c r="AM247" s="172" t="e">
        <f>IF($A247="","",IF(VLOOKUP($A247,'İşçi Bilgileri'!$A$2:$J$700,10,FALSE)=0,"",VLOOKUP($A247,'İşçi Bilgileri'!$A$2:$J$700,10,FALSE)))</f>
        <v>#N/A</v>
      </c>
    </row>
    <row r="248" spans="1:47" x14ac:dyDescent="0.2">
      <c r="A248" s="170">
        <v>240</v>
      </c>
      <c r="B248" s="147" t="e">
        <f>CONCATENATE(IF($A248="","",VLOOKUP($A248,'İşçi Bilgileri'!$A$2:$D$700,2,FALSE))," ",IF($A248="","",VLOOKUP($A248,'İşçi Bilgileri'!$A$2:$D$700,3,FALSE)))</f>
        <v>#N/A</v>
      </c>
      <c r="C248" s="171" t="e">
        <f>IF($A248="","",VLOOKUP($A248,'İşçi Bilgileri'!$A$2:$D$700,4,FALSE))</f>
        <v>#N/A</v>
      </c>
      <c r="D248" s="298"/>
      <c r="E248" s="298"/>
      <c r="F248" s="298"/>
      <c r="G248" s="298"/>
      <c r="H248" s="298"/>
      <c r="I248" s="298"/>
      <c r="J248" s="298"/>
      <c r="K248" s="298"/>
      <c r="L248" s="298"/>
      <c r="M248" s="298"/>
      <c r="N248" s="298"/>
      <c r="O248" s="298"/>
      <c r="P248" s="298"/>
      <c r="Q248" s="298"/>
      <c r="R248" s="298"/>
      <c r="S248" s="298"/>
      <c r="T248" s="298"/>
      <c r="U248" s="298"/>
      <c r="V248" s="298"/>
      <c r="W248" s="298"/>
      <c r="X248" s="298"/>
      <c r="Y248" s="298"/>
      <c r="Z248" s="298"/>
      <c r="AA248" s="298"/>
      <c r="AB248" s="298"/>
      <c r="AC248" s="298"/>
      <c r="AD248" s="298"/>
      <c r="AE248" s="298"/>
      <c r="AF248" s="298"/>
      <c r="AG248" s="298"/>
      <c r="AH248" s="298"/>
      <c r="AI248" s="166">
        <f t="shared" si="6"/>
        <v>0</v>
      </c>
      <c r="AJ248" s="166">
        <f t="shared" si="7"/>
        <v>0</v>
      </c>
      <c r="AK248" s="166"/>
      <c r="AL248" s="230" t="e">
        <f>IF($A248="","",IF(VLOOKUP($A248,'İşçi Bilgileri'!$A$2:$J$700,9,FALSE)=0,"",VLOOKUP($A248,'İşçi Bilgileri'!$A$2:$J$700,9,FALSE)))</f>
        <v>#N/A</v>
      </c>
      <c r="AM248" s="172" t="e">
        <f>IF($A248="","",IF(VLOOKUP($A248,'İşçi Bilgileri'!$A$2:$J$700,10,FALSE)=0,"",VLOOKUP($A248,'İşçi Bilgileri'!$A$2:$J$700,10,FALSE)))</f>
        <v>#N/A</v>
      </c>
    </row>
    <row r="249" spans="1:47" x14ac:dyDescent="0.2">
      <c r="A249" s="170">
        <v>241</v>
      </c>
      <c r="B249" s="147" t="e">
        <f>CONCATENATE(IF($A249="","",VLOOKUP($A249,'İşçi Bilgileri'!$A$2:$D$700,2,FALSE))," ",IF($A249="","",VLOOKUP($A249,'İşçi Bilgileri'!$A$2:$D$700,3,FALSE)))</f>
        <v>#N/A</v>
      </c>
      <c r="C249" s="171" t="e">
        <f>IF($A249="","",VLOOKUP($A249,'İşçi Bilgileri'!$A$2:$D$700,4,FALSE))</f>
        <v>#N/A</v>
      </c>
      <c r="D249" s="298"/>
      <c r="E249" s="298"/>
      <c r="F249" s="298"/>
      <c r="G249" s="298"/>
      <c r="H249" s="298"/>
      <c r="I249" s="298"/>
      <c r="J249" s="298"/>
      <c r="K249" s="298"/>
      <c r="L249" s="298"/>
      <c r="M249" s="298"/>
      <c r="N249" s="298"/>
      <c r="O249" s="298"/>
      <c r="P249" s="298"/>
      <c r="Q249" s="298"/>
      <c r="R249" s="298"/>
      <c r="S249" s="298"/>
      <c r="T249" s="298"/>
      <c r="U249" s="298"/>
      <c r="V249" s="298"/>
      <c r="W249" s="298"/>
      <c r="X249" s="298"/>
      <c r="Y249" s="298"/>
      <c r="Z249" s="298"/>
      <c r="AA249" s="298"/>
      <c r="AB249" s="298"/>
      <c r="AC249" s="298"/>
      <c r="AD249" s="298"/>
      <c r="AE249" s="298"/>
      <c r="AF249" s="298"/>
      <c r="AG249" s="298"/>
      <c r="AH249" s="298"/>
      <c r="AI249" s="166">
        <f t="shared" si="6"/>
        <v>0</v>
      </c>
      <c r="AJ249" s="166">
        <f t="shared" si="7"/>
        <v>0</v>
      </c>
      <c r="AK249" s="166"/>
      <c r="AL249" s="230" t="e">
        <f>IF($A249="","",IF(VLOOKUP($A249,'İşçi Bilgileri'!$A$2:$J$700,9,FALSE)=0,"",VLOOKUP($A249,'İşçi Bilgileri'!$A$2:$J$700,9,FALSE)))</f>
        <v>#N/A</v>
      </c>
      <c r="AM249" s="172" t="e">
        <f>IF($A249="","",IF(VLOOKUP($A249,'İşçi Bilgileri'!$A$2:$J$700,10,FALSE)=0,"",VLOOKUP($A249,'İşçi Bilgileri'!$A$2:$J$700,10,FALSE)))</f>
        <v>#N/A</v>
      </c>
    </row>
    <row r="250" spans="1:47" x14ac:dyDescent="0.2">
      <c r="A250" s="170">
        <v>242</v>
      </c>
      <c r="B250" s="147" t="e">
        <f>CONCATENATE(IF($A250="","",VLOOKUP($A250,'İşçi Bilgileri'!$A$2:$D$700,2,FALSE))," ",IF($A250="","",VLOOKUP($A250,'İşçi Bilgileri'!$A$2:$D$700,3,FALSE)))</f>
        <v>#N/A</v>
      </c>
      <c r="C250" s="171" t="e">
        <f>IF($A250="","",VLOOKUP($A250,'İşçi Bilgileri'!$A$2:$D$700,4,FALSE))</f>
        <v>#N/A</v>
      </c>
      <c r="D250" s="298"/>
      <c r="E250" s="298"/>
      <c r="F250" s="298"/>
      <c r="G250" s="298"/>
      <c r="H250" s="298"/>
      <c r="I250" s="298"/>
      <c r="J250" s="298"/>
      <c r="K250" s="298"/>
      <c r="L250" s="298"/>
      <c r="M250" s="298"/>
      <c r="N250" s="298"/>
      <c r="O250" s="298"/>
      <c r="P250" s="298"/>
      <c r="Q250" s="298"/>
      <c r="R250" s="298"/>
      <c r="S250" s="298"/>
      <c r="T250" s="298"/>
      <c r="U250" s="298"/>
      <c r="V250" s="298"/>
      <c r="W250" s="298"/>
      <c r="X250" s="298"/>
      <c r="Y250" s="298"/>
      <c r="Z250" s="298"/>
      <c r="AA250" s="298"/>
      <c r="AB250" s="298"/>
      <c r="AC250" s="298"/>
      <c r="AD250" s="298"/>
      <c r="AE250" s="298"/>
      <c r="AF250" s="298"/>
      <c r="AG250" s="298"/>
      <c r="AH250" s="298"/>
      <c r="AI250" s="166">
        <f t="shared" si="6"/>
        <v>0</v>
      </c>
      <c r="AJ250" s="166">
        <f t="shared" si="7"/>
        <v>0</v>
      </c>
      <c r="AK250" s="166"/>
      <c r="AL250" s="230" t="e">
        <f>IF($A250="","",IF(VLOOKUP($A250,'İşçi Bilgileri'!$A$2:$J$700,9,FALSE)=0,"",VLOOKUP($A250,'İşçi Bilgileri'!$A$2:$J$700,9,FALSE)))</f>
        <v>#N/A</v>
      </c>
      <c r="AM250" s="172" t="e">
        <f>IF($A250="","",IF(VLOOKUP($A250,'İşçi Bilgileri'!$A$2:$J$700,10,FALSE)=0,"",VLOOKUP($A250,'İşçi Bilgileri'!$A$2:$J$700,10,FALSE)))</f>
        <v>#N/A</v>
      </c>
      <c r="AN250" s="134"/>
      <c r="AO250" s="134"/>
      <c r="AP250" s="134"/>
      <c r="AQ250" s="134"/>
      <c r="AR250" s="134"/>
      <c r="AS250" s="134"/>
      <c r="AT250" s="134"/>
      <c r="AU250" s="134"/>
    </row>
    <row r="251" spans="1:47" x14ac:dyDescent="0.2">
      <c r="A251" s="170">
        <v>243</v>
      </c>
      <c r="B251" s="147" t="e">
        <f>CONCATENATE(IF($A251="","",VLOOKUP($A251,'İşçi Bilgileri'!$A$2:$D$700,2,FALSE))," ",IF($A251="","",VLOOKUP($A251,'İşçi Bilgileri'!$A$2:$D$700,3,FALSE)))</f>
        <v>#N/A</v>
      </c>
      <c r="C251" s="171" t="e">
        <f>IF($A251="","",VLOOKUP($A251,'İşçi Bilgileri'!$A$2:$D$700,4,FALSE))</f>
        <v>#N/A</v>
      </c>
      <c r="D251" s="298"/>
      <c r="E251" s="298"/>
      <c r="F251" s="298"/>
      <c r="G251" s="298"/>
      <c r="H251" s="298"/>
      <c r="I251" s="298"/>
      <c r="J251" s="298"/>
      <c r="K251" s="298"/>
      <c r="L251" s="298"/>
      <c r="M251" s="298"/>
      <c r="N251" s="298"/>
      <c r="O251" s="298"/>
      <c r="P251" s="298"/>
      <c r="Q251" s="298"/>
      <c r="R251" s="298"/>
      <c r="S251" s="298"/>
      <c r="T251" s="298"/>
      <c r="U251" s="298"/>
      <c r="V251" s="298"/>
      <c r="W251" s="298"/>
      <c r="X251" s="298"/>
      <c r="Y251" s="298"/>
      <c r="Z251" s="298"/>
      <c r="AA251" s="298"/>
      <c r="AB251" s="298"/>
      <c r="AC251" s="298"/>
      <c r="AD251" s="298"/>
      <c r="AE251" s="298"/>
      <c r="AF251" s="298"/>
      <c r="AG251" s="298"/>
      <c r="AH251" s="298"/>
      <c r="AI251" s="166">
        <f t="shared" si="6"/>
        <v>0</v>
      </c>
      <c r="AJ251" s="166">
        <f t="shared" si="7"/>
        <v>0</v>
      </c>
      <c r="AK251" s="166"/>
      <c r="AL251" s="230" t="e">
        <f>IF($A251="","",IF(VLOOKUP($A251,'İşçi Bilgileri'!$A$2:$J$700,9,FALSE)=0,"",VLOOKUP($A251,'İşçi Bilgileri'!$A$2:$J$700,9,FALSE)))</f>
        <v>#N/A</v>
      </c>
      <c r="AM251" s="172" t="e">
        <f>IF($A251="","",IF(VLOOKUP($A251,'İşçi Bilgileri'!$A$2:$J$700,10,FALSE)=0,"",VLOOKUP($A251,'İşçi Bilgileri'!$A$2:$J$700,10,FALSE)))</f>
        <v>#N/A</v>
      </c>
    </row>
    <row r="252" spans="1:47" x14ac:dyDescent="0.2">
      <c r="A252" s="170">
        <v>244</v>
      </c>
      <c r="B252" s="147" t="e">
        <f>CONCATENATE(IF($A252="","",VLOOKUP($A252,'İşçi Bilgileri'!$A$2:$D$700,2,FALSE))," ",IF($A252="","",VLOOKUP($A252,'İşçi Bilgileri'!$A$2:$D$700,3,FALSE)))</f>
        <v>#N/A</v>
      </c>
      <c r="C252" s="171" t="e">
        <f>IF($A252="","",VLOOKUP($A252,'İşçi Bilgileri'!$A$2:$D$700,4,FALSE))</f>
        <v>#N/A</v>
      </c>
      <c r="D252" s="298"/>
      <c r="E252" s="298"/>
      <c r="F252" s="298"/>
      <c r="G252" s="298"/>
      <c r="H252" s="298"/>
      <c r="I252" s="298"/>
      <c r="J252" s="298"/>
      <c r="K252" s="298"/>
      <c r="L252" s="298"/>
      <c r="M252" s="298"/>
      <c r="N252" s="298"/>
      <c r="O252" s="298"/>
      <c r="P252" s="298"/>
      <c r="Q252" s="298"/>
      <c r="R252" s="298"/>
      <c r="S252" s="298"/>
      <c r="T252" s="298"/>
      <c r="U252" s="298"/>
      <c r="V252" s="298"/>
      <c r="W252" s="298"/>
      <c r="X252" s="298"/>
      <c r="Y252" s="298"/>
      <c r="Z252" s="298"/>
      <c r="AA252" s="298"/>
      <c r="AB252" s="298"/>
      <c r="AC252" s="298"/>
      <c r="AD252" s="298"/>
      <c r="AE252" s="298"/>
      <c r="AF252" s="298"/>
      <c r="AG252" s="298"/>
      <c r="AH252" s="298"/>
      <c r="AI252" s="166">
        <f t="shared" si="6"/>
        <v>0</v>
      </c>
      <c r="AJ252" s="166">
        <f t="shared" si="7"/>
        <v>0</v>
      </c>
      <c r="AK252" s="166"/>
      <c r="AL252" s="230" t="e">
        <f>IF($A252="","",IF(VLOOKUP($A252,'İşçi Bilgileri'!$A$2:$J$700,9,FALSE)=0,"",VLOOKUP($A252,'İşçi Bilgileri'!$A$2:$J$700,9,FALSE)))</f>
        <v>#N/A</v>
      </c>
      <c r="AM252" s="172" t="e">
        <f>IF($A252="","",IF(VLOOKUP($A252,'İşçi Bilgileri'!$A$2:$J$700,10,FALSE)=0,"",VLOOKUP($A252,'İşçi Bilgileri'!$A$2:$J$700,10,FALSE)))</f>
        <v>#N/A</v>
      </c>
    </row>
    <row r="253" spans="1:47" x14ac:dyDescent="0.2">
      <c r="A253" s="170">
        <v>245</v>
      </c>
      <c r="B253" s="147" t="e">
        <f>CONCATENATE(IF($A253="","",VLOOKUP($A253,'İşçi Bilgileri'!$A$2:$D$700,2,FALSE))," ",IF($A253="","",VLOOKUP($A253,'İşçi Bilgileri'!$A$2:$D$700,3,FALSE)))</f>
        <v>#N/A</v>
      </c>
      <c r="C253" s="171" t="e">
        <f>IF($A253="","",VLOOKUP($A253,'İşçi Bilgileri'!$A$2:$D$700,4,FALSE))</f>
        <v>#N/A</v>
      </c>
      <c r="D253" s="298"/>
      <c r="E253" s="298"/>
      <c r="F253" s="298"/>
      <c r="G253" s="298"/>
      <c r="H253" s="298"/>
      <c r="I253" s="298"/>
      <c r="J253" s="298"/>
      <c r="K253" s="298"/>
      <c r="L253" s="298"/>
      <c r="M253" s="298"/>
      <c r="N253" s="298"/>
      <c r="O253" s="298"/>
      <c r="P253" s="298"/>
      <c r="Q253" s="298"/>
      <c r="R253" s="298"/>
      <c r="S253" s="298"/>
      <c r="T253" s="298"/>
      <c r="U253" s="298"/>
      <c r="V253" s="298"/>
      <c r="W253" s="298"/>
      <c r="X253" s="298"/>
      <c r="Y253" s="298"/>
      <c r="Z253" s="298"/>
      <c r="AA253" s="298"/>
      <c r="AB253" s="298"/>
      <c r="AC253" s="298"/>
      <c r="AD253" s="298"/>
      <c r="AE253" s="298"/>
      <c r="AF253" s="298"/>
      <c r="AG253" s="298"/>
      <c r="AH253" s="298"/>
      <c r="AI253" s="166">
        <f t="shared" si="6"/>
        <v>0</v>
      </c>
      <c r="AJ253" s="166">
        <f t="shared" si="7"/>
        <v>0</v>
      </c>
      <c r="AK253" s="166"/>
      <c r="AL253" s="230" t="e">
        <f>IF($A253="","",IF(VLOOKUP($A253,'İşçi Bilgileri'!$A$2:$J$700,9,FALSE)=0,"",VLOOKUP($A253,'İşçi Bilgileri'!$A$2:$J$700,9,FALSE)))</f>
        <v>#N/A</v>
      </c>
      <c r="AM253" s="172" t="e">
        <f>IF($A253="","",IF(VLOOKUP($A253,'İşçi Bilgileri'!$A$2:$J$700,10,FALSE)=0,"",VLOOKUP($A253,'İşçi Bilgileri'!$A$2:$J$700,10,FALSE)))</f>
        <v>#N/A</v>
      </c>
    </row>
    <row r="254" spans="1:47" x14ac:dyDescent="0.2">
      <c r="A254" s="170">
        <v>246</v>
      </c>
      <c r="B254" s="147" t="e">
        <f>CONCATENATE(IF($A254="","",VLOOKUP($A254,'İşçi Bilgileri'!$A$2:$D$700,2,FALSE))," ",IF($A254="","",VLOOKUP($A254,'İşçi Bilgileri'!$A$2:$D$700,3,FALSE)))</f>
        <v>#N/A</v>
      </c>
      <c r="C254" s="171" t="e">
        <f>IF($A254="","",VLOOKUP($A254,'İşçi Bilgileri'!$A$2:$D$700,4,FALSE))</f>
        <v>#N/A</v>
      </c>
      <c r="D254" s="298"/>
      <c r="E254" s="298"/>
      <c r="F254" s="298"/>
      <c r="G254" s="298"/>
      <c r="H254" s="298"/>
      <c r="I254" s="298"/>
      <c r="J254" s="298"/>
      <c r="K254" s="298"/>
      <c r="L254" s="298"/>
      <c r="M254" s="298"/>
      <c r="N254" s="298"/>
      <c r="O254" s="298"/>
      <c r="P254" s="298"/>
      <c r="Q254" s="298"/>
      <c r="R254" s="298"/>
      <c r="S254" s="298"/>
      <c r="T254" s="298"/>
      <c r="U254" s="298"/>
      <c r="V254" s="298"/>
      <c r="W254" s="298"/>
      <c r="X254" s="298"/>
      <c r="Y254" s="298"/>
      <c r="Z254" s="298"/>
      <c r="AA254" s="298"/>
      <c r="AB254" s="298"/>
      <c r="AC254" s="298"/>
      <c r="AD254" s="298"/>
      <c r="AE254" s="298"/>
      <c r="AF254" s="298"/>
      <c r="AG254" s="298"/>
      <c r="AH254" s="298"/>
      <c r="AI254" s="166">
        <f t="shared" si="6"/>
        <v>0</v>
      </c>
      <c r="AJ254" s="166">
        <f t="shared" si="7"/>
        <v>0</v>
      </c>
      <c r="AK254" s="166"/>
      <c r="AL254" s="230" t="e">
        <f>IF($A254="","",IF(VLOOKUP($A254,'İşçi Bilgileri'!$A$2:$J$700,9,FALSE)=0,"",VLOOKUP($A254,'İşçi Bilgileri'!$A$2:$J$700,9,FALSE)))</f>
        <v>#N/A</v>
      </c>
      <c r="AM254" s="172" t="e">
        <f>IF($A254="","",IF(VLOOKUP($A254,'İşçi Bilgileri'!$A$2:$J$700,10,FALSE)=0,"",VLOOKUP($A254,'İşçi Bilgileri'!$A$2:$J$700,10,FALSE)))</f>
        <v>#N/A</v>
      </c>
    </row>
    <row r="255" spans="1:47" x14ac:dyDescent="0.2">
      <c r="A255" s="170">
        <v>247</v>
      </c>
      <c r="B255" s="147" t="e">
        <f>CONCATENATE(IF($A255="","",VLOOKUP($A255,'İşçi Bilgileri'!$A$2:$D$700,2,FALSE))," ",IF($A255="","",VLOOKUP($A255,'İşçi Bilgileri'!$A$2:$D$700,3,FALSE)))</f>
        <v>#N/A</v>
      </c>
      <c r="C255" s="171" t="e">
        <f>IF($A255="","",VLOOKUP($A255,'İşçi Bilgileri'!$A$2:$D$700,4,FALSE))</f>
        <v>#N/A</v>
      </c>
      <c r="D255" s="298"/>
      <c r="E255" s="298"/>
      <c r="F255" s="298"/>
      <c r="G255" s="298"/>
      <c r="H255" s="298"/>
      <c r="I255" s="298"/>
      <c r="J255" s="298"/>
      <c r="K255" s="298"/>
      <c r="L255" s="298"/>
      <c r="M255" s="298"/>
      <c r="N255" s="298"/>
      <c r="O255" s="298"/>
      <c r="P255" s="298"/>
      <c r="Q255" s="298"/>
      <c r="R255" s="298"/>
      <c r="S255" s="298"/>
      <c r="T255" s="298"/>
      <c r="U255" s="298"/>
      <c r="V255" s="298"/>
      <c r="W255" s="298"/>
      <c r="X255" s="298"/>
      <c r="Y255" s="298"/>
      <c r="Z255" s="298"/>
      <c r="AA255" s="298"/>
      <c r="AB255" s="298"/>
      <c r="AC255" s="298"/>
      <c r="AD255" s="298"/>
      <c r="AE255" s="298"/>
      <c r="AF255" s="298"/>
      <c r="AG255" s="298"/>
      <c r="AH255" s="298"/>
      <c r="AI255" s="166">
        <f t="shared" si="6"/>
        <v>0</v>
      </c>
      <c r="AJ255" s="166">
        <f t="shared" si="7"/>
        <v>0</v>
      </c>
      <c r="AK255" s="166"/>
      <c r="AL255" s="230" t="e">
        <f>IF($A255="","",IF(VLOOKUP($A255,'İşçi Bilgileri'!$A$2:$J$700,9,FALSE)=0,"",VLOOKUP($A255,'İşçi Bilgileri'!$A$2:$J$700,9,FALSE)))</f>
        <v>#N/A</v>
      </c>
      <c r="AM255" s="172" t="e">
        <f>IF($A255="","",IF(VLOOKUP($A255,'İşçi Bilgileri'!$A$2:$J$700,10,FALSE)=0,"",VLOOKUP($A255,'İşçi Bilgileri'!$A$2:$J$700,10,FALSE)))</f>
        <v>#N/A</v>
      </c>
    </row>
    <row r="256" spans="1:47" x14ac:dyDescent="0.2">
      <c r="A256" s="170">
        <v>248</v>
      </c>
      <c r="B256" s="147" t="e">
        <f>CONCATENATE(IF($A256="","",VLOOKUP($A256,'İşçi Bilgileri'!$A$2:$D$700,2,FALSE))," ",IF($A256="","",VLOOKUP($A256,'İşçi Bilgileri'!$A$2:$D$700,3,FALSE)))</f>
        <v>#N/A</v>
      </c>
      <c r="C256" s="171" t="e">
        <f>IF($A256="","",VLOOKUP($A256,'İşçi Bilgileri'!$A$2:$D$700,4,FALSE))</f>
        <v>#N/A</v>
      </c>
      <c r="D256" s="298"/>
      <c r="E256" s="298"/>
      <c r="F256" s="298"/>
      <c r="G256" s="298"/>
      <c r="H256" s="298"/>
      <c r="I256" s="298"/>
      <c r="J256" s="298"/>
      <c r="K256" s="298"/>
      <c r="L256" s="298"/>
      <c r="M256" s="298"/>
      <c r="N256" s="298"/>
      <c r="O256" s="298"/>
      <c r="P256" s="298"/>
      <c r="Q256" s="298"/>
      <c r="R256" s="298"/>
      <c r="S256" s="298"/>
      <c r="T256" s="298"/>
      <c r="U256" s="298"/>
      <c r="V256" s="298"/>
      <c r="W256" s="298"/>
      <c r="X256" s="298"/>
      <c r="Y256" s="298"/>
      <c r="Z256" s="298"/>
      <c r="AA256" s="298"/>
      <c r="AB256" s="298"/>
      <c r="AC256" s="298"/>
      <c r="AD256" s="298"/>
      <c r="AE256" s="298"/>
      <c r="AF256" s="298"/>
      <c r="AG256" s="298"/>
      <c r="AH256" s="298"/>
      <c r="AI256" s="166">
        <f t="shared" si="6"/>
        <v>0</v>
      </c>
      <c r="AJ256" s="166">
        <f t="shared" si="7"/>
        <v>0</v>
      </c>
      <c r="AK256" s="166"/>
      <c r="AL256" s="230" t="e">
        <f>IF($A256="","",IF(VLOOKUP($A256,'İşçi Bilgileri'!$A$2:$J$700,9,FALSE)=0,"",VLOOKUP($A256,'İşçi Bilgileri'!$A$2:$J$700,9,FALSE)))</f>
        <v>#N/A</v>
      </c>
      <c r="AM256" s="172" t="e">
        <f>IF($A256="","",IF(VLOOKUP($A256,'İşçi Bilgileri'!$A$2:$J$700,10,FALSE)=0,"",VLOOKUP($A256,'İşçi Bilgileri'!$A$2:$J$700,10,FALSE)))</f>
        <v>#N/A</v>
      </c>
    </row>
    <row r="257" spans="1:39" x14ac:dyDescent="0.2">
      <c r="A257" s="170">
        <v>249</v>
      </c>
      <c r="B257" s="147" t="e">
        <f>CONCATENATE(IF($A257="","",VLOOKUP($A257,'İşçi Bilgileri'!$A$2:$D$700,2,FALSE))," ",IF($A257="","",VLOOKUP($A257,'İşçi Bilgileri'!$A$2:$D$700,3,FALSE)))</f>
        <v>#N/A</v>
      </c>
      <c r="C257" s="171" t="e">
        <f>IF($A257="","",VLOOKUP($A257,'İşçi Bilgileri'!$A$2:$D$700,4,FALSE))</f>
        <v>#N/A</v>
      </c>
      <c r="D257" s="298"/>
      <c r="E257" s="298"/>
      <c r="F257" s="298"/>
      <c r="G257" s="298"/>
      <c r="H257" s="298"/>
      <c r="I257" s="298"/>
      <c r="J257" s="298"/>
      <c r="K257" s="298"/>
      <c r="L257" s="298"/>
      <c r="M257" s="298"/>
      <c r="N257" s="298"/>
      <c r="O257" s="298"/>
      <c r="P257" s="298"/>
      <c r="Q257" s="298"/>
      <c r="R257" s="298"/>
      <c r="S257" s="298"/>
      <c r="T257" s="298"/>
      <c r="U257" s="298"/>
      <c r="V257" s="298"/>
      <c r="W257" s="298"/>
      <c r="X257" s="298"/>
      <c r="Y257" s="298"/>
      <c r="Z257" s="298"/>
      <c r="AA257" s="298"/>
      <c r="AB257" s="298"/>
      <c r="AC257" s="298"/>
      <c r="AD257" s="298"/>
      <c r="AE257" s="298"/>
      <c r="AF257" s="298"/>
      <c r="AG257" s="298"/>
      <c r="AH257" s="298"/>
      <c r="AI257" s="166">
        <f t="shared" si="6"/>
        <v>0</v>
      </c>
      <c r="AJ257" s="166">
        <f t="shared" si="7"/>
        <v>0</v>
      </c>
      <c r="AK257" s="166"/>
      <c r="AL257" s="230" t="e">
        <f>IF($A257="","",IF(VLOOKUP($A257,'İşçi Bilgileri'!$A$2:$J$700,9,FALSE)=0,"",VLOOKUP($A257,'İşçi Bilgileri'!$A$2:$J$700,9,FALSE)))</f>
        <v>#N/A</v>
      </c>
      <c r="AM257" s="172" t="e">
        <f>IF($A257="","",IF(VLOOKUP($A257,'İşçi Bilgileri'!$A$2:$J$700,10,FALSE)=0,"",VLOOKUP($A257,'İşçi Bilgileri'!$A$2:$J$700,10,FALSE)))</f>
        <v>#N/A</v>
      </c>
    </row>
    <row r="258" spans="1:39" x14ac:dyDescent="0.2">
      <c r="A258" s="170">
        <v>250</v>
      </c>
      <c r="B258" s="147" t="e">
        <f>CONCATENATE(IF($A258="","",VLOOKUP($A258,'İşçi Bilgileri'!$A$2:$D$700,2,FALSE))," ",IF($A258="","",VLOOKUP($A258,'İşçi Bilgileri'!$A$2:$D$700,3,FALSE)))</f>
        <v>#N/A</v>
      </c>
      <c r="C258" s="171" t="e">
        <f>IF($A258="","",VLOOKUP($A258,'İşçi Bilgileri'!$A$2:$D$700,4,FALSE))</f>
        <v>#N/A</v>
      </c>
      <c r="D258" s="298"/>
      <c r="E258" s="298"/>
      <c r="F258" s="298"/>
      <c r="G258" s="298"/>
      <c r="H258" s="298"/>
      <c r="I258" s="298"/>
      <c r="J258" s="298"/>
      <c r="K258" s="298"/>
      <c r="L258" s="298"/>
      <c r="M258" s="298"/>
      <c r="N258" s="298"/>
      <c r="O258" s="298"/>
      <c r="P258" s="298"/>
      <c r="Q258" s="298"/>
      <c r="R258" s="298"/>
      <c r="S258" s="298"/>
      <c r="T258" s="298"/>
      <c r="U258" s="298"/>
      <c r="V258" s="298"/>
      <c r="W258" s="298"/>
      <c r="X258" s="298"/>
      <c r="Y258" s="298"/>
      <c r="Z258" s="298"/>
      <c r="AA258" s="298"/>
      <c r="AB258" s="298"/>
      <c r="AC258" s="298"/>
      <c r="AD258" s="298"/>
      <c r="AE258" s="298"/>
      <c r="AF258" s="298"/>
      <c r="AG258" s="298"/>
      <c r="AH258" s="298"/>
      <c r="AI258" s="166">
        <f t="shared" si="6"/>
        <v>0</v>
      </c>
      <c r="AJ258" s="166">
        <f t="shared" si="7"/>
        <v>0</v>
      </c>
      <c r="AK258" s="166"/>
      <c r="AL258" s="230" t="e">
        <f>IF($A258="","",IF(VLOOKUP($A258,'İşçi Bilgileri'!$A$2:$J$700,9,FALSE)=0,"",VLOOKUP($A258,'İşçi Bilgileri'!$A$2:$J$700,9,FALSE)))</f>
        <v>#N/A</v>
      </c>
      <c r="AM258" s="172" t="e">
        <f>IF($A258="","",IF(VLOOKUP($A258,'İşçi Bilgileri'!$A$2:$J$700,10,FALSE)=0,"",VLOOKUP($A258,'İşçi Bilgileri'!$A$2:$J$700,10,FALSE)))</f>
        <v>#N/A</v>
      </c>
    </row>
    <row r="259" spans="1:39" ht="14.25" customHeight="1" x14ac:dyDescent="0.2">
      <c r="A259" s="170">
        <v>251</v>
      </c>
      <c r="B259" s="147" t="e">
        <f>CONCATENATE(IF($A259="","",VLOOKUP($A259,'İşçi Bilgileri'!$A$2:$D$700,2,FALSE))," ",IF($A259="","",VLOOKUP($A259,'İşçi Bilgileri'!$A$2:$D$700,3,FALSE)))</f>
        <v>#N/A</v>
      </c>
      <c r="C259" s="171" t="e">
        <f>IF($A259="","",VLOOKUP($A259,'İşçi Bilgileri'!$A$2:$D$700,4,FALSE))</f>
        <v>#N/A</v>
      </c>
      <c r="D259" s="298"/>
      <c r="E259" s="298"/>
      <c r="F259" s="298"/>
      <c r="G259" s="298"/>
      <c r="H259" s="298"/>
      <c r="I259" s="298"/>
      <c r="J259" s="298"/>
      <c r="K259" s="298"/>
      <c r="L259" s="298"/>
      <c r="M259" s="298"/>
      <c r="N259" s="298"/>
      <c r="O259" s="298"/>
      <c r="P259" s="298"/>
      <c r="Q259" s="298"/>
      <c r="R259" s="298"/>
      <c r="S259" s="298"/>
      <c r="T259" s="298"/>
      <c r="U259" s="298"/>
      <c r="V259" s="298"/>
      <c r="W259" s="298"/>
      <c r="X259" s="298"/>
      <c r="Y259" s="298"/>
      <c r="Z259" s="298"/>
      <c r="AA259" s="298"/>
      <c r="AB259" s="298"/>
      <c r="AC259" s="298"/>
      <c r="AD259" s="298"/>
      <c r="AE259" s="298"/>
      <c r="AF259" s="298"/>
      <c r="AG259" s="298"/>
      <c r="AH259" s="298"/>
      <c r="AI259" s="166">
        <f t="shared" si="6"/>
        <v>0</v>
      </c>
      <c r="AJ259" s="166">
        <f t="shared" si="7"/>
        <v>0</v>
      </c>
      <c r="AK259" s="166"/>
      <c r="AL259" s="230" t="e">
        <f>IF($A259="","",IF(VLOOKUP($A259,'İşçi Bilgileri'!$A$2:$J$700,9,FALSE)=0,"",VLOOKUP($A259,'İşçi Bilgileri'!$A$2:$J$700,9,FALSE)))</f>
        <v>#N/A</v>
      </c>
      <c r="AM259" s="172" t="e">
        <f>IF($A259="","",IF(VLOOKUP($A259,'İşçi Bilgileri'!$A$2:$J$700,10,FALSE)=0,"",VLOOKUP($A259,'İşçi Bilgileri'!$A$2:$J$700,10,FALSE)))</f>
        <v>#N/A</v>
      </c>
    </row>
    <row r="260" spans="1:39" x14ac:dyDescent="0.2">
      <c r="A260" s="170">
        <v>252</v>
      </c>
      <c r="B260" s="147" t="e">
        <f>CONCATENATE(IF($A260="","",VLOOKUP($A260,'İşçi Bilgileri'!$A$2:$D$700,2,FALSE))," ",IF($A260="","",VLOOKUP($A260,'İşçi Bilgileri'!$A$2:$D$700,3,FALSE)))</f>
        <v>#N/A</v>
      </c>
      <c r="C260" s="171" t="e">
        <f>IF($A260="","",VLOOKUP($A260,'İşçi Bilgileri'!$A$2:$D$700,4,FALSE))</f>
        <v>#N/A</v>
      </c>
      <c r="D260" s="298"/>
      <c r="E260" s="298"/>
      <c r="F260" s="298"/>
      <c r="G260" s="298"/>
      <c r="H260" s="298"/>
      <c r="I260" s="298"/>
      <c r="J260" s="298"/>
      <c r="K260" s="298"/>
      <c r="L260" s="298"/>
      <c r="M260" s="298"/>
      <c r="N260" s="298"/>
      <c r="O260" s="298"/>
      <c r="P260" s="298"/>
      <c r="Q260" s="298"/>
      <c r="R260" s="298"/>
      <c r="S260" s="298"/>
      <c r="T260" s="298"/>
      <c r="U260" s="298"/>
      <c r="V260" s="298"/>
      <c r="W260" s="298"/>
      <c r="X260" s="298"/>
      <c r="Y260" s="298"/>
      <c r="Z260" s="298"/>
      <c r="AA260" s="298"/>
      <c r="AB260" s="298"/>
      <c r="AC260" s="298"/>
      <c r="AD260" s="298"/>
      <c r="AE260" s="298"/>
      <c r="AF260" s="298"/>
      <c r="AG260" s="298"/>
      <c r="AH260" s="298"/>
      <c r="AI260" s="166">
        <f t="shared" si="6"/>
        <v>0</v>
      </c>
      <c r="AJ260" s="166">
        <f t="shared" si="7"/>
        <v>0</v>
      </c>
      <c r="AK260" s="166"/>
      <c r="AL260" s="230" t="e">
        <f>IF($A260="","",IF(VLOOKUP($A260,'İşçi Bilgileri'!$A$2:$J$700,9,FALSE)=0,"",VLOOKUP($A260,'İşçi Bilgileri'!$A$2:$J$700,9,FALSE)))</f>
        <v>#N/A</v>
      </c>
      <c r="AM260" s="172" t="e">
        <f>IF($A260="","",IF(VLOOKUP($A260,'İşçi Bilgileri'!$A$2:$J$700,10,FALSE)=0,"",VLOOKUP($A260,'İşçi Bilgileri'!$A$2:$J$700,10,FALSE)))</f>
        <v>#N/A</v>
      </c>
    </row>
    <row r="261" spans="1:39" x14ac:dyDescent="0.2">
      <c r="A261" s="170">
        <v>253</v>
      </c>
      <c r="B261" s="147" t="e">
        <f>CONCATENATE(IF($A261="","",VLOOKUP($A261,'İşçi Bilgileri'!$A$2:$D$700,2,FALSE))," ",IF($A261="","",VLOOKUP($A261,'İşçi Bilgileri'!$A$2:$D$700,3,FALSE)))</f>
        <v>#N/A</v>
      </c>
      <c r="C261" s="171" t="e">
        <f>IF($A261="","",VLOOKUP($A261,'İşçi Bilgileri'!$A$2:$D$700,4,FALSE))</f>
        <v>#N/A</v>
      </c>
      <c r="D261" s="298"/>
      <c r="E261" s="298"/>
      <c r="F261" s="298"/>
      <c r="G261" s="298"/>
      <c r="H261" s="298"/>
      <c r="I261" s="298"/>
      <c r="J261" s="298"/>
      <c r="K261" s="298"/>
      <c r="L261" s="298"/>
      <c r="M261" s="298"/>
      <c r="N261" s="298"/>
      <c r="O261" s="298"/>
      <c r="P261" s="298"/>
      <c r="Q261" s="298"/>
      <c r="R261" s="298"/>
      <c r="S261" s="298"/>
      <c r="T261" s="298"/>
      <c r="U261" s="298"/>
      <c r="V261" s="298"/>
      <c r="W261" s="298"/>
      <c r="X261" s="298"/>
      <c r="Y261" s="298"/>
      <c r="Z261" s="298"/>
      <c r="AA261" s="298"/>
      <c r="AB261" s="298"/>
      <c r="AC261" s="298"/>
      <c r="AD261" s="298"/>
      <c r="AE261" s="298"/>
      <c r="AF261" s="298"/>
      <c r="AG261" s="298"/>
      <c r="AH261" s="298"/>
      <c r="AI261" s="166">
        <f t="shared" si="6"/>
        <v>0</v>
      </c>
      <c r="AJ261" s="166">
        <f t="shared" si="7"/>
        <v>0</v>
      </c>
      <c r="AK261" s="166"/>
      <c r="AL261" s="230" t="e">
        <f>IF($A261="","",IF(VLOOKUP($A261,'İşçi Bilgileri'!$A$2:$J$700,9,FALSE)=0,"",VLOOKUP($A261,'İşçi Bilgileri'!$A$2:$J$700,9,FALSE)))</f>
        <v>#N/A</v>
      </c>
      <c r="AM261" s="172" t="e">
        <f>IF($A261="","",IF(VLOOKUP($A261,'İşçi Bilgileri'!$A$2:$J$700,10,FALSE)=0,"",VLOOKUP($A261,'İşçi Bilgileri'!$A$2:$J$700,10,FALSE)))</f>
        <v>#N/A</v>
      </c>
    </row>
    <row r="262" spans="1:39" x14ac:dyDescent="0.2">
      <c r="A262" s="170">
        <v>254</v>
      </c>
      <c r="B262" s="147" t="e">
        <f>CONCATENATE(IF($A262="","",VLOOKUP($A262,'İşçi Bilgileri'!$A$2:$D$700,2,FALSE))," ",IF($A262="","",VLOOKUP($A262,'İşçi Bilgileri'!$A$2:$D$700,3,FALSE)))</f>
        <v>#N/A</v>
      </c>
      <c r="C262" s="171" t="e">
        <f>IF($A262="","",VLOOKUP($A262,'İşçi Bilgileri'!$A$2:$D$700,4,FALSE))</f>
        <v>#N/A</v>
      </c>
      <c r="D262" s="298"/>
      <c r="E262" s="298"/>
      <c r="F262" s="298"/>
      <c r="G262" s="298"/>
      <c r="H262" s="298"/>
      <c r="I262" s="298"/>
      <c r="J262" s="298"/>
      <c r="K262" s="298"/>
      <c r="L262" s="298"/>
      <c r="M262" s="298"/>
      <c r="N262" s="298"/>
      <c r="O262" s="298"/>
      <c r="P262" s="298"/>
      <c r="Q262" s="298"/>
      <c r="R262" s="298"/>
      <c r="S262" s="298"/>
      <c r="T262" s="298"/>
      <c r="U262" s="298"/>
      <c r="V262" s="298"/>
      <c r="W262" s="298"/>
      <c r="X262" s="298"/>
      <c r="Y262" s="298"/>
      <c r="Z262" s="298"/>
      <c r="AA262" s="298"/>
      <c r="AB262" s="298"/>
      <c r="AC262" s="298"/>
      <c r="AD262" s="298"/>
      <c r="AE262" s="298"/>
      <c r="AF262" s="298"/>
      <c r="AG262" s="298"/>
      <c r="AH262" s="298"/>
      <c r="AI262" s="166">
        <f t="shared" si="6"/>
        <v>0</v>
      </c>
      <c r="AJ262" s="166">
        <f t="shared" si="7"/>
        <v>0</v>
      </c>
      <c r="AK262" s="166"/>
      <c r="AL262" s="230" t="e">
        <f>IF($A262="","",IF(VLOOKUP($A262,'İşçi Bilgileri'!$A$2:$J$700,9,FALSE)=0,"",VLOOKUP($A262,'İşçi Bilgileri'!$A$2:$J$700,9,FALSE)))</f>
        <v>#N/A</v>
      </c>
      <c r="AM262" s="172" t="e">
        <f>IF($A262="","",IF(VLOOKUP($A262,'İşçi Bilgileri'!$A$2:$J$700,10,FALSE)=0,"",VLOOKUP($A262,'İşçi Bilgileri'!$A$2:$J$700,10,FALSE)))</f>
        <v>#N/A</v>
      </c>
    </row>
    <row r="263" spans="1:39" x14ac:dyDescent="0.2">
      <c r="A263" s="170">
        <v>255</v>
      </c>
      <c r="B263" s="147" t="e">
        <f>CONCATENATE(IF($A263="","",VLOOKUP($A263,'İşçi Bilgileri'!$A$2:$D$700,2,FALSE))," ",IF($A263="","",VLOOKUP($A263,'İşçi Bilgileri'!$A$2:$D$700,3,FALSE)))</f>
        <v>#N/A</v>
      </c>
      <c r="C263" s="171" t="e">
        <f>IF($A263="","",VLOOKUP($A263,'İşçi Bilgileri'!$A$2:$D$700,4,FALSE))</f>
        <v>#N/A</v>
      </c>
      <c r="D263" s="298"/>
      <c r="E263" s="298"/>
      <c r="F263" s="298"/>
      <c r="G263" s="298"/>
      <c r="H263" s="298"/>
      <c r="I263" s="298"/>
      <c r="J263" s="298"/>
      <c r="K263" s="298"/>
      <c r="L263" s="298"/>
      <c r="M263" s="298"/>
      <c r="N263" s="298"/>
      <c r="O263" s="298"/>
      <c r="P263" s="298"/>
      <c r="Q263" s="298"/>
      <c r="R263" s="298"/>
      <c r="S263" s="298"/>
      <c r="T263" s="298"/>
      <c r="U263" s="298"/>
      <c r="V263" s="298"/>
      <c r="W263" s="298"/>
      <c r="X263" s="298"/>
      <c r="Y263" s="298"/>
      <c r="Z263" s="298"/>
      <c r="AA263" s="298"/>
      <c r="AB263" s="298"/>
      <c r="AC263" s="298"/>
      <c r="AD263" s="298"/>
      <c r="AE263" s="298"/>
      <c r="AF263" s="298"/>
      <c r="AG263" s="298"/>
      <c r="AH263" s="298"/>
      <c r="AI263" s="166">
        <f t="shared" si="6"/>
        <v>0</v>
      </c>
      <c r="AJ263" s="166">
        <f t="shared" si="7"/>
        <v>0</v>
      </c>
      <c r="AK263" s="166"/>
      <c r="AL263" s="230" t="e">
        <f>IF($A263="","",IF(VLOOKUP($A263,'İşçi Bilgileri'!$A$2:$J$700,9,FALSE)=0,"",VLOOKUP($A263,'İşçi Bilgileri'!$A$2:$J$700,9,FALSE)))</f>
        <v>#N/A</v>
      </c>
      <c r="AM263" s="172" t="e">
        <f>IF($A263="","",IF(VLOOKUP($A263,'İşçi Bilgileri'!$A$2:$J$700,10,FALSE)=0,"",VLOOKUP($A263,'İşçi Bilgileri'!$A$2:$J$700,10,FALSE)))</f>
        <v>#N/A</v>
      </c>
    </row>
    <row r="264" spans="1:39" x14ac:dyDescent="0.2">
      <c r="A264" s="170">
        <v>256</v>
      </c>
      <c r="B264" s="147" t="e">
        <f>CONCATENATE(IF($A264="","",VLOOKUP($A264,'İşçi Bilgileri'!$A$2:$D$700,2,FALSE))," ",IF($A264="","",VLOOKUP($A264,'İşçi Bilgileri'!$A$2:$D$700,3,FALSE)))</f>
        <v>#N/A</v>
      </c>
      <c r="C264" s="171" t="e">
        <f>IF($A264="","",VLOOKUP($A264,'İşçi Bilgileri'!$A$2:$D$700,4,FALSE))</f>
        <v>#N/A</v>
      </c>
      <c r="D264" s="298"/>
      <c r="E264" s="298"/>
      <c r="F264" s="298"/>
      <c r="G264" s="298"/>
      <c r="H264" s="298"/>
      <c r="I264" s="298"/>
      <c r="J264" s="298"/>
      <c r="K264" s="298"/>
      <c r="L264" s="298"/>
      <c r="M264" s="298"/>
      <c r="N264" s="298"/>
      <c r="O264" s="298"/>
      <c r="P264" s="298"/>
      <c r="Q264" s="298"/>
      <c r="R264" s="298"/>
      <c r="S264" s="298"/>
      <c r="T264" s="298"/>
      <c r="U264" s="298"/>
      <c r="V264" s="298"/>
      <c r="W264" s="298"/>
      <c r="X264" s="298"/>
      <c r="Y264" s="298"/>
      <c r="Z264" s="298"/>
      <c r="AA264" s="298"/>
      <c r="AB264" s="298"/>
      <c r="AC264" s="298"/>
      <c r="AD264" s="298"/>
      <c r="AE264" s="298"/>
      <c r="AF264" s="298"/>
      <c r="AG264" s="298"/>
      <c r="AH264" s="298"/>
      <c r="AI264" s="166">
        <f t="shared" si="6"/>
        <v>0</v>
      </c>
      <c r="AJ264" s="166">
        <f t="shared" si="7"/>
        <v>0</v>
      </c>
      <c r="AK264" s="166"/>
      <c r="AL264" s="230" t="e">
        <f>IF($A264="","",IF(VLOOKUP($A264,'İşçi Bilgileri'!$A$2:$J$700,9,FALSE)=0,"",VLOOKUP($A264,'İşçi Bilgileri'!$A$2:$J$700,9,FALSE)))</f>
        <v>#N/A</v>
      </c>
      <c r="AM264" s="172" t="e">
        <f>IF($A264="","",IF(VLOOKUP($A264,'İşçi Bilgileri'!$A$2:$J$700,10,FALSE)=0,"",VLOOKUP($A264,'İşçi Bilgileri'!$A$2:$J$700,10,FALSE)))</f>
        <v>#N/A</v>
      </c>
    </row>
    <row r="265" spans="1:39" x14ac:dyDescent="0.2">
      <c r="A265" s="170">
        <v>257</v>
      </c>
      <c r="B265" s="147" t="e">
        <f>CONCATENATE(IF($A265="","",VLOOKUP($A265,'İşçi Bilgileri'!$A$2:$D$700,2,FALSE))," ",IF($A265="","",VLOOKUP($A265,'İşçi Bilgileri'!$A$2:$D$700,3,FALSE)))</f>
        <v>#N/A</v>
      </c>
      <c r="C265" s="171" t="e">
        <f>IF($A265="","",VLOOKUP($A265,'İşçi Bilgileri'!$A$2:$D$700,4,FALSE))</f>
        <v>#N/A</v>
      </c>
      <c r="D265" s="298"/>
      <c r="E265" s="298"/>
      <c r="F265" s="298"/>
      <c r="G265" s="298"/>
      <c r="H265" s="298"/>
      <c r="I265" s="298"/>
      <c r="J265" s="298"/>
      <c r="K265" s="298"/>
      <c r="L265" s="298"/>
      <c r="M265" s="298"/>
      <c r="N265" s="298"/>
      <c r="O265" s="298"/>
      <c r="P265" s="298"/>
      <c r="Q265" s="298"/>
      <c r="R265" s="298"/>
      <c r="S265" s="298"/>
      <c r="T265" s="298"/>
      <c r="U265" s="298"/>
      <c r="V265" s="298"/>
      <c r="W265" s="298"/>
      <c r="X265" s="298"/>
      <c r="Y265" s="298"/>
      <c r="Z265" s="298"/>
      <c r="AA265" s="298"/>
      <c r="AB265" s="298"/>
      <c r="AC265" s="298"/>
      <c r="AD265" s="298"/>
      <c r="AE265" s="298"/>
      <c r="AF265" s="298"/>
      <c r="AG265" s="298"/>
      <c r="AH265" s="298"/>
      <c r="AI265" s="166">
        <f t="shared" si="6"/>
        <v>0</v>
      </c>
      <c r="AJ265" s="166">
        <f t="shared" si="7"/>
        <v>0</v>
      </c>
      <c r="AK265" s="166"/>
      <c r="AL265" s="230" t="e">
        <f>IF($A265="","",IF(VLOOKUP($A265,'İşçi Bilgileri'!$A$2:$J$700,9,FALSE)=0,"",VLOOKUP($A265,'İşçi Bilgileri'!$A$2:$J$700,9,FALSE)))</f>
        <v>#N/A</v>
      </c>
      <c r="AM265" s="172" t="e">
        <f>IF($A265="","",IF(VLOOKUP($A265,'İşçi Bilgileri'!$A$2:$J$700,10,FALSE)=0,"",VLOOKUP($A265,'İşçi Bilgileri'!$A$2:$J$700,10,FALSE)))</f>
        <v>#N/A</v>
      </c>
    </row>
    <row r="266" spans="1:39" x14ac:dyDescent="0.2">
      <c r="A266" s="170">
        <v>258</v>
      </c>
      <c r="B266" s="147" t="e">
        <f>CONCATENATE(IF($A266="","",VLOOKUP($A266,'İşçi Bilgileri'!$A$2:$D$700,2,FALSE))," ",IF($A266="","",VLOOKUP($A266,'İşçi Bilgileri'!$A$2:$D$700,3,FALSE)))</f>
        <v>#N/A</v>
      </c>
      <c r="C266" s="171" t="e">
        <f>IF($A266="","",VLOOKUP($A266,'İşçi Bilgileri'!$A$2:$D$700,4,FALSE))</f>
        <v>#N/A</v>
      </c>
      <c r="D266" s="298"/>
      <c r="E266" s="298"/>
      <c r="F266" s="298"/>
      <c r="G266" s="298"/>
      <c r="H266" s="298"/>
      <c r="I266" s="298"/>
      <c r="J266" s="298"/>
      <c r="K266" s="298"/>
      <c r="L266" s="298"/>
      <c r="M266" s="298"/>
      <c r="N266" s="298"/>
      <c r="O266" s="298"/>
      <c r="P266" s="298"/>
      <c r="Q266" s="298"/>
      <c r="R266" s="298"/>
      <c r="S266" s="298"/>
      <c r="T266" s="298"/>
      <c r="U266" s="298"/>
      <c r="V266" s="298"/>
      <c r="W266" s="298"/>
      <c r="X266" s="298"/>
      <c r="Y266" s="298"/>
      <c r="Z266" s="298"/>
      <c r="AA266" s="298"/>
      <c r="AB266" s="298"/>
      <c r="AC266" s="298"/>
      <c r="AD266" s="298"/>
      <c r="AE266" s="298"/>
      <c r="AF266" s="298"/>
      <c r="AG266" s="298"/>
      <c r="AH266" s="298"/>
      <c r="AI266" s="166">
        <f t="shared" ref="AI266:AI329" si="8">SUM(COUNTIF(D266:AH266,"İ"),COUNTIF(D266:AH266,"R"),COUNTIF(D266:AH266,"D"),COUNTIF(D266:AH266,"C"))</f>
        <v>0</v>
      </c>
      <c r="AJ266" s="166">
        <f t="shared" ref="AJ266:AJ329" si="9">IF(COUNTIF(D266:AH266,"X")=$AL$6,30,COUNTIF(D266:AH266,"X"))</f>
        <v>0</v>
      </c>
      <c r="AK266" s="166"/>
      <c r="AL266" s="230" t="e">
        <f>IF($A266="","",IF(VLOOKUP($A266,'İşçi Bilgileri'!$A$2:$J$700,9,FALSE)=0,"",VLOOKUP($A266,'İşçi Bilgileri'!$A$2:$J$700,9,FALSE)))</f>
        <v>#N/A</v>
      </c>
      <c r="AM266" s="172" t="e">
        <f>IF($A266="","",IF(VLOOKUP($A266,'İşçi Bilgileri'!$A$2:$J$700,10,FALSE)=0,"",VLOOKUP($A266,'İşçi Bilgileri'!$A$2:$J$700,10,FALSE)))</f>
        <v>#N/A</v>
      </c>
    </row>
    <row r="267" spans="1:39" x14ac:dyDescent="0.2">
      <c r="A267" s="170">
        <v>259</v>
      </c>
      <c r="B267" s="147" t="e">
        <f>CONCATENATE(IF($A267="","",VLOOKUP($A267,'İşçi Bilgileri'!$A$2:$D$700,2,FALSE))," ",IF($A267="","",VLOOKUP($A267,'İşçi Bilgileri'!$A$2:$D$700,3,FALSE)))</f>
        <v>#N/A</v>
      </c>
      <c r="C267" s="171" t="e">
        <f>IF($A267="","",VLOOKUP($A267,'İşçi Bilgileri'!$A$2:$D$700,4,FALSE))</f>
        <v>#N/A</v>
      </c>
      <c r="D267" s="298"/>
      <c r="E267" s="298"/>
      <c r="F267" s="298"/>
      <c r="G267" s="298"/>
      <c r="H267" s="298"/>
      <c r="I267" s="298"/>
      <c r="J267" s="298"/>
      <c r="K267" s="298"/>
      <c r="L267" s="298"/>
      <c r="M267" s="298"/>
      <c r="N267" s="298"/>
      <c r="O267" s="298"/>
      <c r="P267" s="298"/>
      <c r="Q267" s="298"/>
      <c r="R267" s="298"/>
      <c r="S267" s="298"/>
      <c r="T267" s="298"/>
      <c r="U267" s="298"/>
      <c r="V267" s="298"/>
      <c r="W267" s="298"/>
      <c r="X267" s="298"/>
      <c r="Y267" s="298"/>
      <c r="Z267" s="298"/>
      <c r="AA267" s="298"/>
      <c r="AB267" s="298"/>
      <c r="AC267" s="298"/>
      <c r="AD267" s="298"/>
      <c r="AE267" s="298"/>
      <c r="AF267" s="298"/>
      <c r="AG267" s="298"/>
      <c r="AH267" s="298"/>
      <c r="AI267" s="166">
        <f t="shared" si="8"/>
        <v>0</v>
      </c>
      <c r="AJ267" s="166">
        <f t="shared" si="9"/>
        <v>0</v>
      </c>
      <c r="AK267" s="166"/>
      <c r="AL267" s="230" t="e">
        <f>IF($A267="","",IF(VLOOKUP($A267,'İşçi Bilgileri'!$A$2:$J$700,9,FALSE)=0,"",VLOOKUP($A267,'İşçi Bilgileri'!$A$2:$J$700,9,FALSE)))</f>
        <v>#N/A</v>
      </c>
      <c r="AM267" s="172" t="e">
        <f>IF($A267="","",IF(VLOOKUP($A267,'İşçi Bilgileri'!$A$2:$J$700,10,FALSE)=0,"",VLOOKUP($A267,'İşçi Bilgileri'!$A$2:$J$700,10,FALSE)))</f>
        <v>#N/A</v>
      </c>
    </row>
    <row r="268" spans="1:39" x14ac:dyDescent="0.2">
      <c r="A268" s="170">
        <v>260</v>
      </c>
      <c r="B268" s="147" t="e">
        <f>CONCATENATE(IF($A268="","",VLOOKUP($A268,'İşçi Bilgileri'!$A$2:$D$700,2,FALSE))," ",IF($A268="","",VLOOKUP($A268,'İşçi Bilgileri'!$A$2:$D$700,3,FALSE)))</f>
        <v>#N/A</v>
      </c>
      <c r="C268" s="171" t="e">
        <f>IF($A268="","",VLOOKUP($A268,'İşçi Bilgileri'!$A$2:$D$700,4,FALSE))</f>
        <v>#N/A</v>
      </c>
      <c r="D268" s="298"/>
      <c r="E268" s="298"/>
      <c r="F268" s="298"/>
      <c r="G268" s="298"/>
      <c r="H268" s="298"/>
      <c r="I268" s="298"/>
      <c r="J268" s="298"/>
      <c r="K268" s="298"/>
      <c r="L268" s="298"/>
      <c r="M268" s="298"/>
      <c r="N268" s="298"/>
      <c r="O268" s="298"/>
      <c r="P268" s="298"/>
      <c r="Q268" s="298"/>
      <c r="R268" s="298"/>
      <c r="S268" s="298"/>
      <c r="T268" s="298"/>
      <c r="U268" s="298"/>
      <c r="V268" s="298"/>
      <c r="W268" s="298"/>
      <c r="X268" s="298"/>
      <c r="Y268" s="298"/>
      <c r="Z268" s="298"/>
      <c r="AA268" s="298"/>
      <c r="AB268" s="298"/>
      <c r="AC268" s="298"/>
      <c r="AD268" s="298"/>
      <c r="AE268" s="298"/>
      <c r="AF268" s="298"/>
      <c r="AG268" s="298"/>
      <c r="AH268" s="298"/>
      <c r="AI268" s="166">
        <f t="shared" si="8"/>
        <v>0</v>
      </c>
      <c r="AJ268" s="166">
        <f t="shared" si="9"/>
        <v>0</v>
      </c>
      <c r="AK268" s="166"/>
      <c r="AL268" s="230" t="e">
        <f>IF($A268="","",IF(VLOOKUP($A268,'İşçi Bilgileri'!$A$2:$J$700,9,FALSE)=0,"",VLOOKUP($A268,'İşçi Bilgileri'!$A$2:$J$700,9,FALSE)))</f>
        <v>#N/A</v>
      </c>
      <c r="AM268" s="172" t="e">
        <f>IF($A268="","",IF(VLOOKUP($A268,'İşçi Bilgileri'!$A$2:$J$700,10,FALSE)=0,"",VLOOKUP($A268,'İşçi Bilgileri'!$A$2:$J$700,10,FALSE)))</f>
        <v>#N/A</v>
      </c>
    </row>
    <row r="269" spans="1:39" x14ac:dyDescent="0.2">
      <c r="A269" s="170">
        <v>261</v>
      </c>
      <c r="B269" s="147" t="e">
        <f>CONCATENATE(IF($A269="","",VLOOKUP($A269,'İşçi Bilgileri'!$A$2:$D$700,2,FALSE))," ",IF($A269="","",VLOOKUP($A269,'İşçi Bilgileri'!$A$2:$D$700,3,FALSE)))</f>
        <v>#N/A</v>
      </c>
      <c r="C269" s="171" t="e">
        <f>IF($A269="","",VLOOKUP($A269,'İşçi Bilgileri'!$A$2:$D$700,4,FALSE))</f>
        <v>#N/A</v>
      </c>
      <c r="D269" s="298"/>
      <c r="E269" s="298"/>
      <c r="F269" s="298"/>
      <c r="G269" s="298"/>
      <c r="H269" s="298"/>
      <c r="I269" s="298"/>
      <c r="J269" s="298"/>
      <c r="K269" s="298"/>
      <c r="L269" s="298"/>
      <c r="M269" s="298"/>
      <c r="N269" s="298"/>
      <c r="O269" s="298"/>
      <c r="P269" s="298"/>
      <c r="Q269" s="298"/>
      <c r="R269" s="298"/>
      <c r="S269" s="298"/>
      <c r="T269" s="298"/>
      <c r="U269" s="298"/>
      <c r="V269" s="298"/>
      <c r="W269" s="298"/>
      <c r="X269" s="298"/>
      <c r="Y269" s="298"/>
      <c r="Z269" s="298"/>
      <c r="AA269" s="298"/>
      <c r="AB269" s="298"/>
      <c r="AC269" s="298"/>
      <c r="AD269" s="298"/>
      <c r="AE269" s="298"/>
      <c r="AF269" s="298"/>
      <c r="AG269" s="298"/>
      <c r="AH269" s="298"/>
      <c r="AI269" s="166">
        <f t="shared" si="8"/>
        <v>0</v>
      </c>
      <c r="AJ269" s="166">
        <f t="shared" si="9"/>
        <v>0</v>
      </c>
      <c r="AK269" s="166"/>
      <c r="AL269" s="230" t="e">
        <f>IF($A269="","",IF(VLOOKUP($A269,'İşçi Bilgileri'!$A$2:$J$700,9,FALSE)=0,"",VLOOKUP($A269,'İşçi Bilgileri'!$A$2:$J$700,9,FALSE)))</f>
        <v>#N/A</v>
      </c>
      <c r="AM269" s="172" t="e">
        <f>IF($A269="","",IF(VLOOKUP($A269,'İşçi Bilgileri'!$A$2:$J$700,10,FALSE)=0,"",VLOOKUP($A269,'İşçi Bilgileri'!$A$2:$J$700,10,FALSE)))</f>
        <v>#N/A</v>
      </c>
    </row>
    <row r="270" spans="1:39" x14ac:dyDescent="0.2">
      <c r="A270" s="170">
        <v>262</v>
      </c>
      <c r="B270" s="147" t="e">
        <f>CONCATENATE(IF($A270="","",VLOOKUP($A270,'İşçi Bilgileri'!$A$2:$D$700,2,FALSE))," ",IF($A270="","",VLOOKUP($A270,'İşçi Bilgileri'!$A$2:$D$700,3,FALSE)))</f>
        <v>#N/A</v>
      </c>
      <c r="C270" s="171" t="e">
        <f>IF($A270="","",VLOOKUP($A270,'İşçi Bilgileri'!$A$2:$D$700,4,FALSE))</f>
        <v>#N/A</v>
      </c>
      <c r="D270" s="298"/>
      <c r="E270" s="298"/>
      <c r="F270" s="298"/>
      <c r="G270" s="298"/>
      <c r="H270" s="298"/>
      <c r="I270" s="298"/>
      <c r="J270" s="298"/>
      <c r="K270" s="298"/>
      <c r="L270" s="298"/>
      <c r="M270" s="298"/>
      <c r="N270" s="298"/>
      <c r="O270" s="298"/>
      <c r="P270" s="298"/>
      <c r="Q270" s="298"/>
      <c r="R270" s="298"/>
      <c r="S270" s="298"/>
      <c r="T270" s="298"/>
      <c r="U270" s="298"/>
      <c r="V270" s="298"/>
      <c r="W270" s="298"/>
      <c r="X270" s="298"/>
      <c r="Y270" s="298"/>
      <c r="Z270" s="298"/>
      <c r="AA270" s="298"/>
      <c r="AB270" s="298"/>
      <c r="AC270" s="298"/>
      <c r="AD270" s="298"/>
      <c r="AE270" s="298"/>
      <c r="AF270" s="298"/>
      <c r="AG270" s="298"/>
      <c r="AH270" s="298"/>
      <c r="AI270" s="166">
        <f t="shared" si="8"/>
        <v>0</v>
      </c>
      <c r="AJ270" s="166">
        <f t="shared" si="9"/>
        <v>0</v>
      </c>
      <c r="AK270" s="166"/>
      <c r="AL270" s="230" t="e">
        <f>IF($A270="","",IF(VLOOKUP($A270,'İşçi Bilgileri'!$A$2:$J$700,9,FALSE)=0,"",VLOOKUP($A270,'İşçi Bilgileri'!$A$2:$J$700,9,FALSE)))</f>
        <v>#N/A</v>
      </c>
      <c r="AM270" s="172" t="e">
        <f>IF($A270="","",IF(VLOOKUP($A270,'İşçi Bilgileri'!$A$2:$J$700,10,FALSE)=0,"",VLOOKUP($A270,'İşçi Bilgileri'!$A$2:$J$700,10,FALSE)))</f>
        <v>#N/A</v>
      </c>
    </row>
    <row r="271" spans="1:39" x14ac:dyDescent="0.2">
      <c r="A271" s="170">
        <v>263</v>
      </c>
      <c r="B271" s="147" t="e">
        <f>CONCATENATE(IF($A271="","",VLOOKUP($A271,'İşçi Bilgileri'!$A$2:$D$700,2,FALSE))," ",IF($A271="","",VLOOKUP($A271,'İşçi Bilgileri'!$A$2:$D$700,3,FALSE)))</f>
        <v>#N/A</v>
      </c>
      <c r="C271" s="171" t="e">
        <f>IF($A271="","",VLOOKUP($A271,'İşçi Bilgileri'!$A$2:$D$700,4,FALSE))</f>
        <v>#N/A</v>
      </c>
      <c r="D271" s="298"/>
      <c r="E271" s="298"/>
      <c r="F271" s="298"/>
      <c r="G271" s="298"/>
      <c r="H271" s="298"/>
      <c r="I271" s="298"/>
      <c r="J271" s="298"/>
      <c r="K271" s="298"/>
      <c r="L271" s="298"/>
      <c r="M271" s="298"/>
      <c r="N271" s="298"/>
      <c r="O271" s="298"/>
      <c r="P271" s="298"/>
      <c r="Q271" s="298"/>
      <c r="R271" s="298"/>
      <c r="S271" s="298"/>
      <c r="T271" s="298"/>
      <c r="U271" s="298"/>
      <c r="V271" s="298"/>
      <c r="W271" s="298"/>
      <c r="X271" s="298"/>
      <c r="Y271" s="298"/>
      <c r="Z271" s="298"/>
      <c r="AA271" s="298"/>
      <c r="AB271" s="298"/>
      <c r="AC271" s="298"/>
      <c r="AD271" s="298"/>
      <c r="AE271" s="298"/>
      <c r="AF271" s="298"/>
      <c r="AG271" s="298"/>
      <c r="AH271" s="298"/>
      <c r="AI271" s="166">
        <f t="shared" si="8"/>
        <v>0</v>
      </c>
      <c r="AJ271" s="166">
        <f t="shared" si="9"/>
        <v>0</v>
      </c>
      <c r="AK271" s="166"/>
      <c r="AL271" s="230" t="e">
        <f>IF($A271="","",IF(VLOOKUP($A271,'İşçi Bilgileri'!$A$2:$J$700,9,FALSE)=0,"",VLOOKUP($A271,'İşçi Bilgileri'!$A$2:$J$700,9,FALSE)))</f>
        <v>#N/A</v>
      </c>
      <c r="AM271" s="172" t="e">
        <f>IF($A271="","",IF(VLOOKUP($A271,'İşçi Bilgileri'!$A$2:$J$700,10,FALSE)=0,"",VLOOKUP($A271,'İşçi Bilgileri'!$A$2:$J$700,10,FALSE)))</f>
        <v>#N/A</v>
      </c>
    </row>
    <row r="272" spans="1:39" x14ac:dyDescent="0.2">
      <c r="A272" s="170">
        <v>264</v>
      </c>
      <c r="B272" s="147" t="e">
        <f>CONCATENATE(IF($A272="","",VLOOKUP($A272,'İşçi Bilgileri'!$A$2:$D$700,2,FALSE))," ",IF($A272="","",VLOOKUP($A272,'İşçi Bilgileri'!$A$2:$D$700,3,FALSE)))</f>
        <v>#N/A</v>
      </c>
      <c r="C272" s="171" t="e">
        <f>IF($A272="","",VLOOKUP($A272,'İşçi Bilgileri'!$A$2:$D$700,4,FALSE))</f>
        <v>#N/A</v>
      </c>
      <c r="D272" s="298"/>
      <c r="E272" s="298"/>
      <c r="F272" s="298"/>
      <c r="G272" s="298"/>
      <c r="H272" s="298"/>
      <c r="I272" s="298"/>
      <c r="J272" s="298"/>
      <c r="K272" s="298"/>
      <c r="L272" s="298"/>
      <c r="M272" s="298"/>
      <c r="N272" s="298"/>
      <c r="O272" s="298"/>
      <c r="P272" s="298"/>
      <c r="Q272" s="298"/>
      <c r="R272" s="298"/>
      <c r="S272" s="298"/>
      <c r="T272" s="298"/>
      <c r="U272" s="298"/>
      <c r="V272" s="298"/>
      <c r="W272" s="298"/>
      <c r="X272" s="298"/>
      <c r="Y272" s="298"/>
      <c r="Z272" s="298"/>
      <c r="AA272" s="298"/>
      <c r="AB272" s="298"/>
      <c r="AC272" s="298"/>
      <c r="AD272" s="298"/>
      <c r="AE272" s="298"/>
      <c r="AF272" s="298"/>
      <c r="AG272" s="298"/>
      <c r="AH272" s="298"/>
      <c r="AI272" s="166">
        <f t="shared" si="8"/>
        <v>0</v>
      </c>
      <c r="AJ272" s="166">
        <f t="shared" si="9"/>
        <v>0</v>
      </c>
      <c r="AK272" s="166"/>
      <c r="AL272" s="230" t="e">
        <f>IF($A272="","",IF(VLOOKUP($A272,'İşçi Bilgileri'!$A$2:$J$700,9,FALSE)=0,"",VLOOKUP($A272,'İşçi Bilgileri'!$A$2:$J$700,9,FALSE)))</f>
        <v>#N/A</v>
      </c>
      <c r="AM272" s="172" t="e">
        <f>IF($A272="","",IF(VLOOKUP($A272,'İşçi Bilgileri'!$A$2:$J$700,10,FALSE)=0,"",VLOOKUP($A272,'İşçi Bilgileri'!$A$2:$J$700,10,FALSE)))</f>
        <v>#N/A</v>
      </c>
    </row>
    <row r="273" spans="1:39" x14ac:dyDescent="0.2">
      <c r="A273" s="170">
        <v>265</v>
      </c>
      <c r="B273" s="147" t="e">
        <f>CONCATENATE(IF($A273="","",VLOOKUP($A273,'İşçi Bilgileri'!$A$2:$D$700,2,FALSE))," ",IF($A273="","",VLOOKUP($A273,'İşçi Bilgileri'!$A$2:$D$700,3,FALSE)))</f>
        <v>#N/A</v>
      </c>
      <c r="C273" s="171" t="e">
        <f>IF($A273="","",VLOOKUP($A273,'İşçi Bilgileri'!$A$2:$D$700,4,FALSE))</f>
        <v>#N/A</v>
      </c>
      <c r="D273" s="298"/>
      <c r="E273" s="298"/>
      <c r="F273" s="298"/>
      <c r="G273" s="298"/>
      <c r="H273" s="298"/>
      <c r="I273" s="298"/>
      <c r="J273" s="298"/>
      <c r="K273" s="298"/>
      <c r="L273" s="298"/>
      <c r="M273" s="298"/>
      <c r="N273" s="298"/>
      <c r="O273" s="298"/>
      <c r="P273" s="298"/>
      <c r="Q273" s="298"/>
      <c r="R273" s="298"/>
      <c r="S273" s="298"/>
      <c r="T273" s="298"/>
      <c r="U273" s="298"/>
      <c r="V273" s="298"/>
      <c r="W273" s="298"/>
      <c r="X273" s="298"/>
      <c r="Y273" s="298"/>
      <c r="Z273" s="298"/>
      <c r="AA273" s="298"/>
      <c r="AB273" s="298"/>
      <c r="AC273" s="298"/>
      <c r="AD273" s="298"/>
      <c r="AE273" s="298"/>
      <c r="AF273" s="298"/>
      <c r="AG273" s="298"/>
      <c r="AH273" s="298"/>
      <c r="AI273" s="166">
        <f t="shared" si="8"/>
        <v>0</v>
      </c>
      <c r="AJ273" s="166">
        <f t="shared" si="9"/>
        <v>0</v>
      </c>
      <c r="AK273" s="166"/>
      <c r="AL273" s="230" t="e">
        <f>IF($A273="","",IF(VLOOKUP($A273,'İşçi Bilgileri'!$A$2:$J$700,9,FALSE)=0,"",VLOOKUP($A273,'İşçi Bilgileri'!$A$2:$J$700,9,FALSE)))</f>
        <v>#N/A</v>
      </c>
      <c r="AM273" s="172" t="e">
        <f>IF($A273="","",IF(VLOOKUP($A273,'İşçi Bilgileri'!$A$2:$J$700,10,FALSE)=0,"",VLOOKUP($A273,'İşçi Bilgileri'!$A$2:$J$700,10,FALSE)))</f>
        <v>#N/A</v>
      </c>
    </row>
    <row r="274" spans="1:39" x14ac:dyDescent="0.2">
      <c r="A274" s="170">
        <v>266</v>
      </c>
      <c r="B274" s="147" t="e">
        <f>CONCATENATE(IF($A274="","",VLOOKUP($A274,'İşçi Bilgileri'!$A$2:$D$700,2,FALSE))," ",IF($A274="","",VLOOKUP($A274,'İşçi Bilgileri'!$A$2:$D$700,3,FALSE)))</f>
        <v>#N/A</v>
      </c>
      <c r="C274" s="171" t="e">
        <f>IF($A274="","",VLOOKUP($A274,'İşçi Bilgileri'!$A$2:$D$700,4,FALSE))</f>
        <v>#N/A</v>
      </c>
      <c r="D274" s="298"/>
      <c r="E274" s="298"/>
      <c r="F274" s="298"/>
      <c r="G274" s="298"/>
      <c r="H274" s="298"/>
      <c r="I274" s="298"/>
      <c r="J274" s="298"/>
      <c r="K274" s="298"/>
      <c r="L274" s="298"/>
      <c r="M274" s="298"/>
      <c r="N274" s="298"/>
      <c r="O274" s="298"/>
      <c r="P274" s="298"/>
      <c r="Q274" s="298"/>
      <c r="R274" s="298"/>
      <c r="S274" s="298"/>
      <c r="T274" s="298"/>
      <c r="U274" s="298"/>
      <c r="V274" s="298"/>
      <c r="W274" s="298"/>
      <c r="X274" s="298"/>
      <c r="Y274" s="298"/>
      <c r="Z274" s="298"/>
      <c r="AA274" s="298"/>
      <c r="AB274" s="298"/>
      <c r="AC274" s="298"/>
      <c r="AD274" s="298"/>
      <c r="AE274" s="298"/>
      <c r="AF274" s="298"/>
      <c r="AG274" s="298"/>
      <c r="AH274" s="298"/>
      <c r="AI274" s="166">
        <f t="shared" si="8"/>
        <v>0</v>
      </c>
      <c r="AJ274" s="166">
        <f t="shared" si="9"/>
        <v>0</v>
      </c>
      <c r="AK274" s="166"/>
      <c r="AL274" s="230" t="e">
        <f>IF($A274="","",IF(VLOOKUP($A274,'İşçi Bilgileri'!$A$2:$J$700,9,FALSE)=0,"",VLOOKUP($A274,'İşçi Bilgileri'!$A$2:$J$700,9,FALSE)))</f>
        <v>#N/A</v>
      </c>
      <c r="AM274" s="172" t="e">
        <f>IF($A274="","",IF(VLOOKUP($A274,'İşçi Bilgileri'!$A$2:$J$700,10,FALSE)=0,"",VLOOKUP($A274,'İşçi Bilgileri'!$A$2:$J$700,10,FALSE)))</f>
        <v>#N/A</v>
      </c>
    </row>
    <row r="275" spans="1:39" x14ac:dyDescent="0.2">
      <c r="A275" s="170">
        <v>267</v>
      </c>
      <c r="B275" s="147" t="e">
        <f>CONCATENATE(IF($A275="","",VLOOKUP($A275,'İşçi Bilgileri'!$A$2:$D$700,2,FALSE))," ",IF($A275="","",VLOOKUP($A275,'İşçi Bilgileri'!$A$2:$D$700,3,FALSE)))</f>
        <v>#N/A</v>
      </c>
      <c r="C275" s="171" t="e">
        <f>IF($A275="","",VLOOKUP($A275,'İşçi Bilgileri'!$A$2:$D$700,4,FALSE))</f>
        <v>#N/A</v>
      </c>
      <c r="D275" s="298"/>
      <c r="E275" s="298"/>
      <c r="F275" s="298"/>
      <c r="G275" s="298"/>
      <c r="H275" s="298"/>
      <c r="I275" s="298"/>
      <c r="J275" s="298"/>
      <c r="K275" s="298"/>
      <c r="L275" s="298"/>
      <c r="M275" s="298"/>
      <c r="N275" s="298"/>
      <c r="O275" s="298"/>
      <c r="P275" s="298"/>
      <c r="Q275" s="298"/>
      <c r="R275" s="298"/>
      <c r="S275" s="298"/>
      <c r="T275" s="298"/>
      <c r="U275" s="298"/>
      <c r="V275" s="298"/>
      <c r="W275" s="298"/>
      <c r="X275" s="298"/>
      <c r="Y275" s="298"/>
      <c r="Z275" s="298"/>
      <c r="AA275" s="298"/>
      <c r="AB275" s="298"/>
      <c r="AC275" s="298"/>
      <c r="AD275" s="298"/>
      <c r="AE275" s="298"/>
      <c r="AF275" s="298"/>
      <c r="AG275" s="298"/>
      <c r="AH275" s="298"/>
      <c r="AI275" s="166">
        <f t="shared" si="8"/>
        <v>0</v>
      </c>
      <c r="AJ275" s="166">
        <f t="shared" si="9"/>
        <v>0</v>
      </c>
      <c r="AK275" s="166"/>
      <c r="AL275" s="230" t="e">
        <f>IF($A275="","",IF(VLOOKUP($A275,'İşçi Bilgileri'!$A$2:$J$700,9,FALSE)=0,"",VLOOKUP($A275,'İşçi Bilgileri'!$A$2:$J$700,9,FALSE)))</f>
        <v>#N/A</v>
      </c>
      <c r="AM275" s="172" t="e">
        <f>IF($A275="","",IF(VLOOKUP($A275,'İşçi Bilgileri'!$A$2:$J$700,10,FALSE)=0,"",VLOOKUP($A275,'İşçi Bilgileri'!$A$2:$J$700,10,FALSE)))</f>
        <v>#N/A</v>
      </c>
    </row>
    <row r="276" spans="1:39" ht="15.75" customHeight="1" x14ac:dyDescent="0.2">
      <c r="A276" s="170">
        <v>268</v>
      </c>
      <c r="B276" s="147" t="e">
        <f>CONCATENATE(IF($A276="","",VLOOKUP($A276,'İşçi Bilgileri'!$A$2:$D$700,2,FALSE))," ",IF($A276="","",VLOOKUP($A276,'İşçi Bilgileri'!$A$2:$D$700,3,FALSE)))</f>
        <v>#N/A</v>
      </c>
      <c r="C276" s="171" t="e">
        <f>IF($A276="","",VLOOKUP($A276,'İşçi Bilgileri'!$A$2:$D$700,4,FALSE))</f>
        <v>#N/A</v>
      </c>
      <c r="D276" s="298"/>
      <c r="E276" s="298"/>
      <c r="F276" s="298"/>
      <c r="G276" s="298"/>
      <c r="H276" s="298"/>
      <c r="I276" s="298"/>
      <c r="J276" s="298"/>
      <c r="K276" s="298"/>
      <c r="L276" s="298"/>
      <c r="M276" s="298"/>
      <c r="N276" s="298"/>
      <c r="O276" s="298"/>
      <c r="P276" s="298"/>
      <c r="Q276" s="298"/>
      <c r="R276" s="298"/>
      <c r="S276" s="298"/>
      <c r="T276" s="298"/>
      <c r="U276" s="298"/>
      <c r="V276" s="298"/>
      <c r="W276" s="298"/>
      <c r="X276" s="298"/>
      <c r="Y276" s="298"/>
      <c r="Z276" s="298"/>
      <c r="AA276" s="298"/>
      <c r="AB276" s="298"/>
      <c r="AC276" s="298"/>
      <c r="AD276" s="298"/>
      <c r="AE276" s="298"/>
      <c r="AF276" s="298"/>
      <c r="AG276" s="298"/>
      <c r="AH276" s="298"/>
      <c r="AI276" s="166">
        <f t="shared" si="8"/>
        <v>0</v>
      </c>
      <c r="AJ276" s="166">
        <f t="shared" si="9"/>
        <v>0</v>
      </c>
      <c r="AK276" s="166"/>
      <c r="AL276" s="230" t="e">
        <f>IF($A276="","",IF(VLOOKUP($A276,'İşçi Bilgileri'!$A$2:$J$700,9,FALSE)=0,"",VLOOKUP($A276,'İşçi Bilgileri'!$A$2:$J$700,9,FALSE)))</f>
        <v>#N/A</v>
      </c>
      <c r="AM276" s="172" t="e">
        <f>IF($A276="","",IF(VLOOKUP($A276,'İşçi Bilgileri'!$A$2:$J$700,10,FALSE)=0,"",VLOOKUP($A276,'İşçi Bilgileri'!$A$2:$J$700,10,FALSE)))</f>
        <v>#N/A</v>
      </c>
    </row>
    <row r="277" spans="1:39" x14ac:dyDescent="0.2">
      <c r="A277" s="170">
        <v>269</v>
      </c>
      <c r="B277" s="147" t="e">
        <f>CONCATENATE(IF($A277="","",VLOOKUP($A277,'İşçi Bilgileri'!$A$2:$D$700,2,FALSE))," ",IF($A277="","",VLOOKUP($A277,'İşçi Bilgileri'!$A$2:$D$700,3,FALSE)))</f>
        <v>#N/A</v>
      </c>
      <c r="C277" s="171" t="e">
        <f>IF($A277="","",VLOOKUP($A277,'İşçi Bilgileri'!$A$2:$D$700,4,FALSE))</f>
        <v>#N/A</v>
      </c>
      <c r="D277" s="298"/>
      <c r="E277" s="298"/>
      <c r="F277" s="298"/>
      <c r="G277" s="298"/>
      <c r="H277" s="298"/>
      <c r="I277" s="298"/>
      <c r="J277" s="298"/>
      <c r="K277" s="298"/>
      <c r="L277" s="298"/>
      <c r="M277" s="298"/>
      <c r="N277" s="298"/>
      <c r="O277" s="298"/>
      <c r="P277" s="298"/>
      <c r="Q277" s="298"/>
      <c r="R277" s="298"/>
      <c r="S277" s="298"/>
      <c r="T277" s="298"/>
      <c r="U277" s="298"/>
      <c r="V277" s="298"/>
      <c r="W277" s="298"/>
      <c r="X277" s="298"/>
      <c r="Y277" s="298"/>
      <c r="Z277" s="298"/>
      <c r="AA277" s="298"/>
      <c r="AB277" s="298"/>
      <c r="AC277" s="298"/>
      <c r="AD277" s="298"/>
      <c r="AE277" s="298"/>
      <c r="AF277" s="298"/>
      <c r="AG277" s="298"/>
      <c r="AH277" s="298"/>
      <c r="AI277" s="166">
        <f t="shared" si="8"/>
        <v>0</v>
      </c>
      <c r="AJ277" s="166">
        <f t="shared" si="9"/>
        <v>0</v>
      </c>
      <c r="AK277" s="166"/>
      <c r="AL277" s="230" t="e">
        <f>IF($A277="","",IF(VLOOKUP($A277,'İşçi Bilgileri'!$A$2:$J$700,9,FALSE)=0,"",VLOOKUP($A277,'İşçi Bilgileri'!$A$2:$J$700,9,FALSE)))</f>
        <v>#N/A</v>
      </c>
      <c r="AM277" s="172" t="e">
        <f>IF($A277="","",IF(VLOOKUP($A277,'İşçi Bilgileri'!$A$2:$J$700,10,FALSE)=0,"",VLOOKUP($A277,'İşçi Bilgileri'!$A$2:$J$700,10,FALSE)))</f>
        <v>#N/A</v>
      </c>
    </row>
    <row r="278" spans="1:39" x14ac:dyDescent="0.2">
      <c r="A278" s="170">
        <v>270</v>
      </c>
      <c r="B278" s="147" t="e">
        <f>CONCATENATE(IF($A278="","",VLOOKUP($A278,'İşçi Bilgileri'!$A$2:$D$700,2,FALSE))," ",IF($A278="","",VLOOKUP($A278,'İşçi Bilgileri'!$A$2:$D$700,3,FALSE)))</f>
        <v>#N/A</v>
      </c>
      <c r="C278" s="171" t="e">
        <f>IF($A278="","",VLOOKUP($A278,'İşçi Bilgileri'!$A$2:$D$700,4,FALSE))</f>
        <v>#N/A</v>
      </c>
      <c r="D278" s="298"/>
      <c r="E278" s="298"/>
      <c r="F278" s="298"/>
      <c r="G278" s="298"/>
      <c r="H278" s="298"/>
      <c r="I278" s="298"/>
      <c r="J278" s="298"/>
      <c r="K278" s="298"/>
      <c r="L278" s="298"/>
      <c r="M278" s="298"/>
      <c r="N278" s="298"/>
      <c r="O278" s="298"/>
      <c r="P278" s="298"/>
      <c r="Q278" s="298"/>
      <c r="R278" s="298"/>
      <c r="S278" s="298"/>
      <c r="T278" s="298"/>
      <c r="U278" s="298"/>
      <c r="V278" s="298"/>
      <c r="W278" s="298"/>
      <c r="X278" s="298"/>
      <c r="Y278" s="298"/>
      <c r="Z278" s="298"/>
      <c r="AA278" s="298"/>
      <c r="AB278" s="298"/>
      <c r="AC278" s="298"/>
      <c r="AD278" s="298"/>
      <c r="AE278" s="298"/>
      <c r="AF278" s="298"/>
      <c r="AG278" s="298"/>
      <c r="AH278" s="298"/>
      <c r="AI278" s="166">
        <f t="shared" si="8"/>
        <v>0</v>
      </c>
      <c r="AJ278" s="166">
        <f t="shared" si="9"/>
        <v>0</v>
      </c>
      <c r="AK278" s="166"/>
      <c r="AL278" s="230" t="e">
        <f>IF($A278="","",IF(VLOOKUP($A278,'İşçi Bilgileri'!$A$2:$J$700,9,FALSE)=0,"",VLOOKUP($A278,'İşçi Bilgileri'!$A$2:$J$700,9,FALSE)))</f>
        <v>#N/A</v>
      </c>
      <c r="AM278" s="172" t="e">
        <f>IF($A278="","",IF(VLOOKUP($A278,'İşçi Bilgileri'!$A$2:$J$700,10,FALSE)=0,"",VLOOKUP($A278,'İşçi Bilgileri'!$A$2:$J$700,10,FALSE)))</f>
        <v>#N/A</v>
      </c>
    </row>
    <row r="279" spans="1:39" x14ac:dyDescent="0.2">
      <c r="A279" s="170">
        <v>271</v>
      </c>
      <c r="B279" s="147" t="e">
        <f>CONCATENATE(IF($A279="","",VLOOKUP($A279,'İşçi Bilgileri'!$A$2:$D$700,2,FALSE))," ",IF($A279="","",VLOOKUP($A279,'İşçi Bilgileri'!$A$2:$D$700,3,FALSE)))</f>
        <v>#N/A</v>
      </c>
      <c r="C279" s="171" t="e">
        <f>IF($A279="","",VLOOKUP($A279,'İşçi Bilgileri'!$A$2:$D$700,4,FALSE))</f>
        <v>#N/A</v>
      </c>
      <c r="D279" s="298"/>
      <c r="E279" s="298"/>
      <c r="F279" s="298"/>
      <c r="G279" s="298"/>
      <c r="H279" s="298"/>
      <c r="I279" s="298"/>
      <c r="J279" s="298"/>
      <c r="K279" s="298"/>
      <c r="L279" s="298"/>
      <c r="M279" s="298"/>
      <c r="N279" s="298"/>
      <c r="O279" s="298"/>
      <c r="P279" s="298"/>
      <c r="Q279" s="298"/>
      <c r="R279" s="298"/>
      <c r="S279" s="298"/>
      <c r="T279" s="298"/>
      <c r="U279" s="298"/>
      <c r="V279" s="298"/>
      <c r="W279" s="298"/>
      <c r="X279" s="298"/>
      <c r="Y279" s="298"/>
      <c r="Z279" s="298"/>
      <c r="AA279" s="298"/>
      <c r="AB279" s="298"/>
      <c r="AC279" s="298"/>
      <c r="AD279" s="298"/>
      <c r="AE279" s="298"/>
      <c r="AF279" s="298"/>
      <c r="AG279" s="298"/>
      <c r="AH279" s="298"/>
      <c r="AI279" s="166">
        <f t="shared" si="8"/>
        <v>0</v>
      </c>
      <c r="AJ279" s="166">
        <f t="shared" si="9"/>
        <v>0</v>
      </c>
      <c r="AK279" s="166"/>
      <c r="AL279" s="230" t="e">
        <f>IF($A279="","",IF(VLOOKUP($A279,'İşçi Bilgileri'!$A$2:$J$700,9,FALSE)=0,"",VLOOKUP($A279,'İşçi Bilgileri'!$A$2:$J$700,9,FALSE)))</f>
        <v>#N/A</v>
      </c>
      <c r="AM279" s="172" t="e">
        <f>IF($A279="","",IF(VLOOKUP($A279,'İşçi Bilgileri'!$A$2:$J$700,10,FALSE)=0,"",VLOOKUP($A279,'İşçi Bilgileri'!$A$2:$J$700,10,FALSE)))</f>
        <v>#N/A</v>
      </c>
    </row>
    <row r="280" spans="1:39" x14ac:dyDescent="0.2">
      <c r="A280" s="170">
        <v>272</v>
      </c>
      <c r="B280" s="147" t="e">
        <f>CONCATENATE(IF($A280="","",VLOOKUP($A280,'İşçi Bilgileri'!$A$2:$D$700,2,FALSE))," ",IF($A280="","",VLOOKUP($A280,'İşçi Bilgileri'!$A$2:$D$700,3,FALSE)))</f>
        <v>#N/A</v>
      </c>
      <c r="C280" s="171" t="e">
        <f>IF($A280="","",VLOOKUP($A280,'İşçi Bilgileri'!$A$2:$D$700,4,FALSE))</f>
        <v>#N/A</v>
      </c>
      <c r="D280" s="298"/>
      <c r="E280" s="298"/>
      <c r="F280" s="298"/>
      <c r="G280" s="298"/>
      <c r="H280" s="298"/>
      <c r="I280" s="298"/>
      <c r="J280" s="298"/>
      <c r="K280" s="298"/>
      <c r="L280" s="298"/>
      <c r="M280" s="298"/>
      <c r="N280" s="298"/>
      <c r="O280" s="298"/>
      <c r="P280" s="298"/>
      <c r="Q280" s="298"/>
      <c r="R280" s="298"/>
      <c r="S280" s="298"/>
      <c r="T280" s="298"/>
      <c r="U280" s="298"/>
      <c r="V280" s="298"/>
      <c r="W280" s="298"/>
      <c r="X280" s="298"/>
      <c r="Y280" s="298"/>
      <c r="Z280" s="298"/>
      <c r="AA280" s="298"/>
      <c r="AB280" s="298"/>
      <c r="AC280" s="298"/>
      <c r="AD280" s="298"/>
      <c r="AE280" s="298"/>
      <c r="AF280" s="298"/>
      <c r="AG280" s="298"/>
      <c r="AH280" s="298"/>
      <c r="AI280" s="166">
        <f t="shared" si="8"/>
        <v>0</v>
      </c>
      <c r="AJ280" s="166">
        <f t="shared" si="9"/>
        <v>0</v>
      </c>
      <c r="AK280" s="166"/>
      <c r="AL280" s="230"/>
      <c r="AM280" s="172"/>
    </row>
    <row r="281" spans="1:39" x14ac:dyDescent="0.2">
      <c r="A281" s="170">
        <v>273</v>
      </c>
      <c r="B281" s="147" t="e">
        <f>CONCATENATE(IF($A281="","",VLOOKUP($A281,'İşçi Bilgileri'!$A$2:$D$700,2,FALSE))," ",IF($A281="","",VLOOKUP($A281,'İşçi Bilgileri'!$A$2:$D$700,3,FALSE)))</f>
        <v>#N/A</v>
      </c>
      <c r="C281" s="171" t="e">
        <f>IF($A281="","",VLOOKUP($A281,'İşçi Bilgileri'!$A$2:$D$700,4,FALSE))</f>
        <v>#N/A</v>
      </c>
      <c r="D281" s="298"/>
      <c r="E281" s="298"/>
      <c r="F281" s="298"/>
      <c r="G281" s="298"/>
      <c r="H281" s="298"/>
      <c r="I281" s="298"/>
      <c r="J281" s="298"/>
      <c r="K281" s="298"/>
      <c r="L281" s="298"/>
      <c r="M281" s="298"/>
      <c r="N281" s="298"/>
      <c r="O281" s="298"/>
      <c r="P281" s="298"/>
      <c r="Q281" s="298"/>
      <c r="R281" s="298"/>
      <c r="S281" s="298"/>
      <c r="T281" s="298"/>
      <c r="U281" s="298"/>
      <c r="V281" s="298"/>
      <c r="W281" s="298"/>
      <c r="X281" s="298"/>
      <c r="Y281" s="298"/>
      <c r="Z281" s="298"/>
      <c r="AA281" s="298"/>
      <c r="AB281" s="298"/>
      <c r="AC281" s="298"/>
      <c r="AD281" s="298"/>
      <c r="AE281" s="298"/>
      <c r="AF281" s="298"/>
      <c r="AG281" s="298"/>
      <c r="AH281" s="298"/>
      <c r="AI281" s="166">
        <f t="shared" si="8"/>
        <v>0</v>
      </c>
      <c r="AJ281" s="166">
        <f t="shared" si="9"/>
        <v>0</v>
      </c>
      <c r="AK281" s="166"/>
      <c r="AL281" s="230"/>
      <c r="AM281" s="172"/>
    </row>
    <row r="282" spans="1:39" x14ac:dyDescent="0.2">
      <c r="A282" s="170">
        <v>274</v>
      </c>
      <c r="B282" s="147" t="e">
        <f>CONCATENATE(IF($A282="","",VLOOKUP($A282,'İşçi Bilgileri'!$A$2:$D$700,2,FALSE))," ",IF($A282="","",VLOOKUP($A282,'İşçi Bilgileri'!$A$2:$D$700,3,FALSE)))</f>
        <v>#N/A</v>
      </c>
      <c r="C282" s="171" t="e">
        <f>IF($A282="","",VLOOKUP($A282,'İşçi Bilgileri'!$A$2:$D$700,4,FALSE))</f>
        <v>#N/A</v>
      </c>
      <c r="D282" s="298"/>
      <c r="E282" s="298"/>
      <c r="F282" s="298"/>
      <c r="G282" s="298"/>
      <c r="H282" s="298"/>
      <c r="I282" s="298"/>
      <c r="J282" s="298"/>
      <c r="K282" s="298"/>
      <c r="L282" s="298"/>
      <c r="M282" s="298"/>
      <c r="N282" s="298"/>
      <c r="O282" s="298"/>
      <c r="P282" s="298"/>
      <c r="Q282" s="298"/>
      <c r="R282" s="298"/>
      <c r="S282" s="298"/>
      <c r="T282" s="298"/>
      <c r="U282" s="298"/>
      <c r="V282" s="298"/>
      <c r="W282" s="298"/>
      <c r="X282" s="298"/>
      <c r="Y282" s="298"/>
      <c r="Z282" s="298"/>
      <c r="AA282" s="298"/>
      <c r="AB282" s="298"/>
      <c r="AC282" s="298"/>
      <c r="AD282" s="298"/>
      <c r="AE282" s="298"/>
      <c r="AF282" s="298"/>
      <c r="AG282" s="298"/>
      <c r="AH282" s="298"/>
      <c r="AI282" s="166">
        <f t="shared" si="8"/>
        <v>0</v>
      </c>
      <c r="AJ282" s="166">
        <f t="shared" si="9"/>
        <v>0</v>
      </c>
      <c r="AK282" s="166"/>
      <c r="AL282" s="230"/>
      <c r="AM282" s="172"/>
    </row>
    <row r="283" spans="1:39" x14ac:dyDescent="0.2">
      <c r="A283" s="170">
        <v>275</v>
      </c>
      <c r="B283" s="147" t="e">
        <f>CONCATENATE(IF($A283="","",VLOOKUP($A283,'İşçi Bilgileri'!$A$2:$D$700,2,FALSE))," ",IF($A283="","",VLOOKUP($A283,'İşçi Bilgileri'!$A$2:$D$700,3,FALSE)))</f>
        <v>#N/A</v>
      </c>
      <c r="C283" s="171" t="e">
        <f>IF($A283="","",VLOOKUP($A283,'İşçi Bilgileri'!$A$2:$D$700,4,FALSE))</f>
        <v>#N/A</v>
      </c>
      <c r="D283" s="298"/>
      <c r="E283" s="298"/>
      <c r="F283" s="298"/>
      <c r="G283" s="298"/>
      <c r="H283" s="298"/>
      <c r="I283" s="298"/>
      <c r="J283" s="298"/>
      <c r="K283" s="298"/>
      <c r="L283" s="298"/>
      <c r="M283" s="298"/>
      <c r="N283" s="298"/>
      <c r="O283" s="298"/>
      <c r="P283" s="298"/>
      <c r="Q283" s="298"/>
      <c r="R283" s="298"/>
      <c r="S283" s="298"/>
      <c r="T283" s="298"/>
      <c r="U283" s="298"/>
      <c r="V283" s="298"/>
      <c r="W283" s="298"/>
      <c r="X283" s="298"/>
      <c r="Y283" s="298"/>
      <c r="Z283" s="298"/>
      <c r="AA283" s="298"/>
      <c r="AB283" s="298"/>
      <c r="AC283" s="298"/>
      <c r="AD283" s="298"/>
      <c r="AE283" s="298"/>
      <c r="AF283" s="298"/>
      <c r="AG283" s="298"/>
      <c r="AH283" s="298"/>
      <c r="AI283" s="166">
        <f t="shared" si="8"/>
        <v>0</v>
      </c>
      <c r="AJ283" s="166">
        <f t="shared" si="9"/>
        <v>0</v>
      </c>
      <c r="AK283" s="166"/>
      <c r="AL283" s="230"/>
      <c r="AM283" s="172"/>
    </row>
    <row r="284" spans="1:39" x14ac:dyDescent="0.2">
      <c r="A284" s="170">
        <v>276</v>
      </c>
      <c r="B284" s="147" t="e">
        <f>CONCATENATE(IF($A284="","",VLOOKUP($A284,'İşçi Bilgileri'!$A$2:$D$700,2,FALSE))," ",IF($A284="","",VLOOKUP($A284,'İşçi Bilgileri'!$A$2:$D$700,3,FALSE)))</f>
        <v>#N/A</v>
      </c>
      <c r="C284" s="171" t="e">
        <f>IF($A284="","",VLOOKUP($A284,'İşçi Bilgileri'!$A$2:$D$700,4,FALSE))</f>
        <v>#N/A</v>
      </c>
      <c r="D284" s="298"/>
      <c r="E284" s="298"/>
      <c r="F284" s="298"/>
      <c r="G284" s="298"/>
      <c r="H284" s="298"/>
      <c r="I284" s="298"/>
      <c r="J284" s="298"/>
      <c r="K284" s="298"/>
      <c r="L284" s="298"/>
      <c r="M284" s="298"/>
      <c r="N284" s="298"/>
      <c r="O284" s="298"/>
      <c r="P284" s="298"/>
      <c r="Q284" s="298"/>
      <c r="R284" s="298"/>
      <c r="S284" s="298"/>
      <c r="T284" s="298"/>
      <c r="U284" s="298"/>
      <c r="V284" s="298"/>
      <c r="W284" s="298"/>
      <c r="X284" s="298"/>
      <c r="Y284" s="298"/>
      <c r="Z284" s="298"/>
      <c r="AA284" s="298"/>
      <c r="AB284" s="298"/>
      <c r="AC284" s="298"/>
      <c r="AD284" s="298"/>
      <c r="AE284" s="298"/>
      <c r="AF284" s="298"/>
      <c r="AG284" s="298"/>
      <c r="AH284" s="298"/>
      <c r="AI284" s="166">
        <f t="shared" si="8"/>
        <v>0</v>
      </c>
      <c r="AJ284" s="166">
        <f t="shared" si="9"/>
        <v>0</v>
      </c>
      <c r="AK284" s="166"/>
      <c r="AL284" s="230"/>
      <c r="AM284" s="172"/>
    </row>
    <row r="285" spans="1:39" x14ac:dyDescent="0.2">
      <c r="A285" s="170">
        <v>277</v>
      </c>
      <c r="B285" s="147" t="e">
        <f>CONCATENATE(IF($A285="","",VLOOKUP($A285,'İşçi Bilgileri'!$A$2:$D$700,2,FALSE))," ",IF($A285="","",VLOOKUP($A285,'İşçi Bilgileri'!$A$2:$D$700,3,FALSE)))</f>
        <v>#N/A</v>
      </c>
      <c r="C285" s="171" t="e">
        <f>IF($A285="","",VLOOKUP($A285,'İşçi Bilgileri'!$A$2:$D$700,4,FALSE))</f>
        <v>#N/A</v>
      </c>
      <c r="D285" s="298"/>
      <c r="E285" s="298"/>
      <c r="F285" s="298"/>
      <c r="G285" s="298"/>
      <c r="H285" s="298"/>
      <c r="I285" s="298"/>
      <c r="J285" s="298"/>
      <c r="K285" s="298"/>
      <c r="L285" s="298"/>
      <c r="M285" s="298"/>
      <c r="N285" s="298"/>
      <c r="O285" s="298"/>
      <c r="P285" s="298"/>
      <c r="Q285" s="298"/>
      <c r="R285" s="298"/>
      <c r="S285" s="298"/>
      <c r="T285" s="298"/>
      <c r="U285" s="298"/>
      <c r="V285" s="298"/>
      <c r="W285" s="298"/>
      <c r="X285" s="298"/>
      <c r="Y285" s="298"/>
      <c r="Z285" s="298"/>
      <c r="AA285" s="298"/>
      <c r="AB285" s="298"/>
      <c r="AC285" s="298"/>
      <c r="AD285" s="298"/>
      <c r="AE285" s="298"/>
      <c r="AF285" s="298"/>
      <c r="AG285" s="298"/>
      <c r="AH285" s="298"/>
      <c r="AI285" s="166">
        <f t="shared" si="8"/>
        <v>0</v>
      </c>
      <c r="AJ285" s="166">
        <f t="shared" si="9"/>
        <v>0</v>
      </c>
      <c r="AK285" s="166"/>
      <c r="AL285" s="230"/>
      <c r="AM285" s="172"/>
    </row>
    <row r="286" spans="1:39" x14ac:dyDescent="0.2">
      <c r="A286" s="170">
        <v>278</v>
      </c>
      <c r="B286" s="147" t="e">
        <f>CONCATENATE(IF($A286="","",VLOOKUP($A286,'İşçi Bilgileri'!$A$2:$D$700,2,FALSE))," ",IF($A286="","",VLOOKUP($A286,'İşçi Bilgileri'!$A$2:$D$700,3,FALSE)))</f>
        <v>#N/A</v>
      </c>
      <c r="C286" s="171" t="e">
        <f>IF($A286="","",VLOOKUP($A286,'İşçi Bilgileri'!$A$2:$D$700,4,FALSE))</f>
        <v>#N/A</v>
      </c>
      <c r="D286" s="298"/>
      <c r="E286" s="298"/>
      <c r="F286" s="298"/>
      <c r="G286" s="298"/>
      <c r="H286" s="298"/>
      <c r="I286" s="298"/>
      <c r="J286" s="298"/>
      <c r="K286" s="298"/>
      <c r="L286" s="298"/>
      <c r="M286" s="298"/>
      <c r="N286" s="298"/>
      <c r="O286" s="298"/>
      <c r="P286" s="298"/>
      <c r="Q286" s="298"/>
      <c r="R286" s="298"/>
      <c r="S286" s="298"/>
      <c r="T286" s="298"/>
      <c r="U286" s="298"/>
      <c r="V286" s="298"/>
      <c r="W286" s="298"/>
      <c r="X286" s="298"/>
      <c r="Y286" s="298"/>
      <c r="Z286" s="298"/>
      <c r="AA286" s="298"/>
      <c r="AB286" s="298"/>
      <c r="AC286" s="298"/>
      <c r="AD286" s="298"/>
      <c r="AE286" s="298"/>
      <c r="AF286" s="298"/>
      <c r="AG286" s="298"/>
      <c r="AH286" s="298"/>
      <c r="AI286" s="166">
        <f t="shared" si="8"/>
        <v>0</v>
      </c>
      <c r="AJ286" s="166">
        <f t="shared" si="9"/>
        <v>0</v>
      </c>
      <c r="AK286" s="166"/>
      <c r="AL286" s="230"/>
      <c r="AM286" s="172"/>
    </row>
    <row r="287" spans="1:39" x14ac:dyDescent="0.2">
      <c r="A287" s="170">
        <v>279</v>
      </c>
      <c r="B287" s="147" t="e">
        <f>CONCATENATE(IF($A287="","",VLOOKUP($A287,'İşçi Bilgileri'!$A$2:$D$700,2,FALSE))," ",IF($A287="","",VLOOKUP($A287,'İşçi Bilgileri'!$A$2:$D$700,3,FALSE)))</f>
        <v>#N/A</v>
      </c>
      <c r="C287" s="171" t="e">
        <f>IF($A287="","",VLOOKUP($A287,'İşçi Bilgileri'!$A$2:$D$700,4,FALSE))</f>
        <v>#N/A</v>
      </c>
      <c r="D287" s="298"/>
      <c r="E287" s="298"/>
      <c r="F287" s="298"/>
      <c r="G287" s="298"/>
      <c r="H287" s="298"/>
      <c r="I287" s="298"/>
      <c r="J287" s="298"/>
      <c r="K287" s="298"/>
      <c r="L287" s="298"/>
      <c r="M287" s="298"/>
      <c r="N287" s="298"/>
      <c r="O287" s="298"/>
      <c r="P287" s="298"/>
      <c r="Q287" s="298"/>
      <c r="R287" s="298"/>
      <c r="S287" s="298"/>
      <c r="T287" s="298"/>
      <c r="U287" s="298"/>
      <c r="V287" s="298"/>
      <c r="W287" s="298"/>
      <c r="X287" s="298"/>
      <c r="Y287" s="298"/>
      <c r="Z287" s="298"/>
      <c r="AA287" s="298"/>
      <c r="AB287" s="298"/>
      <c r="AC287" s="298"/>
      <c r="AD287" s="298"/>
      <c r="AE287" s="298"/>
      <c r="AF287" s="298"/>
      <c r="AG287" s="298"/>
      <c r="AH287" s="298"/>
      <c r="AI287" s="166">
        <f t="shared" si="8"/>
        <v>0</v>
      </c>
      <c r="AJ287" s="166">
        <f t="shared" si="9"/>
        <v>0</v>
      </c>
      <c r="AK287" s="166"/>
      <c r="AL287" s="230"/>
      <c r="AM287" s="172"/>
    </row>
    <row r="288" spans="1:39" x14ac:dyDescent="0.2">
      <c r="A288" s="170">
        <v>280</v>
      </c>
      <c r="B288" s="147" t="e">
        <f>CONCATENATE(IF($A288="","",VLOOKUP($A288,'İşçi Bilgileri'!$A$2:$D$700,2,FALSE))," ",IF($A288="","",VLOOKUP($A288,'İşçi Bilgileri'!$A$2:$D$700,3,FALSE)))</f>
        <v>#N/A</v>
      </c>
      <c r="C288" s="171" t="e">
        <f>IF($A288="","",VLOOKUP($A288,'İşçi Bilgileri'!$A$2:$D$700,4,FALSE))</f>
        <v>#N/A</v>
      </c>
      <c r="D288" s="298"/>
      <c r="E288" s="298"/>
      <c r="F288" s="298"/>
      <c r="G288" s="298"/>
      <c r="H288" s="298"/>
      <c r="I288" s="298"/>
      <c r="J288" s="298"/>
      <c r="K288" s="298"/>
      <c r="L288" s="298"/>
      <c r="M288" s="298"/>
      <c r="N288" s="298"/>
      <c r="O288" s="298"/>
      <c r="P288" s="298"/>
      <c r="Q288" s="298"/>
      <c r="R288" s="298"/>
      <c r="S288" s="298"/>
      <c r="T288" s="298"/>
      <c r="U288" s="298"/>
      <c r="V288" s="298"/>
      <c r="W288" s="298"/>
      <c r="X288" s="298"/>
      <c r="Y288" s="298"/>
      <c r="Z288" s="298"/>
      <c r="AA288" s="298"/>
      <c r="AB288" s="298"/>
      <c r="AC288" s="298"/>
      <c r="AD288" s="298"/>
      <c r="AE288" s="298"/>
      <c r="AF288" s="298"/>
      <c r="AG288" s="298"/>
      <c r="AH288" s="298"/>
      <c r="AI288" s="166">
        <f t="shared" si="8"/>
        <v>0</v>
      </c>
      <c r="AJ288" s="166">
        <f t="shared" si="9"/>
        <v>0</v>
      </c>
      <c r="AK288" s="166"/>
      <c r="AL288" s="230"/>
      <c r="AM288" s="172"/>
    </row>
    <row r="289" spans="1:39" x14ac:dyDescent="0.2">
      <c r="A289" s="170">
        <v>281</v>
      </c>
      <c r="B289" s="147" t="e">
        <f>CONCATENATE(IF($A289="","",VLOOKUP($A289,'İşçi Bilgileri'!$A$2:$D$700,2,FALSE))," ",IF($A289="","",VLOOKUP($A289,'İşçi Bilgileri'!$A$2:$D$700,3,FALSE)))</f>
        <v>#N/A</v>
      </c>
      <c r="C289" s="171" t="e">
        <f>IF($A289="","",VLOOKUP($A289,'İşçi Bilgileri'!$A$2:$D$700,4,FALSE))</f>
        <v>#N/A</v>
      </c>
      <c r="D289" s="298"/>
      <c r="E289" s="298"/>
      <c r="F289" s="298"/>
      <c r="G289" s="298"/>
      <c r="H289" s="298"/>
      <c r="I289" s="298"/>
      <c r="J289" s="298"/>
      <c r="K289" s="298"/>
      <c r="L289" s="298"/>
      <c r="M289" s="298"/>
      <c r="N289" s="298"/>
      <c r="O289" s="298"/>
      <c r="P289" s="298"/>
      <c r="Q289" s="298"/>
      <c r="R289" s="298"/>
      <c r="S289" s="298"/>
      <c r="T289" s="298"/>
      <c r="U289" s="298"/>
      <c r="V289" s="298"/>
      <c r="W289" s="298"/>
      <c r="X289" s="298"/>
      <c r="Y289" s="298"/>
      <c r="Z289" s="298"/>
      <c r="AA289" s="298"/>
      <c r="AB289" s="298"/>
      <c r="AC289" s="298"/>
      <c r="AD289" s="298"/>
      <c r="AE289" s="298"/>
      <c r="AF289" s="298"/>
      <c r="AG289" s="298"/>
      <c r="AH289" s="298"/>
      <c r="AI289" s="166">
        <f t="shared" si="8"/>
        <v>0</v>
      </c>
      <c r="AJ289" s="166">
        <f t="shared" si="9"/>
        <v>0</v>
      </c>
      <c r="AK289" s="166"/>
      <c r="AL289" s="230"/>
      <c r="AM289" s="172"/>
    </row>
    <row r="290" spans="1:39" x14ac:dyDescent="0.2">
      <c r="A290" s="170">
        <v>282</v>
      </c>
      <c r="B290" s="147" t="e">
        <f>CONCATENATE(IF($A290="","",VLOOKUP($A290,'İşçi Bilgileri'!$A$2:$D$700,2,FALSE))," ",IF($A290="","",VLOOKUP($A290,'İşçi Bilgileri'!$A$2:$D$700,3,FALSE)))</f>
        <v>#N/A</v>
      </c>
      <c r="C290" s="171" t="e">
        <f>IF($A290="","",VLOOKUP($A290,'İşçi Bilgileri'!$A$2:$D$700,4,FALSE))</f>
        <v>#N/A</v>
      </c>
      <c r="D290" s="298"/>
      <c r="E290" s="298"/>
      <c r="F290" s="298"/>
      <c r="G290" s="298"/>
      <c r="H290" s="298"/>
      <c r="I290" s="298"/>
      <c r="J290" s="298"/>
      <c r="K290" s="298"/>
      <c r="L290" s="298"/>
      <c r="M290" s="298"/>
      <c r="N290" s="298"/>
      <c r="O290" s="298"/>
      <c r="P290" s="298"/>
      <c r="Q290" s="298"/>
      <c r="R290" s="298"/>
      <c r="S290" s="298"/>
      <c r="T290" s="298"/>
      <c r="U290" s="298"/>
      <c r="V290" s="298"/>
      <c r="W290" s="298"/>
      <c r="X290" s="298"/>
      <c r="Y290" s="298"/>
      <c r="Z290" s="298"/>
      <c r="AA290" s="298"/>
      <c r="AB290" s="298"/>
      <c r="AC290" s="298"/>
      <c r="AD290" s="298"/>
      <c r="AE290" s="298"/>
      <c r="AF290" s="298"/>
      <c r="AG290" s="298"/>
      <c r="AH290" s="298"/>
      <c r="AI290" s="166">
        <f t="shared" si="8"/>
        <v>0</v>
      </c>
      <c r="AJ290" s="166">
        <f t="shared" si="9"/>
        <v>0</v>
      </c>
      <c r="AK290" s="166"/>
      <c r="AL290" s="230"/>
      <c r="AM290" s="172"/>
    </row>
    <row r="291" spans="1:39" x14ac:dyDescent="0.2">
      <c r="A291" s="170">
        <v>283</v>
      </c>
      <c r="B291" s="147" t="e">
        <f>CONCATENATE(IF($A291="","",VLOOKUP($A291,'İşçi Bilgileri'!$A$2:$D$700,2,FALSE))," ",IF($A291="","",VLOOKUP($A291,'İşçi Bilgileri'!$A$2:$D$700,3,FALSE)))</f>
        <v>#N/A</v>
      </c>
      <c r="C291" s="171" t="e">
        <f>IF($A291="","",VLOOKUP($A291,'İşçi Bilgileri'!$A$2:$D$700,4,FALSE))</f>
        <v>#N/A</v>
      </c>
      <c r="D291" s="298"/>
      <c r="E291" s="298"/>
      <c r="F291" s="298"/>
      <c r="G291" s="298"/>
      <c r="H291" s="298"/>
      <c r="I291" s="298"/>
      <c r="J291" s="298"/>
      <c r="K291" s="298"/>
      <c r="L291" s="298"/>
      <c r="M291" s="298"/>
      <c r="N291" s="298"/>
      <c r="O291" s="298"/>
      <c r="P291" s="298"/>
      <c r="Q291" s="298"/>
      <c r="R291" s="298"/>
      <c r="S291" s="298"/>
      <c r="T291" s="298"/>
      <c r="U291" s="298"/>
      <c r="V291" s="298"/>
      <c r="W291" s="298"/>
      <c r="X291" s="298"/>
      <c r="Y291" s="298"/>
      <c r="Z291" s="298"/>
      <c r="AA291" s="298"/>
      <c r="AB291" s="298"/>
      <c r="AC291" s="298"/>
      <c r="AD291" s="298"/>
      <c r="AE291" s="298"/>
      <c r="AF291" s="298"/>
      <c r="AG291" s="298"/>
      <c r="AH291" s="298"/>
      <c r="AI291" s="166">
        <f t="shared" si="8"/>
        <v>0</v>
      </c>
      <c r="AJ291" s="166">
        <f t="shared" si="9"/>
        <v>0</v>
      </c>
      <c r="AK291" s="166"/>
      <c r="AL291" s="230"/>
      <c r="AM291" s="172"/>
    </row>
    <row r="292" spans="1:39" x14ac:dyDescent="0.2">
      <c r="A292" s="170">
        <v>284</v>
      </c>
      <c r="B292" s="147" t="e">
        <f>CONCATENATE(IF($A292="","",VLOOKUP($A292,'İşçi Bilgileri'!$A$2:$D$700,2,FALSE))," ",IF($A292="","",VLOOKUP($A292,'İşçi Bilgileri'!$A$2:$D$700,3,FALSE)))</f>
        <v>#N/A</v>
      </c>
      <c r="C292" s="171" t="e">
        <f>IF($A292="","",VLOOKUP($A292,'İşçi Bilgileri'!$A$2:$D$700,4,FALSE))</f>
        <v>#N/A</v>
      </c>
      <c r="D292" s="298"/>
      <c r="E292" s="298"/>
      <c r="F292" s="298"/>
      <c r="G292" s="298"/>
      <c r="H292" s="298"/>
      <c r="I292" s="298"/>
      <c r="J292" s="298"/>
      <c r="K292" s="298"/>
      <c r="L292" s="298"/>
      <c r="M292" s="298"/>
      <c r="N292" s="298"/>
      <c r="O292" s="298"/>
      <c r="P292" s="298"/>
      <c r="Q292" s="298"/>
      <c r="R292" s="298"/>
      <c r="S292" s="298"/>
      <c r="T292" s="298"/>
      <c r="U292" s="298"/>
      <c r="V292" s="298"/>
      <c r="W292" s="298"/>
      <c r="X292" s="298"/>
      <c r="Y292" s="298"/>
      <c r="Z292" s="298"/>
      <c r="AA292" s="298"/>
      <c r="AB292" s="298"/>
      <c r="AC292" s="298"/>
      <c r="AD292" s="298"/>
      <c r="AE292" s="298"/>
      <c r="AF292" s="298"/>
      <c r="AG292" s="298"/>
      <c r="AH292" s="298"/>
      <c r="AI292" s="166">
        <f t="shared" si="8"/>
        <v>0</v>
      </c>
      <c r="AJ292" s="166">
        <f t="shared" si="9"/>
        <v>0</v>
      </c>
      <c r="AK292" s="166"/>
      <c r="AL292" s="230"/>
      <c r="AM292" s="172"/>
    </row>
    <row r="293" spans="1:39" x14ac:dyDescent="0.2">
      <c r="A293" s="170">
        <v>285</v>
      </c>
      <c r="B293" s="147" t="e">
        <f>CONCATENATE(IF($A293="","",VLOOKUP($A293,'İşçi Bilgileri'!$A$2:$D$700,2,FALSE))," ",IF($A293="","",VLOOKUP($A293,'İşçi Bilgileri'!$A$2:$D$700,3,FALSE)))</f>
        <v>#N/A</v>
      </c>
      <c r="C293" s="171" t="e">
        <f>IF($A293="","",VLOOKUP($A293,'İşçi Bilgileri'!$A$2:$D$700,4,FALSE))</f>
        <v>#N/A</v>
      </c>
      <c r="D293" s="298"/>
      <c r="E293" s="298"/>
      <c r="F293" s="298"/>
      <c r="G293" s="298"/>
      <c r="H293" s="298"/>
      <c r="I293" s="298"/>
      <c r="J293" s="298"/>
      <c r="K293" s="298"/>
      <c r="L293" s="298"/>
      <c r="M293" s="298"/>
      <c r="N293" s="298"/>
      <c r="O293" s="298"/>
      <c r="P293" s="298"/>
      <c r="Q293" s="298"/>
      <c r="R293" s="298"/>
      <c r="S293" s="298"/>
      <c r="T293" s="298"/>
      <c r="U293" s="298"/>
      <c r="V293" s="298"/>
      <c r="W293" s="298"/>
      <c r="X293" s="298"/>
      <c r="Y293" s="298"/>
      <c r="Z293" s="298"/>
      <c r="AA293" s="298"/>
      <c r="AB293" s="298"/>
      <c r="AC293" s="298"/>
      <c r="AD293" s="298"/>
      <c r="AE293" s="298"/>
      <c r="AF293" s="298"/>
      <c r="AG293" s="298"/>
      <c r="AH293" s="298"/>
      <c r="AI293" s="166">
        <f t="shared" si="8"/>
        <v>0</v>
      </c>
      <c r="AJ293" s="166">
        <f t="shared" si="9"/>
        <v>0</v>
      </c>
      <c r="AK293" s="166"/>
      <c r="AL293" s="230"/>
      <c r="AM293" s="172"/>
    </row>
    <row r="294" spans="1:39" x14ac:dyDescent="0.2">
      <c r="A294" s="170">
        <v>286</v>
      </c>
      <c r="B294" s="147" t="e">
        <f>CONCATENATE(IF($A294="","",VLOOKUP($A294,'İşçi Bilgileri'!$A$2:$D$700,2,FALSE))," ",IF($A294="","",VLOOKUP($A294,'İşçi Bilgileri'!$A$2:$D$700,3,FALSE)))</f>
        <v>#N/A</v>
      </c>
      <c r="C294" s="171" t="e">
        <f>IF($A294="","",VLOOKUP($A294,'İşçi Bilgileri'!$A$2:$D$700,4,FALSE))</f>
        <v>#N/A</v>
      </c>
      <c r="D294" s="298"/>
      <c r="E294" s="298"/>
      <c r="F294" s="298"/>
      <c r="G294" s="298"/>
      <c r="H294" s="298"/>
      <c r="I294" s="298"/>
      <c r="J294" s="298"/>
      <c r="K294" s="298"/>
      <c r="L294" s="298"/>
      <c r="M294" s="298"/>
      <c r="N294" s="298"/>
      <c r="O294" s="298"/>
      <c r="P294" s="298"/>
      <c r="Q294" s="298"/>
      <c r="R294" s="298"/>
      <c r="S294" s="298"/>
      <c r="T294" s="298"/>
      <c r="U294" s="298"/>
      <c r="V294" s="298"/>
      <c r="W294" s="298"/>
      <c r="X294" s="298"/>
      <c r="Y294" s="298"/>
      <c r="Z294" s="298"/>
      <c r="AA294" s="298"/>
      <c r="AB294" s="298"/>
      <c r="AC294" s="298"/>
      <c r="AD294" s="298"/>
      <c r="AE294" s="298"/>
      <c r="AF294" s="298"/>
      <c r="AG294" s="298"/>
      <c r="AH294" s="298"/>
      <c r="AI294" s="166">
        <f t="shared" si="8"/>
        <v>0</v>
      </c>
      <c r="AJ294" s="166">
        <f t="shared" si="9"/>
        <v>0</v>
      </c>
      <c r="AK294" s="166"/>
      <c r="AL294" s="230"/>
      <c r="AM294" s="172"/>
    </row>
    <row r="295" spans="1:39" x14ac:dyDescent="0.2">
      <c r="A295" s="170">
        <v>287</v>
      </c>
      <c r="B295" s="147" t="e">
        <f>CONCATENATE(IF($A295="","",VLOOKUP($A295,'İşçi Bilgileri'!$A$2:$D$700,2,FALSE))," ",IF($A295="","",VLOOKUP($A295,'İşçi Bilgileri'!$A$2:$D$700,3,FALSE)))</f>
        <v>#N/A</v>
      </c>
      <c r="C295" s="171" t="e">
        <f>IF($A295="","",VLOOKUP($A295,'İşçi Bilgileri'!$A$2:$D$700,4,FALSE))</f>
        <v>#N/A</v>
      </c>
      <c r="D295" s="298"/>
      <c r="E295" s="298"/>
      <c r="F295" s="298"/>
      <c r="G295" s="298"/>
      <c r="H295" s="298"/>
      <c r="I295" s="298"/>
      <c r="J295" s="298"/>
      <c r="K295" s="298"/>
      <c r="L295" s="298"/>
      <c r="M295" s="298"/>
      <c r="N295" s="298"/>
      <c r="O295" s="298"/>
      <c r="P295" s="298"/>
      <c r="Q295" s="298"/>
      <c r="R295" s="298"/>
      <c r="S295" s="298"/>
      <c r="T295" s="298"/>
      <c r="U295" s="298"/>
      <c r="V295" s="298"/>
      <c r="W295" s="298"/>
      <c r="X295" s="298"/>
      <c r="Y295" s="298"/>
      <c r="Z295" s="298"/>
      <c r="AA295" s="298"/>
      <c r="AB295" s="298"/>
      <c r="AC295" s="298"/>
      <c r="AD295" s="298"/>
      <c r="AE295" s="298"/>
      <c r="AF295" s="298"/>
      <c r="AG295" s="298"/>
      <c r="AH295" s="298"/>
      <c r="AI295" s="166">
        <f t="shared" si="8"/>
        <v>0</v>
      </c>
      <c r="AJ295" s="166">
        <f t="shared" si="9"/>
        <v>0</v>
      </c>
      <c r="AK295" s="166"/>
      <c r="AL295" s="230"/>
      <c r="AM295" s="172"/>
    </row>
    <row r="296" spans="1:39" x14ac:dyDescent="0.2">
      <c r="A296" s="170">
        <v>288</v>
      </c>
      <c r="B296" s="147" t="e">
        <f>CONCATENATE(IF($A296="","",VLOOKUP($A296,'İşçi Bilgileri'!$A$2:$D$700,2,FALSE))," ",IF($A296="","",VLOOKUP($A296,'İşçi Bilgileri'!$A$2:$D$700,3,FALSE)))</f>
        <v>#N/A</v>
      </c>
      <c r="C296" s="171" t="e">
        <f>IF($A296="","",VLOOKUP($A296,'İşçi Bilgileri'!$A$2:$D$700,4,FALSE))</f>
        <v>#N/A</v>
      </c>
      <c r="D296" s="298"/>
      <c r="E296" s="298"/>
      <c r="F296" s="298"/>
      <c r="G296" s="298"/>
      <c r="H296" s="298"/>
      <c r="I296" s="298"/>
      <c r="J296" s="298"/>
      <c r="K296" s="298"/>
      <c r="L296" s="298"/>
      <c r="M296" s="298"/>
      <c r="N296" s="298"/>
      <c r="O296" s="298"/>
      <c r="P296" s="298"/>
      <c r="Q296" s="298"/>
      <c r="R296" s="298"/>
      <c r="S296" s="298"/>
      <c r="T296" s="298"/>
      <c r="U296" s="298"/>
      <c r="V296" s="298"/>
      <c r="W296" s="298"/>
      <c r="X296" s="298"/>
      <c r="Y296" s="298"/>
      <c r="Z296" s="298"/>
      <c r="AA296" s="298"/>
      <c r="AB296" s="298"/>
      <c r="AC296" s="298"/>
      <c r="AD296" s="298"/>
      <c r="AE296" s="298"/>
      <c r="AF296" s="298"/>
      <c r="AG296" s="298"/>
      <c r="AH296" s="298"/>
      <c r="AI296" s="166">
        <f t="shared" si="8"/>
        <v>0</v>
      </c>
      <c r="AJ296" s="166">
        <f t="shared" si="9"/>
        <v>0</v>
      </c>
      <c r="AK296" s="166"/>
      <c r="AL296" s="230"/>
      <c r="AM296" s="172"/>
    </row>
    <row r="297" spans="1:39" x14ac:dyDescent="0.2">
      <c r="A297" s="170">
        <v>289</v>
      </c>
      <c r="B297" s="147" t="e">
        <f>CONCATENATE(IF($A297="","",VLOOKUP($A297,'İşçi Bilgileri'!$A$2:$D$700,2,FALSE))," ",IF($A297="","",VLOOKUP($A297,'İşçi Bilgileri'!$A$2:$D$700,3,FALSE)))</f>
        <v>#N/A</v>
      </c>
      <c r="C297" s="171" t="e">
        <f>IF($A297="","",VLOOKUP($A297,'İşçi Bilgileri'!$A$2:$D$700,4,FALSE))</f>
        <v>#N/A</v>
      </c>
      <c r="D297" s="298"/>
      <c r="E297" s="298"/>
      <c r="F297" s="298"/>
      <c r="G297" s="298"/>
      <c r="H297" s="298"/>
      <c r="I297" s="298"/>
      <c r="J297" s="298"/>
      <c r="K297" s="298"/>
      <c r="L297" s="298"/>
      <c r="M297" s="298"/>
      <c r="N297" s="298"/>
      <c r="O297" s="298"/>
      <c r="P297" s="298"/>
      <c r="Q297" s="298"/>
      <c r="R297" s="298"/>
      <c r="S297" s="298"/>
      <c r="T297" s="298"/>
      <c r="U297" s="298"/>
      <c r="V297" s="298"/>
      <c r="W297" s="298"/>
      <c r="X297" s="298"/>
      <c r="Y297" s="298"/>
      <c r="Z297" s="298"/>
      <c r="AA297" s="298"/>
      <c r="AB297" s="298"/>
      <c r="AC297" s="298"/>
      <c r="AD297" s="298"/>
      <c r="AE297" s="298"/>
      <c r="AF297" s="298"/>
      <c r="AG297" s="298"/>
      <c r="AH297" s="298"/>
      <c r="AI297" s="166">
        <f t="shared" si="8"/>
        <v>0</v>
      </c>
      <c r="AJ297" s="166">
        <f t="shared" si="9"/>
        <v>0</v>
      </c>
      <c r="AK297" s="166"/>
      <c r="AL297" s="230"/>
      <c r="AM297" s="172"/>
    </row>
    <row r="298" spans="1:39" x14ac:dyDescent="0.2">
      <c r="A298" s="170">
        <v>290</v>
      </c>
      <c r="B298" s="147" t="e">
        <f>CONCATENATE(IF($A298="","",VLOOKUP($A298,'İşçi Bilgileri'!$A$2:$D$700,2,FALSE))," ",IF($A298="","",VLOOKUP($A298,'İşçi Bilgileri'!$A$2:$D$700,3,FALSE)))</f>
        <v>#N/A</v>
      </c>
      <c r="C298" s="171" t="e">
        <f>IF($A298="","",VLOOKUP($A298,'İşçi Bilgileri'!$A$2:$D$700,4,FALSE))</f>
        <v>#N/A</v>
      </c>
      <c r="D298" s="298"/>
      <c r="E298" s="298"/>
      <c r="F298" s="298"/>
      <c r="G298" s="298"/>
      <c r="H298" s="298"/>
      <c r="I298" s="298"/>
      <c r="J298" s="298"/>
      <c r="K298" s="298"/>
      <c r="L298" s="298"/>
      <c r="M298" s="298"/>
      <c r="N298" s="298"/>
      <c r="O298" s="298"/>
      <c r="P298" s="298"/>
      <c r="Q298" s="298"/>
      <c r="R298" s="298"/>
      <c r="S298" s="298"/>
      <c r="T298" s="298"/>
      <c r="U298" s="298"/>
      <c r="V298" s="298"/>
      <c r="W298" s="298"/>
      <c r="X298" s="298"/>
      <c r="Y298" s="298"/>
      <c r="Z298" s="298"/>
      <c r="AA298" s="298"/>
      <c r="AB298" s="298"/>
      <c r="AC298" s="298"/>
      <c r="AD298" s="298"/>
      <c r="AE298" s="298"/>
      <c r="AF298" s="298"/>
      <c r="AG298" s="298"/>
      <c r="AH298" s="298"/>
      <c r="AI298" s="166">
        <f t="shared" si="8"/>
        <v>0</v>
      </c>
      <c r="AJ298" s="166">
        <f t="shared" si="9"/>
        <v>0</v>
      </c>
      <c r="AK298" s="166"/>
      <c r="AL298" s="230"/>
      <c r="AM298" s="172"/>
    </row>
    <row r="299" spans="1:39" x14ac:dyDescent="0.2">
      <c r="A299" s="170">
        <v>291</v>
      </c>
      <c r="B299" s="147" t="e">
        <f>CONCATENATE(IF($A299="","",VLOOKUP($A299,'İşçi Bilgileri'!$A$2:$D$700,2,FALSE))," ",IF($A299="","",VLOOKUP($A299,'İşçi Bilgileri'!$A$2:$D$700,3,FALSE)))</f>
        <v>#N/A</v>
      </c>
      <c r="C299" s="171" t="e">
        <f>IF($A299="","",VLOOKUP($A299,'İşçi Bilgileri'!$A$2:$D$700,4,FALSE))</f>
        <v>#N/A</v>
      </c>
      <c r="D299" s="298"/>
      <c r="E299" s="298"/>
      <c r="F299" s="298"/>
      <c r="G299" s="298"/>
      <c r="H299" s="298"/>
      <c r="I299" s="298"/>
      <c r="J299" s="298"/>
      <c r="K299" s="298"/>
      <c r="L299" s="298"/>
      <c r="M299" s="298"/>
      <c r="N299" s="298"/>
      <c r="O299" s="298"/>
      <c r="P299" s="298"/>
      <c r="Q299" s="298"/>
      <c r="R299" s="298"/>
      <c r="S299" s="298"/>
      <c r="T299" s="298"/>
      <c r="U299" s="298"/>
      <c r="V299" s="298"/>
      <c r="W299" s="298"/>
      <c r="X299" s="298"/>
      <c r="Y299" s="298"/>
      <c r="Z299" s="298"/>
      <c r="AA299" s="298"/>
      <c r="AB299" s="298"/>
      <c r="AC299" s="298"/>
      <c r="AD299" s="298"/>
      <c r="AE299" s="298"/>
      <c r="AF299" s="298"/>
      <c r="AG299" s="298"/>
      <c r="AH299" s="298"/>
      <c r="AI299" s="166">
        <f t="shared" si="8"/>
        <v>0</v>
      </c>
      <c r="AJ299" s="166">
        <f t="shared" si="9"/>
        <v>0</v>
      </c>
      <c r="AK299" s="166"/>
      <c r="AL299" s="230"/>
      <c r="AM299" s="172"/>
    </row>
    <row r="300" spans="1:39" x14ac:dyDescent="0.2">
      <c r="A300" s="170">
        <v>292</v>
      </c>
      <c r="B300" s="147" t="e">
        <f>CONCATENATE(IF($A300="","",VLOOKUP($A300,'İşçi Bilgileri'!$A$2:$D$700,2,FALSE))," ",IF($A300="","",VLOOKUP($A300,'İşçi Bilgileri'!$A$2:$D$700,3,FALSE)))</f>
        <v>#N/A</v>
      </c>
      <c r="C300" s="171" t="e">
        <f>IF($A300="","",VLOOKUP($A300,'İşçi Bilgileri'!$A$2:$D$700,4,FALSE))</f>
        <v>#N/A</v>
      </c>
      <c r="D300" s="298"/>
      <c r="E300" s="298"/>
      <c r="F300" s="298"/>
      <c r="G300" s="298"/>
      <c r="H300" s="298"/>
      <c r="I300" s="298"/>
      <c r="J300" s="298"/>
      <c r="K300" s="298"/>
      <c r="L300" s="298"/>
      <c r="M300" s="298"/>
      <c r="N300" s="298"/>
      <c r="O300" s="298"/>
      <c r="P300" s="298"/>
      <c r="Q300" s="298"/>
      <c r="R300" s="298"/>
      <c r="S300" s="298"/>
      <c r="T300" s="298"/>
      <c r="U300" s="298"/>
      <c r="V300" s="298"/>
      <c r="W300" s="298"/>
      <c r="X300" s="298"/>
      <c r="Y300" s="298"/>
      <c r="Z300" s="298"/>
      <c r="AA300" s="298"/>
      <c r="AB300" s="298"/>
      <c r="AC300" s="298"/>
      <c r="AD300" s="298"/>
      <c r="AE300" s="298"/>
      <c r="AF300" s="298"/>
      <c r="AG300" s="298"/>
      <c r="AH300" s="298"/>
      <c r="AI300" s="166">
        <f t="shared" si="8"/>
        <v>0</v>
      </c>
      <c r="AJ300" s="166">
        <f t="shared" si="9"/>
        <v>0</v>
      </c>
      <c r="AK300" s="166"/>
      <c r="AL300" s="230"/>
      <c r="AM300" s="172"/>
    </row>
    <row r="301" spans="1:39" x14ac:dyDescent="0.2">
      <c r="A301" s="170">
        <v>293</v>
      </c>
      <c r="B301" s="147" t="e">
        <f>CONCATENATE(IF($A301="","",VLOOKUP($A301,'İşçi Bilgileri'!$A$2:$D$700,2,FALSE))," ",IF($A301="","",VLOOKUP($A301,'İşçi Bilgileri'!$A$2:$D$700,3,FALSE)))</f>
        <v>#N/A</v>
      </c>
      <c r="C301" s="171" t="e">
        <f>IF($A301="","",VLOOKUP($A301,'İşçi Bilgileri'!$A$2:$D$700,4,FALSE))</f>
        <v>#N/A</v>
      </c>
      <c r="D301" s="298"/>
      <c r="E301" s="298"/>
      <c r="F301" s="298"/>
      <c r="G301" s="298"/>
      <c r="H301" s="298"/>
      <c r="I301" s="298"/>
      <c r="J301" s="298"/>
      <c r="K301" s="298"/>
      <c r="L301" s="298"/>
      <c r="M301" s="298"/>
      <c r="N301" s="298"/>
      <c r="O301" s="298"/>
      <c r="P301" s="298"/>
      <c r="Q301" s="298"/>
      <c r="R301" s="298"/>
      <c r="S301" s="298"/>
      <c r="T301" s="298"/>
      <c r="U301" s="298"/>
      <c r="V301" s="298"/>
      <c r="W301" s="298"/>
      <c r="X301" s="298"/>
      <c r="Y301" s="298"/>
      <c r="Z301" s="298"/>
      <c r="AA301" s="298"/>
      <c r="AB301" s="298"/>
      <c r="AC301" s="298"/>
      <c r="AD301" s="298"/>
      <c r="AE301" s="298"/>
      <c r="AF301" s="298"/>
      <c r="AG301" s="298"/>
      <c r="AH301" s="298"/>
      <c r="AI301" s="166">
        <f t="shared" si="8"/>
        <v>0</v>
      </c>
      <c r="AJ301" s="166">
        <f t="shared" si="9"/>
        <v>0</v>
      </c>
      <c r="AK301" s="166"/>
      <c r="AL301" s="230"/>
      <c r="AM301" s="172"/>
    </row>
    <row r="302" spans="1:39" x14ac:dyDescent="0.2">
      <c r="A302" s="170">
        <v>294</v>
      </c>
      <c r="B302" s="147" t="e">
        <f>CONCATENATE(IF($A302="","",VLOOKUP($A302,'İşçi Bilgileri'!$A$2:$D$700,2,FALSE))," ",IF($A302="","",VLOOKUP($A302,'İşçi Bilgileri'!$A$2:$D$700,3,FALSE)))</f>
        <v>#N/A</v>
      </c>
      <c r="C302" s="171" t="e">
        <f>IF($A302="","",VLOOKUP($A302,'İşçi Bilgileri'!$A$2:$D$700,4,FALSE))</f>
        <v>#N/A</v>
      </c>
      <c r="D302" s="298"/>
      <c r="E302" s="298"/>
      <c r="F302" s="298"/>
      <c r="G302" s="298"/>
      <c r="H302" s="298"/>
      <c r="I302" s="298"/>
      <c r="J302" s="298"/>
      <c r="K302" s="298"/>
      <c r="L302" s="298"/>
      <c r="M302" s="298"/>
      <c r="N302" s="298"/>
      <c r="O302" s="298"/>
      <c r="P302" s="298"/>
      <c r="Q302" s="298"/>
      <c r="R302" s="298"/>
      <c r="S302" s="298"/>
      <c r="T302" s="298"/>
      <c r="U302" s="298"/>
      <c r="V302" s="298"/>
      <c r="W302" s="298"/>
      <c r="X302" s="298"/>
      <c r="Y302" s="298"/>
      <c r="Z302" s="298"/>
      <c r="AA302" s="298"/>
      <c r="AB302" s="298"/>
      <c r="AC302" s="298"/>
      <c r="AD302" s="298"/>
      <c r="AE302" s="298"/>
      <c r="AF302" s="298"/>
      <c r="AG302" s="298"/>
      <c r="AH302" s="298"/>
      <c r="AI302" s="166">
        <f t="shared" si="8"/>
        <v>0</v>
      </c>
      <c r="AJ302" s="166">
        <f t="shared" si="9"/>
        <v>0</v>
      </c>
      <c r="AK302" s="166"/>
      <c r="AL302" s="230"/>
      <c r="AM302" s="172"/>
    </row>
    <row r="303" spans="1:39" x14ac:dyDescent="0.2">
      <c r="A303" s="170">
        <v>295</v>
      </c>
      <c r="B303" s="147" t="e">
        <f>CONCATENATE(IF($A303="","",VLOOKUP($A303,'İşçi Bilgileri'!$A$2:$D$700,2,FALSE))," ",IF($A303="","",VLOOKUP($A303,'İşçi Bilgileri'!$A$2:$D$700,3,FALSE)))</f>
        <v>#N/A</v>
      </c>
      <c r="C303" s="171" t="e">
        <f>IF($A303="","",VLOOKUP($A303,'İşçi Bilgileri'!$A$2:$D$700,4,FALSE))</f>
        <v>#N/A</v>
      </c>
      <c r="D303" s="298"/>
      <c r="E303" s="298"/>
      <c r="F303" s="298"/>
      <c r="G303" s="298"/>
      <c r="H303" s="298"/>
      <c r="I303" s="298"/>
      <c r="J303" s="298"/>
      <c r="K303" s="298"/>
      <c r="L303" s="298"/>
      <c r="M303" s="298"/>
      <c r="N303" s="298"/>
      <c r="O303" s="298"/>
      <c r="P303" s="298"/>
      <c r="Q303" s="298"/>
      <c r="R303" s="298"/>
      <c r="S303" s="298"/>
      <c r="T303" s="298"/>
      <c r="U303" s="298"/>
      <c r="V303" s="298"/>
      <c r="W303" s="298"/>
      <c r="X303" s="298"/>
      <c r="Y303" s="298"/>
      <c r="Z303" s="298"/>
      <c r="AA303" s="298"/>
      <c r="AB303" s="298"/>
      <c r="AC303" s="298"/>
      <c r="AD303" s="298"/>
      <c r="AE303" s="298"/>
      <c r="AF303" s="298"/>
      <c r="AG303" s="298"/>
      <c r="AH303" s="298"/>
      <c r="AI303" s="166">
        <f t="shared" si="8"/>
        <v>0</v>
      </c>
      <c r="AJ303" s="166">
        <f t="shared" si="9"/>
        <v>0</v>
      </c>
      <c r="AK303" s="166"/>
      <c r="AL303" s="230"/>
      <c r="AM303" s="172"/>
    </row>
    <row r="304" spans="1:39" x14ac:dyDescent="0.2">
      <c r="A304" s="170">
        <v>296</v>
      </c>
      <c r="B304" s="147" t="e">
        <f>CONCATENATE(IF($A304="","",VLOOKUP($A304,'İşçi Bilgileri'!$A$2:$D$700,2,FALSE))," ",IF($A304="","",VLOOKUP($A304,'İşçi Bilgileri'!$A$2:$D$700,3,FALSE)))</f>
        <v>#N/A</v>
      </c>
      <c r="C304" s="171" t="e">
        <f>IF($A304="","",VLOOKUP($A304,'İşçi Bilgileri'!$A$2:$D$700,4,FALSE))</f>
        <v>#N/A</v>
      </c>
      <c r="D304" s="298"/>
      <c r="E304" s="298"/>
      <c r="F304" s="298"/>
      <c r="G304" s="298"/>
      <c r="H304" s="298"/>
      <c r="I304" s="298"/>
      <c r="J304" s="298"/>
      <c r="K304" s="298"/>
      <c r="L304" s="298"/>
      <c r="M304" s="298"/>
      <c r="N304" s="298"/>
      <c r="O304" s="298"/>
      <c r="P304" s="298"/>
      <c r="Q304" s="298"/>
      <c r="R304" s="298"/>
      <c r="S304" s="298"/>
      <c r="T304" s="298"/>
      <c r="U304" s="298"/>
      <c r="V304" s="298"/>
      <c r="W304" s="298"/>
      <c r="X304" s="298"/>
      <c r="Y304" s="298"/>
      <c r="Z304" s="298"/>
      <c r="AA304" s="298"/>
      <c r="AB304" s="298"/>
      <c r="AC304" s="298"/>
      <c r="AD304" s="298"/>
      <c r="AE304" s="298"/>
      <c r="AF304" s="298"/>
      <c r="AG304" s="298"/>
      <c r="AH304" s="298"/>
      <c r="AI304" s="166">
        <f t="shared" si="8"/>
        <v>0</v>
      </c>
      <c r="AJ304" s="166">
        <f t="shared" si="9"/>
        <v>0</v>
      </c>
      <c r="AK304" s="166"/>
      <c r="AL304" s="230"/>
      <c r="AM304" s="172"/>
    </row>
    <row r="305" spans="1:39" x14ac:dyDescent="0.2">
      <c r="A305" s="170">
        <v>297</v>
      </c>
      <c r="B305" s="147" t="e">
        <f>CONCATENATE(IF($A305="","",VLOOKUP($A305,'İşçi Bilgileri'!$A$2:$D$700,2,FALSE))," ",IF($A305="","",VLOOKUP($A305,'İşçi Bilgileri'!$A$2:$D$700,3,FALSE)))</f>
        <v>#N/A</v>
      </c>
      <c r="C305" s="171" t="e">
        <f>IF($A305="","",VLOOKUP($A305,'İşçi Bilgileri'!$A$2:$D$700,4,FALSE))</f>
        <v>#N/A</v>
      </c>
      <c r="D305" s="298"/>
      <c r="E305" s="298"/>
      <c r="F305" s="298"/>
      <c r="G305" s="298"/>
      <c r="H305" s="298"/>
      <c r="I305" s="298"/>
      <c r="J305" s="298"/>
      <c r="K305" s="298"/>
      <c r="L305" s="298"/>
      <c r="M305" s="298"/>
      <c r="N305" s="298"/>
      <c r="O305" s="298"/>
      <c r="P305" s="298"/>
      <c r="Q305" s="298"/>
      <c r="R305" s="298"/>
      <c r="S305" s="298"/>
      <c r="T305" s="298"/>
      <c r="U305" s="298"/>
      <c r="V305" s="298"/>
      <c r="W305" s="298"/>
      <c r="X305" s="298"/>
      <c r="Y305" s="298"/>
      <c r="Z305" s="298"/>
      <c r="AA305" s="298"/>
      <c r="AB305" s="298"/>
      <c r="AC305" s="298"/>
      <c r="AD305" s="298"/>
      <c r="AE305" s="298"/>
      <c r="AF305" s="298"/>
      <c r="AG305" s="298"/>
      <c r="AH305" s="298"/>
      <c r="AI305" s="166">
        <f t="shared" si="8"/>
        <v>0</v>
      </c>
      <c r="AJ305" s="166">
        <f t="shared" si="9"/>
        <v>0</v>
      </c>
      <c r="AK305" s="166"/>
      <c r="AL305" s="230"/>
      <c r="AM305" s="172"/>
    </row>
    <row r="306" spans="1:39" x14ac:dyDescent="0.2">
      <c r="A306" s="170">
        <v>298</v>
      </c>
      <c r="B306" s="147" t="e">
        <f>CONCATENATE(IF($A306="","",VLOOKUP($A306,'İşçi Bilgileri'!$A$2:$D$700,2,FALSE))," ",IF($A306="","",VLOOKUP($A306,'İşçi Bilgileri'!$A$2:$D$700,3,FALSE)))</f>
        <v>#N/A</v>
      </c>
      <c r="C306" s="171" t="e">
        <f>IF($A306="","",VLOOKUP($A306,'İşçi Bilgileri'!$A$2:$D$700,4,FALSE))</f>
        <v>#N/A</v>
      </c>
      <c r="D306" s="298"/>
      <c r="E306" s="298"/>
      <c r="F306" s="298"/>
      <c r="G306" s="298"/>
      <c r="H306" s="298"/>
      <c r="I306" s="298"/>
      <c r="J306" s="298"/>
      <c r="K306" s="298"/>
      <c r="L306" s="298"/>
      <c r="M306" s="298"/>
      <c r="N306" s="298"/>
      <c r="O306" s="298"/>
      <c r="P306" s="298"/>
      <c r="Q306" s="298"/>
      <c r="R306" s="298"/>
      <c r="S306" s="298"/>
      <c r="T306" s="298"/>
      <c r="U306" s="298"/>
      <c r="V306" s="298"/>
      <c r="W306" s="298"/>
      <c r="X306" s="298"/>
      <c r="Y306" s="298"/>
      <c r="Z306" s="298"/>
      <c r="AA306" s="298"/>
      <c r="AB306" s="298"/>
      <c r="AC306" s="298"/>
      <c r="AD306" s="298"/>
      <c r="AE306" s="298"/>
      <c r="AF306" s="298"/>
      <c r="AG306" s="298"/>
      <c r="AH306" s="298"/>
      <c r="AI306" s="166">
        <f t="shared" si="8"/>
        <v>0</v>
      </c>
      <c r="AJ306" s="166">
        <f t="shared" si="9"/>
        <v>0</v>
      </c>
      <c r="AK306" s="166"/>
      <c r="AL306" s="230"/>
      <c r="AM306" s="172"/>
    </row>
    <row r="307" spans="1:39" x14ac:dyDescent="0.2">
      <c r="A307" s="170">
        <v>299</v>
      </c>
      <c r="B307" s="147" t="e">
        <f>CONCATENATE(IF($A307="","",VLOOKUP($A307,'İşçi Bilgileri'!$A$2:$D$700,2,FALSE))," ",IF($A307="","",VLOOKUP($A307,'İşçi Bilgileri'!$A$2:$D$700,3,FALSE)))</f>
        <v>#N/A</v>
      </c>
      <c r="C307" s="171" t="e">
        <f>IF($A307="","",VLOOKUP($A307,'İşçi Bilgileri'!$A$2:$D$700,4,FALSE))</f>
        <v>#N/A</v>
      </c>
      <c r="D307" s="298"/>
      <c r="E307" s="298"/>
      <c r="F307" s="298"/>
      <c r="G307" s="298"/>
      <c r="H307" s="298"/>
      <c r="I307" s="298"/>
      <c r="J307" s="298"/>
      <c r="K307" s="298"/>
      <c r="L307" s="298"/>
      <c r="M307" s="298"/>
      <c r="N307" s="298"/>
      <c r="O307" s="298"/>
      <c r="P307" s="298"/>
      <c r="Q307" s="298"/>
      <c r="R307" s="298"/>
      <c r="S307" s="298"/>
      <c r="T307" s="298"/>
      <c r="U307" s="298"/>
      <c r="V307" s="298"/>
      <c r="W307" s="298"/>
      <c r="X307" s="298"/>
      <c r="Y307" s="298"/>
      <c r="Z307" s="298"/>
      <c r="AA307" s="298"/>
      <c r="AB307" s="298"/>
      <c r="AC307" s="298"/>
      <c r="AD307" s="298"/>
      <c r="AE307" s="298"/>
      <c r="AF307" s="298"/>
      <c r="AG307" s="298"/>
      <c r="AH307" s="298"/>
      <c r="AI307" s="166">
        <f t="shared" si="8"/>
        <v>0</v>
      </c>
      <c r="AJ307" s="166">
        <f t="shared" si="9"/>
        <v>0</v>
      </c>
      <c r="AK307" s="166"/>
      <c r="AL307" s="230"/>
      <c r="AM307" s="172"/>
    </row>
    <row r="308" spans="1:39" x14ac:dyDescent="0.2">
      <c r="A308" s="170">
        <v>300</v>
      </c>
      <c r="B308" s="147" t="e">
        <f>CONCATENATE(IF($A308="","",VLOOKUP($A308,'İşçi Bilgileri'!$A$2:$D$700,2,FALSE))," ",IF($A308="","",VLOOKUP($A308,'İşçi Bilgileri'!$A$2:$D$700,3,FALSE)))</f>
        <v>#N/A</v>
      </c>
      <c r="C308" s="171" t="e">
        <f>IF($A308="","",VLOOKUP($A308,'İşçi Bilgileri'!$A$2:$D$700,4,FALSE))</f>
        <v>#N/A</v>
      </c>
      <c r="D308" s="298"/>
      <c r="E308" s="298"/>
      <c r="F308" s="298"/>
      <c r="G308" s="298"/>
      <c r="H308" s="298"/>
      <c r="I308" s="298"/>
      <c r="J308" s="298"/>
      <c r="K308" s="298"/>
      <c r="L308" s="298"/>
      <c r="M308" s="298"/>
      <c r="N308" s="298"/>
      <c r="O308" s="298"/>
      <c r="P308" s="298"/>
      <c r="Q308" s="298"/>
      <c r="R308" s="298"/>
      <c r="S308" s="298"/>
      <c r="T308" s="298"/>
      <c r="U308" s="298"/>
      <c r="V308" s="298"/>
      <c r="W308" s="298"/>
      <c r="X308" s="298"/>
      <c r="Y308" s="298"/>
      <c r="Z308" s="298"/>
      <c r="AA308" s="298"/>
      <c r="AB308" s="298"/>
      <c r="AC308" s="298"/>
      <c r="AD308" s="298"/>
      <c r="AE308" s="298"/>
      <c r="AF308" s="298"/>
      <c r="AG308" s="298"/>
      <c r="AH308" s="298"/>
      <c r="AI308" s="166">
        <f t="shared" si="8"/>
        <v>0</v>
      </c>
      <c r="AJ308" s="166">
        <f t="shared" si="9"/>
        <v>0</v>
      </c>
      <c r="AK308" s="166"/>
      <c r="AL308" s="230"/>
      <c r="AM308" s="172"/>
    </row>
    <row r="309" spans="1:39" x14ac:dyDescent="0.2">
      <c r="A309" s="170">
        <v>301</v>
      </c>
      <c r="B309" s="147" t="e">
        <f>CONCATENATE(IF($A309="","",VLOOKUP($A309,'İşçi Bilgileri'!$A$2:$D$700,2,FALSE))," ",IF($A309="","",VLOOKUP($A309,'İşçi Bilgileri'!$A$2:$D$700,3,FALSE)))</f>
        <v>#N/A</v>
      </c>
      <c r="C309" s="171" t="e">
        <f>IF($A309="","",VLOOKUP($A309,'İşçi Bilgileri'!$A$2:$D$700,4,FALSE))</f>
        <v>#N/A</v>
      </c>
      <c r="D309" s="298"/>
      <c r="E309" s="298"/>
      <c r="F309" s="298"/>
      <c r="G309" s="298"/>
      <c r="H309" s="298"/>
      <c r="I309" s="298"/>
      <c r="J309" s="298"/>
      <c r="K309" s="298"/>
      <c r="L309" s="298"/>
      <c r="M309" s="298"/>
      <c r="N309" s="298"/>
      <c r="O309" s="298"/>
      <c r="P309" s="298"/>
      <c r="Q309" s="298"/>
      <c r="R309" s="298"/>
      <c r="S309" s="298"/>
      <c r="T309" s="298"/>
      <c r="U309" s="298"/>
      <c r="V309" s="298"/>
      <c r="W309" s="298"/>
      <c r="X309" s="298"/>
      <c r="Y309" s="298"/>
      <c r="Z309" s="298"/>
      <c r="AA309" s="298"/>
      <c r="AB309" s="298"/>
      <c r="AC309" s="298"/>
      <c r="AD309" s="298"/>
      <c r="AE309" s="298"/>
      <c r="AF309" s="298"/>
      <c r="AG309" s="298"/>
      <c r="AH309" s="298"/>
      <c r="AI309" s="166">
        <f t="shared" si="8"/>
        <v>0</v>
      </c>
      <c r="AJ309" s="166">
        <f t="shared" si="9"/>
        <v>0</v>
      </c>
      <c r="AK309" s="166"/>
      <c r="AL309" s="230"/>
      <c r="AM309" s="172"/>
    </row>
    <row r="310" spans="1:39" x14ac:dyDescent="0.2">
      <c r="A310" s="170">
        <v>302</v>
      </c>
      <c r="B310" s="147" t="e">
        <f>CONCATENATE(IF($A310="","",VLOOKUP($A310,'İşçi Bilgileri'!$A$2:$D$700,2,FALSE))," ",IF($A310="","",VLOOKUP($A310,'İşçi Bilgileri'!$A$2:$D$700,3,FALSE)))</f>
        <v>#N/A</v>
      </c>
      <c r="C310" s="171" t="e">
        <f>IF($A310="","",VLOOKUP($A310,'İşçi Bilgileri'!$A$2:$D$700,4,FALSE))</f>
        <v>#N/A</v>
      </c>
      <c r="D310" s="298"/>
      <c r="E310" s="298"/>
      <c r="F310" s="298"/>
      <c r="G310" s="298"/>
      <c r="H310" s="298"/>
      <c r="I310" s="298"/>
      <c r="J310" s="298"/>
      <c r="K310" s="298"/>
      <c r="L310" s="298"/>
      <c r="M310" s="298"/>
      <c r="N310" s="298"/>
      <c r="O310" s="298"/>
      <c r="P310" s="298"/>
      <c r="Q310" s="298"/>
      <c r="R310" s="298"/>
      <c r="S310" s="298"/>
      <c r="T310" s="298"/>
      <c r="U310" s="298"/>
      <c r="V310" s="298"/>
      <c r="W310" s="298"/>
      <c r="X310" s="298"/>
      <c r="Y310" s="298"/>
      <c r="Z310" s="298"/>
      <c r="AA310" s="298"/>
      <c r="AB310" s="298"/>
      <c r="AC310" s="298"/>
      <c r="AD310" s="298"/>
      <c r="AE310" s="298"/>
      <c r="AF310" s="298"/>
      <c r="AG310" s="298"/>
      <c r="AH310" s="298"/>
      <c r="AI310" s="166">
        <f t="shared" si="8"/>
        <v>0</v>
      </c>
      <c r="AJ310" s="166">
        <f t="shared" si="9"/>
        <v>0</v>
      </c>
      <c r="AK310" s="166"/>
      <c r="AL310" s="230"/>
      <c r="AM310" s="172"/>
    </row>
    <row r="311" spans="1:39" x14ac:dyDescent="0.2">
      <c r="A311" s="170">
        <v>303</v>
      </c>
      <c r="B311" s="147" t="e">
        <f>CONCATENATE(IF($A311="","",VLOOKUP($A311,'İşçi Bilgileri'!$A$2:$D$700,2,FALSE))," ",IF($A311="","",VLOOKUP($A311,'İşçi Bilgileri'!$A$2:$D$700,3,FALSE)))</f>
        <v>#N/A</v>
      </c>
      <c r="C311" s="171" t="e">
        <f>IF($A311="","",VLOOKUP($A311,'İşçi Bilgileri'!$A$2:$D$700,4,FALSE))</f>
        <v>#N/A</v>
      </c>
      <c r="D311" s="298"/>
      <c r="E311" s="298"/>
      <c r="F311" s="298"/>
      <c r="G311" s="298"/>
      <c r="H311" s="298"/>
      <c r="I311" s="298"/>
      <c r="J311" s="298"/>
      <c r="K311" s="298"/>
      <c r="L311" s="298"/>
      <c r="M311" s="298"/>
      <c r="N311" s="298"/>
      <c r="O311" s="298"/>
      <c r="P311" s="298"/>
      <c r="Q311" s="298"/>
      <c r="R311" s="298"/>
      <c r="S311" s="298"/>
      <c r="T311" s="298"/>
      <c r="U311" s="298"/>
      <c r="V311" s="298"/>
      <c r="W311" s="298"/>
      <c r="X311" s="298"/>
      <c r="Y311" s="298"/>
      <c r="Z311" s="298"/>
      <c r="AA311" s="298"/>
      <c r="AB311" s="298"/>
      <c r="AC311" s="298"/>
      <c r="AD311" s="298"/>
      <c r="AE311" s="298"/>
      <c r="AF311" s="298"/>
      <c r="AG311" s="298"/>
      <c r="AH311" s="298"/>
      <c r="AI311" s="166">
        <f t="shared" si="8"/>
        <v>0</v>
      </c>
      <c r="AJ311" s="166">
        <f t="shared" si="9"/>
        <v>0</v>
      </c>
      <c r="AK311" s="166"/>
      <c r="AL311" s="230"/>
      <c r="AM311" s="172"/>
    </row>
    <row r="312" spans="1:39" x14ac:dyDescent="0.2">
      <c r="A312" s="170">
        <v>304</v>
      </c>
      <c r="B312" s="147" t="e">
        <f>CONCATENATE(IF($A312="","",VLOOKUP($A312,'İşçi Bilgileri'!$A$2:$D$700,2,FALSE))," ",IF($A312="","",VLOOKUP($A312,'İşçi Bilgileri'!$A$2:$D$700,3,FALSE)))</f>
        <v>#N/A</v>
      </c>
      <c r="C312" s="171" t="e">
        <f>IF($A312="","",VLOOKUP($A312,'İşçi Bilgileri'!$A$2:$D$700,4,FALSE))</f>
        <v>#N/A</v>
      </c>
      <c r="D312" s="298"/>
      <c r="E312" s="298"/>
      <c r="F312" s="298"/>
      <c r="G312" s="298"/>
      <c r="H312" s="298"/>
      <c r="I312" s="298"/>
      <c r="J312" s="298"/>
      <c r="K312" s="298"/>
      <c r="L312" s="298"/>
      <c r="M312" s="298"/>
      <c r="N312" s="298"/>
      <c r="O312" s="298"/>
      <c r="P312" s="298"/>
      <c r="Q312" s="298"/>
      <c r="R312" s="298"/>
      <c r="S312" s="298"/>
      <c r="T312" s="298"/>
      <c r="U312" s="298"/>
      <c r="V312" s="298"/>
      <c r="W312" s="298"/>
      <c r="X312" s="298"/>
      <c r="Y312" s="298"/>
      <c r="Z312" s="298"/>
      <c r="AA312" s="298"/>
      <c r="AB312" s="298"/>
      <c r="AC312" s="298"/>
      <c r="AD312" s="298"/>
      <c r="AE312" s="298"/>
      <c r="AF312" s="298"/>
      <c r="AG312" s="298"/>
      <c r="AH312" s="298"/>
      <c r="AI312" s="166">
        <f t="shared" si="8"/>
        <v>0</v>
      </c>
      <c r="AJ312" s="166">
        <f t="shared" si="9"/>
        <v>0</v>
      </c>
      <c r="AK312" s="166"/>
      <c r="AL312" s="230"/>
      <c r="AM312" s="172"/>
    </row>
    <row r="313" spans="1:39" x14ac:dyDescent="0.2">
      <c r="A313" s="170">
        <v>305</v>
      </c>
      <c r="B313" s="147" t="e">
        <f>CONCATENATE(IF($A313="","",VLOOKUP($A313,'İşçi Bilgileri'!$A$2:$D$700,2,FALSE))," ",IF($A313="","",VLOOKUP($A313,'İşçi Bilgileri'!$A$2:$D$700,3,FALSE)))</f>
        <v>#N/A</v>
      </c>
      <c r="C313" s="171" t="e">
        <f>IF($A313="","",VLOOKUP($A313,'İşçi Bilgileri'!$A$2:$D$700,4,FALSE))</f>
        <v>#N/A</v>
      </c>
      <c r="D313" s="298"/>
      <c r="E313" s="298"/>
      <c r="F313" s="298"/>
      <c r="G313" s="298"/>
      <c r="H313" s="298"/>
      <c r="I313" s="298"/>
      <c r="J313" s="298"/>
      <c r="K313" s="298"/>
      <c r="L313" s="298"/>
      <c r="M313" s="298"/>
      <c r="N313" s="298"/>
      <c r="O313" s="298"/>
      <c r="P313" s="298"/>
      <c r="Q313" s="298"/>
      <c r="R313" s="298"/>
      <c r="S313" s="298"/>
      <c r="T313" s="298"/>
      <c r="U313" s="298"/>
      <c r="V313" s="298"/>
      <c r="W313" s="298"/>
      <c r="X313" s="298"/>
      <c r="Y313" s="298"/>
      <c r="Z313" s="298"/>
      <c r="AA313" s="298"/>
      <c r="AB313" s="298"/>
      <c r="AC313" s="298"/>
      <c r="AD313" s="298"/>
      <c r="AE313" s="298"/>
      <c r="AF313" s="298"/>
      <c r="AG313" s="298"/>
      <c r="AH313" s="298"/>
      <c r="AI313" s="166">
        <f t="shared" si="8"/>
        <v>0</v>
      </c>
      <c r="AJ313" s="166">
        <f t="shared" si="9"/>
        <v>0</v>
      </c>
      <c r="AK313" s="166"/>
      <c r="AL313" s="230"/>
      <c r="AM313" s="172"/>
    </row>
    <row r="314" spans="1:39" x14ac:dyDescent="0.2">
      <c r="A314" s="170">
        <v>306</v>
      </c>
      <c r="B314" s="147" t="e">
        <f>CONCATENATE(IF($A314="","",VLOOKUP($A314,'İşçi Bilgileri'!$A$2:$D$700,2,FALSE))," ",IF($A314="","",VLOOKUP($A314,'İşçi Bilgileri'!$A$2:$D$700,3,FALSE)))</f>
        <v>#N/A</v>
      </c>
      <c r="C314" s="171" t="e">
        <f>IF($A314="","",VLOOKUP($A314,'İşçi Bilgileri'!$A$2:$D$700,4,FALSE))</f>
        <v>#N/A</v>
      </c>
      <c r="D314" s="298"/>
      <c r="E314" s="298"/>
      <c r="F314" s="298"/>
      <c r="G314" s="298"/>
      <c r="H314" s="298"/>
      <c r="I314" s="298"/>
      <c r="J314" s="298"/>
      <c r="K314" s="298"/>
      <c r="L314" s="298"/>
      <c r="M314" s="298"/>
      <c r="N314" s="298"/>
      <c r="O314" s="298"/>
      <c r="P314" s="298"/>
      <c r="Q314" s="298"/>
      <c r="R314" s="298"/>
      <c r="S314" s="298"/>
      <c r="T314" s="298"/>
      <c r="U314" s="298"/>
      <c r="V314" s="298"/>
      <c r="W314" s="298"/>
      <c r="X314" s="298"/>
      <c r="Y314" s="298"/>
      <c r="Z314" s="298"/>
      <c r="AA314" s="298"/>
      <c r="AB314" s="298"/>
      <c r="AC314" s="298"/>
      <c r="AD314" s="298"/>
      <c r="AE314" s="298"/>
      <c r="AF314" s="298"/>
      <c r="AG314" s="298"/>
      <c r="AH314" s="298"/>
      <c r="AI314" s="166">
        <f t="shared" si="8"/>
        <v>0</v>
      </c>
      <c r="AJ314" s="166">
        <f t="shared" si="9"/>
        <v>0</v>
      </c>
      <c r="AK314" s="166"/>
      <c r="AL314" s="230"/>
      <c r="AM314" s="172"/>
    </row>
    <row r="315" spans="1:39" x14ac:dyDescent="0.2">
      <c r="A315" s="170">
        <v>307</v>
      </c>
      <c r="B315" s="147" t="e">
        <f>CONCATENATE(IF($A315="","",VLOOKUP($A315,'İşçi Bilgileri'!$A$2:$D$700,2,FALSE))," ",IF($A315="","",VLOOKUP($A315,'İşçi Bilgileri'!$A$2:$D$700,3,FALSE)))</f>
        <v>#N/A</v>
      </c>
      <c r="C315" s="171" t="e">
        <f>IF($A315="","",VLOOKUP($A315,'İşçi Bilgileri'!$A$2:$D$700,4,FALSE))</f>
        <v>#N/A</v>
      </c>
      <c r="D315" s="298"/>
      <c r="E315" s="298"/>
      <c r="F315" s="298"/>
      <c r="G315" s="298"/>
      <c r="H315" s="298"/>
      <c r="I315" s="298"/>
      <c r="J315" s="298"/>
      <c r="K315" s="298"/>
      <c r="L315" s="298"/>
      <c r="M315" s="298"/>
      <c r="N315" s="298"/>
      <c r="O315" s="298"/>
      <c r="P315" s="298"/>
      <c r="Q315" s="298"/>
      <c r="R315" s="298"/>
      <c r="S315" s="298"/>
      <c r="T315" s="298"/>
      <c r="U315" s="298"/>
      <c r="V315" s="298"/>
      <c r="W315" s="298"/>
      <c r="X315" s="298"/>
      <c r="Y315" s="298"/>
      <c r="Z315" s="298"/>
      <c r="AA315" s="298"/>
      <c r="AB315" s="298"/>
      <c r="AC315" s="298"/>
      <c r="AD315" s="298"/>
      <c r="AE315" s="298"/>
      <c r="AF315" s="298"/>
      <c r="AG315" s="298"/>
      <c r="AH315" s="298"/>
      <c r="AI315" s="166">
        <f t="shared" si="8"/>
        <v>0</v>
      </c>
      <c r="AJ315" s="166">
        <f t="shared" si="9"/>
        <v>0</v>
      </c>
      <c r="AK315" s="166"/>
      <c r="AL315" s="230"/>
      <c r="AM315" s="172"/>
    </row>
    <row r="316" spans="1:39" x14ac:dyDescent="0.2">
      <c r="A316" s="170">
        <v>308</v>
      </c>
      <c r="B316" s="147" t="e">
        <f>CONCATENATE(IF($A316="","",VLOOKUP($A316,'İşçi Bilgileri'!$A$2:$D$700,2,FALSE))," ",IF($A316="","",VLOOKUP($A316,'İşçi Bilgileri'!$A$2:$D$700,3,FALSE)))</f>
        <v>#N/A</v>
      </c>
      <c r="C316" s="171" t="e">
        <f>IF($A316="","",VLOOKUP($A316,'İşçi Bilgileri'!$A$2:$D$700,4,FALSE))</f>
        <v>#N/A</v>
      </c>
      <c r="D316" s="298"/>
      <c r="E316" s="298"/>
      <c r="F316" s="298"/>
      <c r="G316" s="298"/>
      <c r="H316" s="298"/>
      <c r="I316" s="298"/>
      <c r="J316" s="298"/>
      <c r="K316" s="298"/>
      <c r="L316" s="298"/>
      <c r="M316" s="298"/>
      <c r="N316" s="298"/>
      <c r="O316" s="298"/>
      <c r="P316" s="298"/>
      <c r="Q316" s="298"/>
      <c r="R316" s="298"/>
      <c r="S316" s="298"/>
      <c r="T316" s="298"/>
      <c r="U316" s="298"/>
      <c r="V316" s="298"/>
      <c r="W316" s="298"/>
      <c r="X316" s="298"/>
      <c r="Y316" s="298"/>
      <c r="Z316" s="298"/>
      <c r="AA316" s="298"/>
      <c r="AB316" s="298"/>
      <c r="AC316" s="298"/>
      <c r="AD316" s="298"/>
      <c r="AE316" s="298"/>
      <c r="AF316" s="298"/>
      <c r="AG316" s="298"/>
      <c r="AH316" s="298"/>
      <c r="AI316" s="166">
        <f t="shared" si="8"/>
        <v>0</v>
      </c>
      <c r="AJ316" s="166">
        <f t="shared" si="9"/>
        <v>0</v>
      </c>
      <c r="AK316" s="166"/>
      <c r="AL316" s="230"/>
      <c r="AM316" s="172"/>
    </row>
    <row r="317" spans="1:39" x14ac:dyDescent="0.2">
      <c r="A317" s="170">
        <v>309</v>
      </c>
      <c r="B317" s="147" t="e">
        <f>CONCATENATE(IF($A317="","",VLOOKUP($A317,'İşçi Bilgileri'!$A$2:$D$700,2,FALSE))," ",IF($A317="","",VLOOKUP($A317,'İşçi Bilgileri'!$A$2:$D$700,3,FALSE)))</f>
        <v>#N/A</v>
      </c>
      <c r="C317" s="171" t="e">
        <f>IF($A317="","",VLOOKUP($A317,'İşçi Bilgileri'!$A$2:$D$700,4,FALSE))</f>
        <v>#N/A</v>
      </c>
      <c r="D317" s="298"/>
      <c r="E317" s="298"/>
      <c r="F317" s="298"/>
      <c r="G317" s="298"/>
      <c r="H317" s="298"/>
      <c r="I317" s="298"/>
      <c r="J317" s="298"/>
      <c r="K317" s="298"/>
      <c r="L317" s="298"/>
      <c r="M317" s="298"/>
      <c r="N317" s="298"/>
      <c r="O317" s="298"/>
      <c r="P317" s="298"/>
      <c r="Q317" s="298"/>
      <c r="R317" s="298"/>
      <c r="S317" s="298"/>
      <c r="T317" s="298"/>
      <c r="U317" s="298"/>
      <c r="V317" s="298"/>
      <c r="W317" s="298"/>
      <c r="X317" s="298"/>
      <c r="Y317" s="298"/>
      <c r="Z317" s="298"/>
      <c r="AA317" s="298"/>
      <c r="AB317" s="298"/>
      <c r="AC317" s="298"/>
      <c r="AD317" s="298"/>
      <c r="AE317" s="298"/>
      <c r="AF317" s="298"/>
      <c r="AG317" s="298"/>
      <c r="AH317" s="298"/>
      <c r="AI317" s="166">
        <f t="shared" si="8"/>
        <v>0</v>
      </c>
      <c r="AJ317" s="166">
        <f t="shared" si="9"/>
        <v>0</v>
      </c>
      <c r="AK317" s="166"/>
      <c r="AL317" s="230"/>
      <c r="AM317" s="172"/>
    </row>
    <row r="318" spans="1:39" x14ac:dyDescent="0.2">
      <c r="A318" s="170">
        <v>310</v>
      </c>
      <c r="B318" s="147" t="e">
        <f>CONCATENATE(IF($A318="","",VLOOKUP($A318,'İşçi Bilgileri'!$A$2:$D$700,2,FALSE))," ",IF($A318="","",VLOOKUP($A318,'İşçi Bilgileri'!$A$2:$D$700,3,FALSE)))</f>
        <v>#N/A</v>
      </c>
      <c r="C318" s="171" t="e">
        <f>IF($A318="","",VLOOKUP($A318,'İşçi Bilgileri'!$A$2:$D$700,4,FALSE))</f>
        <v>#N/A</v>
      </c>
      <c r="D318" s="298"/>
      <c r="E318" s="298"/>
      <c r="F318" s="298"/>
      <c r="G318" s="298"/>
      <c r="H318" s="298"/>
      <c r="I318" s="298"/>
      <c r="J318" s="298"/>
      <c r="K318" s="298"/>
      <c r="L318" s="298"/>
      <c r="M318" s="298"/>
      <c r="N318" s="298"/>
      <c r="O318" s="298"/>
      <c r="P318" s="298"/>
      <c r="Q318" s="298"/>
      <c r="R318" s="298"/>
      <c r="S318" s="298"/>
      <c r="T318" s="298"/>
      <c r="U318" s="298"/>
      <c r="V318" s="298"/>
      <c r="W318" s="298"/>
      <c r="X318" s="298"/>
      <c r="Y318" s="298"/>
      <c r="Z318" s="298"/>
      <c r="AA318" s="298"/>
      <c r="AB318" s="298"/>
      <c r="AC318" s="298"/>
      <c r="AD318" s="298"/>
      <c r="AE318" s="298"/>
      <c r="AF318" s="298"/>
      <c r="AG318" s="298"/>
      <c r="AH318" s="298"/>
      <c r="AI318" s="166">
        <f t="shared" si="8"/>
        <v>0</v>
      </c>
      <c r="AJ318" s="166">
        <f t="shared" si="9"/>
        <v>0</v>
      </c>
      <c r="AK318" s="166"/>
      <c r="AL318" s="230"/>
      <c r="AM318" s="172"/>
    </row>
    <row r="319" spans="1:39" x14ac:dyDescent="0.2">
      <c r="A319" s="170">
        <v>311</v>
      </c>
      <c r="B319" s="147" t="e">
        <f>CONCATENATE(IF($A319="","",VLOOKUP($A319,'İşçi Bilgileri'!$A$2:$D$700,2,FALSE))," ",IF($A319="","",VLOOKUP($A319,'İşçi Bilgileri'!$A$2:$D$700,3,FALSE)))</f>
        <v>#N/A</v>
      </c>
      <c r="C319" s="171" t="e">
        <f>IF($A319="","",VLOOKUP($A319,'İşçi Bilgileri'!$A$2:$D$700,4,FALSE))</f>
        <v>#N/A</v>
      </c>
      <c r="D319" s="298"/>
      <c r="E319" s="298"/>
      <c r="F319" s="298"/>
      <c r="G319" s="298"/>
      <c r="H319" s="298"/>
      <c r="I319" s="298"/>
      <c r="J319" s="298"/>
      <c r="K319" s="298"/>
      <c r="L319" s="298"/>
      <c r="M319" s="298"/>
      <c r="N319" s="298"/>
      <c r="O319" s="298"/>
      <c r="P319" s="298"/>
      <c r="Q319" s="298"/>
      <c r="R319" s="298"/>
      <c r="S319" s="298"/>
      <c r="T319" s="298"/>
      <c r="U319" s="298"/>
      <c r="V319" s="298"/>
      <c r="W319" s="298"/>
      <c r="X319" s="298"/>
      <c r="Y319" s="298"/>
      <c r="Z319" s="298"/>
      <c r="AA319" s="298"/>
      <c r="AB319" s="298"/>
      <c r="AC319" s="298"/>
      <c r="AD319" s="298"/>
      <c r="AE319" s="298"/>
      <c r="AF319" s="298"/>
      <c r="AG319" s="298"/>
      <c r="AH319" s="298"/>
      <c r="AI319" s="166">
        <f t="shared" si="8"/>
        <v>0</v>
      </c>
      <c r="AJ319" s="166">
        <f t="shared" si="9"/>
        <v>0</v>
      </c>
      <c r="AK319" s="166"/>
      <c r="AL319" s="230"/>
      <c r="AM319" s="172"/>
    </row>
    <row r="320" spans="1:39" x14ac:dyDescent="0.2">
      <c r="A320" s="170">
        <v>312</v>
      </c>
      <c r="B320" s="147" t="e">
        <f>CONCATENATE(IF($A320="","",VLOOKUP($A320,'İşçi Bilgileri'!$A$2:$D$700,2,FALSE))," ",IF($A320="","",VLOOKUP($A320,'İşçi Bilgileri'!$A$2:$D$700,3,FALSE)))</f>
        <v>#N/A</v>
      </c>
      <c r="C320" s="171" t="e">
        <f>IF($A320="","",VLOOKUP($A320,'İşçi Bilgileri'!$A$2:$D$700,4,FALSE))</f>
        <v>#N/A</v>
      </c>
      <c r="D320" s="298"/>
      <c r="E320" s="298"/>
      <c r="F320" s="298"/>
      <c r="G320" s="298"/>
      <c r="H320" s="298"/>
      <c r="I320" s="298"/>
      <c r="J320" s="298"/>
      <c r="K320" s="298"/>
      <c r="L320" s="298"/>
      <c r="M320" s="298"/>
      <c r="N320" s="298"/>
      <c r="O320" s="298"/>
      <c r="P320" s="298"/>
      <c r="Q320" s="298"/>
      <c r="R320" s="298"/>
      <c r="S320" s="298"/>
      <c r="T320" s="298"/>
      <c r="U320" s="298"/>
      <c r="V320" s="298"/>
      <c r="W320" s="298"/>
      <c r="X320" s="298"/>
      <c r="Y320" s="298"/>
      <c r="Z320" s="298"/>
      <c r="AA320" s="298"/>
      <c r="AB320" s="298"/>
      <c r="AC320" s="298"/>
      <c r="AD320" s="298"/>
      <c r="AE320" s="298"/>
      <c r="AF320" s="298"/>
      <c r="AG320" s="298"/>
      <c r="AH320" s="298"/>
      <c r="AI320" s="166">
        <f t="shared" si="8"/>
        <v>0</v>
      </c>
      <c r="AJ320" s="166">
        <f t="shared" si="9"/>
        <v>0</v>
      </c>
      <c r="AK320" s="166"/>
      <c r="AL320" s="230"/>
      <c r="AM320" s="172"/>
    </row>
    <row r="321" spans="1:39" x14ac:dyDescent="0.2">
      <c r="A321" s="170">
        <v>313</v>
      </c>
      <c r="B321" s="147" t="e">
        <f>CONCATENATE(IF($A321="","",VLOOKUP($A321,'İşçi Bilgileri'!$A$2:$D$700,2,FALSE))," ",IF($A321="","",VLOOKUP($A321,'İşçi Bilgileri'!$A$2:$D$700,3,FALSE)))</f>
        <v>#N/A</v>
      </c>
      <c r="C321" s="171" t="e">
        <f>IF($A321="","",VLOOKUP($A321,'İşçi Bilgileri'!$A$2:$D$700,4,FALSE))</f>
        <v>#N/A</v>
      </c>
      <c r="D321" s="298"/>
      <c r="E321" s="298"/>
      <c r="F321" s="298"/>
      <c r="G321" s="298"/>
      <c r="H321" s="298"/>
      <c r="I321" s="298"/>
      <c r="J321" s="298"/>
      <c r="K321" s="298"/>
      <c r="L321" s="298"/>
      <c r="M321" s="298"/>
      <c r="N321" s="298"/>
      <c r="O321" s="298"/>
      <c r="P321" s="298"/>
      <c r="Q321" s="298"/>
      <c r="R321" s="298"/>
      <c r="S321" s="298"/>
      <c r="T321" s="298"/>
      <c r="U321" s="298"/>
      <c r="V321" s="298"/>
      <c r="W321" s="298"/>
      <c r="X321" s="298"/>
      <c r="Y321" s="298"/>
      <c r="Z321" s="298"/>
      <c r="AA321" s="298"/>
      <c r="AB321" s="298"/>
      <c r="AC321" s="298"/>
      <c r="AD321" s="298"/>
      <c r="AE321" s="298"/>
      <c r="AF321" s="298"/>
      <c r="AG321" s="298"/>
      <c r="AH321" s="298"/>
      <c r="AI321" s="166">
        <f t="shared" si="8"/>
        <v>0</v>
      </c>
      <c r="AJ321" s="166">
        <f t="shared" si="9"/>
        <v>0</v>
      </c>
      <c r="AK321" s="166"/>
      <c r="AL321" s="230"/>
      <c r="AM321" s="172"/>
    </row>
    <row r="322" spans="1:39" x14ac:dyDescent="0.2">
      <c r="A322" s="170">
        <v>314</v>
      </c>
      <c r="B322" s="147" t="e">
        <f>CONCATENATE(IF($A322="","",VLOOKUP($A322,'İşçi Bilgileri'!$A$2:$D$700,2,FALSE))," ",IF($A322="","",VLOOKUP($A322,'İşçi Bilgileri'!$A$2:$D$700,3,FALSE)))</f>
        <v>#N/A</v>
      </c>
      <c r="C322" s="171" t="e">
        <f>IF($A322="","",VLOOKUP($A322,'İşçi Bilgileri'!$A$2:$D$700,4,FALSE))</f>
        <v>#N/A</v>
      </c>
      <c r="D322" s="298"/>
      <c r="E322" s="298"/>
      <c r="F322" s="298"/>
      <c r="G322" s="298"/>
      <c r="H322" s="298"/>
      <c r="I322" s="298"/>
      <c r="J322" s="298"/>
      <c r="K322" s="298"/>
      <c r="L322" s="298"/>
      <c r="M322" s="298"/>
      <c r="N322" s="298"/>
      <c r="O322" s="298"/>
      <c r="P322" s="298"/>
      <c r="Q322" s="298"/>
      <c r="R322" s="298"/>
      <c r="S322" s="298"/>
      <c r="T322" s="298"/>
      <c r="U322" s="298"/>
      <c r="V322" s="298"/>
      <c r="W322" s="298"/>
      <c r="X322" s="298"/>
      <c r="Y322" s="298"/>
      <c r="Z322" s="298"/>
      <c r="AA322" s="298"/>
      <c r="AB322" s="298"/>
      <c r="AC322" s="298"/>
      <c r="AD322" s="298"/>
      <c r="AE322" s="298"/>
      <c r="AF322" s="298"/>
      <c r="AG322" s="298"/>
      <c r="AH322" s="298"/>
      <c r="AI322" s="166">
        <f t="shared" si="8"/>
        <v>0</v>
      </c>
      <c r="AJ322" s="166">
        <f t="shared" si="9"/>
        <v>0</v>
      </c>
      <c r="AK322" s="166"/>
      <c r="AL322" s="230"/>
      <c r="AM322" s="172"/>
    </row>
    <row r="323" spans="1:39" x14ac:dyDescent="0.2">
      <c r="A323" s="170">
        <v>315</v>
      </c>
      <c r="B323" s="147" t="e">
        <f>CONCATENATE(IF($A323="","",VLOOKUP($A323,'İşçi Bilgileri'!$A$2:$D$700,2,FALSE))," ",IF($A323="","",VLOOKUP($A323,'İşçi Bilgileri'!$A$2:$D$700,3,FALSE)))</f>
        <v>#N/A</v>
      </c>
      <c r="C323" s="171" t="e">
        <f>IF($A323="","",VLOOKUP($A323,'İşçi Bilgileri'!$A$2:$D$700,4,FALSE))</f>
        <v>#N/A</v>
      </c>
      <c r="D323" s="298"/>
      <c r="E323" s="298"/>
      <c r="F323" s="298"/>
      <c r="G323" s="298"/>
      <c r="H323" s="298"/>
      <c r="I323" s="298"/>
      <c r="J323" s="298"/>
      <c r="K323" s="298"/>
      <c r="L323" s="298"/>
      <c r="M323" s="298"/>
      <c r="N323" s="298"/>
      <c r="O323" s="298"/>
      <c r="P323" s="298"/>
      <c r="Q323" s="298"/>
      <c r="R323" s="298"/>
      <c r="S323" s="298"/>
      <c r="T323" s="298"/>
      <c r="U323" s="298"/>
      <c r="V323" s="298"/>
      <c r="W323" s="298"/>
      <c r="X323" s="298"/>
      <c r="Y323" s="298"/>
      <c r="Z323" s="298"/>
      <c r="AA323" s="298"/>
      <c r="AB323" s="298"/>
      <c r="AC323" s="298"/>
      <c r="AD323" s="298"/>
      <c r="AE323" s="298"/>
      <c r="AF323" s="298"/>
      <c r="AG323" s="298"/>
      <c r="AH323" s="298"/>
      <c r="AI323" s="166">
        <f t="shared" si="8"/>
        <v>0</v>
      </c>
      <c r="AJ323" s="166">
        <f t="shared" si="9"/>
        <v>0</v>
      </c>
      <c r="AK323" s="166"/>
      <c r="AL323" s="230"/>
      <c r="AM323" s="172"/>
    </row>
    <row r="324" spans="1:39" x14ac:dyDescent="0.2">
      <c r="A324" s="170">
        <v>316</v>
      </c>
      <c r="B324" s="147" t="e">
        <f>CONCATENATE(IF($A324="","",VLOOKUP($A324,'İşçi Bilgileri'!$A$2:$D$700,2,FALSE))," ",IF($A324="","",VLOOKUP($A324,'İşçi Bilgileri'!$A$2:$D$700,3,FALSE)))</f>
        <v>#N/A</v>
      </c>
      <c r="C324" s="171" t="e">
        <f>IF($A324="","",VLOOKUP($A324,'İşçi Bilgileri'!$A$2:$D$700,4,FALSE))</f>
        <v>#N/A</v>
      </c>
      <c r="D324" s="298"/>
      <c r="E324" s="298"/>
      <c r="F324" s="298"/>
      <c r="G324" s="298"/>
      <c r="H324" s="298"/>
      <c r="I324" s="298"/>
      <c r="J324" s="298"/>
      <c r="K324" s="298"/>
      <c r="L324" s="298"/>
      <c r="M324" s="298"/>
      <c r="N324" s="298"/>
      <c r="O324" s="298"/>
      <c r="P324" s="298"/>
      <c r="Q324" s="298"/>
      <c r="R324" s="298"/>
      <c r="S324" s="298"/>
      <c r="T324" s="298"/>
      <c r="U324" s="298"/>
      <c r="V324" s="298"/>
      <c r="W324" s="298"/>
      <c r="X324" s="298"/>
      <c r="Y324" s="298"/>
      <c r="Z324" s="298"/>
      <c r="AA324" s="298"/>
      <c r="AB324" s="298"/>
      <c r="AC324" s="298"/>
      <c r="AD324" s="298"/>
      <c r="AE324" s="298"/>
      <c r="AF324" s="298"/>
      <c r="AG324" s="298"/>
      <c r="AH324" s="298"/>
      <c r="AI324" s="166">
        <f t="shared" si="8"/>
        <v>0</v>
      </c>
      <c r="AJ324" s="166">
        <f t="shared" si="9"/>
        <v>0</v>
      </c>
      <c r="AK324" s="166"/>
      <c r="AL324" s="230"/>
      <c r="AM324" s="172"/>
    </row>
    <row r="325" spans="1:39" x14ac:dyDescent="0.2">
      <c r="A325" s="170">
        <v>317</v>
      </c>
      <c r="B325" s="147" t="e">
        <f>CONCATENATE(IF($A325="","",VLOOKUP($A325,'İşçi Bilgileri'!$A$2:$D$700,2,FALSE))," ",IF($A325="","",VLOOKUP($A325,'İşçi Bilgileri'!$A$2:$D$700,3,FALSE)))</f>
        <v>#N/A</v>
      </c>
      <c r="C325" s="171" t="e">
        <f>IF($A325="","",VLOOKUP($A325,'İşçi Bilgileri'!$A$2:$D$700,4,FALSE))</f>
        <v>#N/A</v>
      </c>
      <c r="D325" s="298"/>
      <c r="E325" s="298"/>
      <c r="F325" s="298"/>
      <c r="G325" s="298"/>
      <c r="H325" s="298"/>
      <c r="I325" s="298"/>
      <c r="J325" s="298"/>
      <c r="K325" s="298"/>
      <c r="L325" s="298"/>
      <c r="M325" s="298"/>
      <c r="N325" s="298"/>
      <c r="O325" s="298"/>
      <c r="P325" s="298"/>
      <c r="Q325" s="298"/>
      <c r="R325" s="298"/>
      <c r="S325" s="298"/>
      <c r="T325" s="298"/>
      <c r="U325" s="298"/>
      <c r="V325" s="298"/>
      <c r="W325" s="298"/>
      <c r="X325" s="298"/>
      <c r="Y325" s="298"/>
      <c r="Z325" s="298"/>
      <c r="AA325" s="298"/>
      <c r="AB325" s="298"/>
      <c r="AC325" s="298"/>
      <c r="AD325" s="298"/>
      <c r="AE325" s="298"/>
      <c r="AF325" s="298"/>
      <c r="AG325" s="298"/>
      <c r="AH325" s="298"/>
      <c r="AI325" s="166">
        <f t="shared" si="8"/>
        <v>0</v>
      </c>
      <c r="AJ325" s="166">
        <f t="shared" si="9"/>
        <v>0</v>
      </c>
      <c r="AK325" s="166"/>
      <c r="AL325" s="230"/>
      <c r="AM325" s="172"/>
    </row>
    <row r="326" spans="1:39" x14ac:dyDescent="0.2">
      <c r="A326" s="170">
        <v>318</v>
      </c>
      <c r="B326" s="147" t="e">
        <f>CONCATENATE(IF($A326="","",VLOOKUP($A326,'İşçi Bilgileri'!$A$2:$D$700,2,FALSE))," ",IF($A326="","",VLOOKUP($A326,'İşçi Bilgileri'!$A$2:$D$700,3,FALSE)))</f>
        <v>#N/A</v>
      </c>
      <c r="C326" s="171" t="e">
        <f>IF($A326="","",VLOOKUP($A326,'İşçi Bilgileri'!$A$2:$D$700,4,FALSE))</f>
        <v>#N/A</v>
      </c>
      <c r="D326" s="298"/>
      <c r="E326" s="298"/>
      <c r="F326" s="298"/>
      <c r="G326" s="298"/>
      <c r="H326" s="298"/>
      <c r="I326" s="298"/>
      <c r="J326" s="298"/>
      <c r="K326" s="298"/>
      <c r="L326" s="298"/>
      <c r="M326" s="298"/>
      <c r="N326" s="298"/>
      <c r="O326" s="298"/>
      <c r="P326" s="298"/>
      <c r="Q326" s="298"/>
      <c r="R326" s="298"/>
      <c r="S326" s="298"/>
      <c r="T326" s="298"/>
      <c r="U326" s="298"/>
      <c r="V326" s="298"/>
      <c r="W326" s="298"/>
      <c r="X326" s="298"/>
      <c r="Y326" s="298"/>
      <c r="Z326" s="298"/>
      <c r="AA326" s="298"/>
      <c r="AB326" s="298"/>
      <c r="AC326" s="298"/>
      <c r="AD326" s="298"/>
      <c r="AE326" s="298"/>
      <c r="AF326" s="298"/>
      <c r="AG326" s="298"/>
      <c r="AH326" s="298"/>
      <c r="AI326" s="166">
        <f t="shared" si="8"/>
        <v>0</v>
      </c>
      <c r="AJ326" s="166">
        <f t="shared" si="9"/>
        <v>0</v>
      </c>
      <c r="AK326" s="166"/>
      <c r="AL326" s="230"/>
      <c r="AM326" s="172"/>
    </row>
    <row r="327" spans="1:39" x14ac:dyDescent="0.2">
      <c r="A327" s="170">
        <v>319</v>
      </c>
      <c r="B327" s="147" t="e">
        <f>CONCATENATE(IF($A327="","",VLOOKUP($A327,'İşçi Bilgileri'!$A$2:$D$700,2,FALSE))," ",IF($A327="","",VLOOKUP($A327,'İşçi Bilgileri'!$A$2:$D$700,3,FALSE)))</f>
        <v>#N/A</v>
      </c>
      <c r="C327" s="171" t="e">
        <f>IF($A327="","",VLOOKUP($A327,'İşçi Bilgileri'!$A$2:$D$700,4,FALSE))</f>
        <v>#N/A</v>
      </c>
      <c r="D327" s="298"/>
      <c r="E327" s="298"/>
      <c r="F327" s="298"/>
      <c r="G327" s="298"/>
      <c r="H327" s="298"/>
      <c r="I327" s="298"/>
      <c r="J327" s="298"/>
      <c r="K327" s="298"/>
      <c r="L327" s="298"/>
      <c r="M327" s="298"/>
      <c r="N327" s="298"/>
      <c r="O327" s="298"/>
      <c r="P327" s="298"/>
      <c r="Q327" s="298"/>
      <c r="R327" s="298"/>
      <c r="S327" s="298"/>
      <c r="T327" s="298"/>
      <c r="U327" s="298"/>
      <c r="V327" s="298"/>
      <c r="W327" s="298"/>
      <c r="X327" s="298"/>
      <c r="Y327" s="298"/>
      <c r="Z327" s="298"/>
      <c r="AA327" s="298"/>
      <c r="AB327" s="298"/>
      <c r="AC327" s="298"/>
      <c r="AD327" s="298"/>
      <c r="AE327" s="298"/>
      <c r="AF327" s="298"/>
      <c r="AG327" s="298"/>
      <c r="AH327" s="298"/>
      <c r="AI327" s="166">
        <f t="shared" si="8"/>
        <v>0</v>
      </c>
      <c r="AJ327" s="166">
        <f t="shared" si="9"/>
        <v>0</v>
      </c>
      <c r="AK327" s="166"/>
      <c r="AL327" s="230"/>
      <c r="AM327" s="172"/>
    </row>
    <row r="328" spans="1:39" x14ac:dyDescent="0.2">
      <c r="A328" s="170">
        <v>320</v>
      </c>
      <c r="B328" s="147" t="e">
        <f>CONCATENATE(IF($A328="","",VLOOKUP($A328,'İşçi Bilgileri'!$A$2:$D$700,2,FALSE))," ",IF($A328="","",VLOOKUP($A328,'İşçi Bilgileri'!$A$2:$D$700,3,FALSE)))</f>
        <v>#N/A</v>
      </c>
      <c r="C328" s="171" t="e">
        <f>IF($A328="","",VLOOKUP($A328,'İşçi Bilgileri'!$A$2:$D$700,4,FALSE))</f>
        <v>#N/A</v>
      </c>
      <c r="D328" s="298"/>
      <c r="E328" s="298"/>
      <c r="F328" s="298"/>
      <c r="G328" s="298"/>
      <c r="H328" s="298"/>
      <c r="I328" s="298"/>
      <c r="J328" s="298"/>
      <c r="K328" s="298"/>
      <c r="L328" s="298"/>
      <c r="M328" s="298"/>
      <c r="N328" s="298"/>
      <c r="O328" s="298"/>
      <c r="P328" s="298"/>
      <c r="Q328" s="298"/>
      <c r="R328" s="298"/>
      <c r="S328" s="298"/>
      <c r="T328" s="298"/>
      <c r="U328" s="298"/>
      <c r="V328" s="298"/>
      <c r="W328" s="298"/>
      <c r="X328" s="298"/>
      <c r="Y328" s="298"/>
      <c r="Z328" s="298"/>
      <c r="AA328" s="298"/>
      <c r="AB328" s="298"/>
      <c r="AC328" s="298"/>
      <c r="AD328" s="298"/>
      <c r="AE328" s="298"/>
      <c r="AF328" s="298"/>
      <c r="AG328" s="298"/>
      <c r="AH328" s="298"/>
      <c r="AI328" s="166">
        <f t="shared" si="8"/>
        <v>0</v>
      </c>
      <c r="AJ328" s="166">
        <f t="shared" si="9"/>
        <v>0</v>
      </c>
      <c r="AK328" s="166"/>
      <c r="AL328" s="230"/>
      <c r="AM328" s="172"/>
    </row>
    <row r="329" spans="1:39" x14ac:dyDescent="0.2">
      <c r="A329" s="170">
        <v>321</v>
      </c>
      <c r="B329" s="147" t="e">
        <f>CONCATENATE(IF($A329="","",VLOOKUP($A329,'İşçi Bilgileri'!$A$2:$D$700,2,FALSE))," ",IF($A329="","",VLOOKUP($A329,'İşçi Bilgileri'!$A$2:$D$700,3,FALSE)))</f>
        <v>#N/A</v>
      </c>
      <c r="C329" s="171" t="e">
        <f>IF($A329="","",VLOOKUP($A329,'İşçi Bilgileri'!$A$2:$D$700,4,FALSE))</f>
        <v>#N/A</v>
      </c>
      <c r="D329" s="298"/>
      <c r="E329" s="298"/>
      <c r="F329" s="298"/>
      <c r="G329" s="298"/>
      <c r="H329" s="298"/>
      <c r="I329" s="298"/>
      <c r="J329" s="298"/>
      <c r="K329" s="298"/>
      <c r="L329" s="298"/>
      <c r="M329" s="298"/>
      <c r="N329" s="298"/>
      <c r="O329" s="298"/>
      <c r="P329" s="298"/>
      <c r="Q329" s="298"/>
      <c r="R329" s="298"/>
      <c r="S329" s="298"/>
      <c r="T329" s="298"/>
      <c r="U329" s="298"/>
      <c r="V329" s="298"/>
      <c r="W329" s="298"/>
      <c r="X329" s="298"/>
      <c r="Y329" s="298"/>
      <c r="Z329" s="298"/>
      <c r="AA329" s="298"/>
      <c r="AB329" s="298"/>
      <c r="AC329" s="298"/>
      <c r="AD329" s="298"/>
      <c r="AE329" s="298"/>
      <c r="AF329" s="298"/>
      <c r="AG329" s="298"/>
      <c r="AH329" s="298"/>
      <c r="AI329" s="166">
        <f t="shared" si="8"/>
        <v>0</v>
      </c>
      <c r="AJ329" s="166">
        <f t="shared" si="9"/>
        <v>0</v>
      </c>
      <c r="AK329" s="166"/>
      <c r="AL329" s="230"/>
      <c r="AM329" s="172"/>
    </row>
    <row r="330" spans="1:39" x14ac:dyDescent="0.2">
      <c r="A330" s="170">
        <v>322</v>
      </c>
      <c r="B330" s="147" t="e">
        <f>CONCATENATE(IF($A330="","",VLOOKUP($A330,'İşçi Bilgileri'!$A$2:$D$700,2,FALSE))," ",IF($A330="","",VLOOKUP($A330,'İşçi Bilgileri'!$A$2:$D$700,3,FALSE)))</f>
        <v>#N/A</v>
      </c>
      <c r="C330" s="171" t="e">
        <f>IF($A330="","",VLOOKUP($A330,'İşçi Bilgileri'!$A$2:$D$700,4,FALSE))</f>
        <v>#N/A</v>
      </c>
      <c r="D330" s="298"/>
      <c r="E330" s="298"/>
      <c r="F330" s="298"/>
      <c r="G330" s="298"/>
      <c r="H330" s="298"/>
      <c r="I330" s="298"/>
      <c r="J330" s="298"/>
      <c r="K330" s="298"/>
      <c r="L330" s="298"/>
      <c r="M330" s="298"/>
      <c r="N330" s="298"/>
      <c r="O330" s="298"/>
      <c r="P330" s="298"/>
      <c r="Q330" s="298"/>
      <c r="R330" s="298"/>
      <c r="S330" s="298"/>
      <c r="T330" s="298"/>
      <c r="U330" s="298"/>
      <c r="V330" s="298"/>
      <c r="W330" s="298"/>
      <c r="X330" s="298"/>
      <c r="Y330" s="298"/>
      <c r="Z330" s="298"/>
      <c r="AA330" s="298"/>
      <c r="AB330" s="298"/>
      <c r="AC330" s="298"/>
      <c r="AD330" s="298"/>
      <c r="AE330" s="298"/>
      <c r="AF330" s="298"/>
      <c r="AG330" s="298"/>
      <c r="AH330" s="298"/>
      <c r="AI330" s="166">
        <f t="shared" ref="AI330:AI393" si="10">SUM(COUNTIF(D330:AH330,"İ"),COUNTIF(D330:AH330,"R"),COUNTIF(D330:AH330,"D"),COUNTIF(D330:AH330,"C"))</f>
        <v>0</v>
      </c>
      <c r="AJ330" s="166">
        <f t="shared" ref="AJ330:AJ393" si="11">IF(COUNTIF(D330:AH330,"X")=$AL$6,30,COUNTIF(D330:AH330,"X"))</f>
        <v>0</v>
      </c>
      <c r="AK330" s="166"/>
      <c r="AL330" s="230"/>
      <c r="AM330" s="172"/>
    </row>
    <row r="331" spans="1:39" x14ac:dyDescent="0.2">
      <c r="A331" s="170">
        <v>323</v>
      </c>
      <c r="B331" s="147" t="e">
        <f>CONCATENATE(IF($A331="","",VLOOKUP($A331,'İşçi Bilgileri'!$A$2:$D$700,2,FALSE))," ",IF($A331="","",VLOOKUP($A331,'İşçi Bilgileri'!$A$2:$D$700,3,FALSE)))</f>
        <v>#N/A</v>
      </c>
      <c r="C331" s="171" t="e">
        <f>IF($A331="","",VLOOKUP($A331,'İşçi Bilgileri'!$A$2:$D$700,4,FALSE))</f>
        <v>#N/A</v>
      </c>
      <c r="D331" s="298"/>
      <c r="E331" s="298"/>
      <c r="F331" s="298"/>
      <c r="G331" s="298"/>
      <c r="H331" s="298"/>
      <c r="I331" s="298"/>
      <c r="J331" s="298"/>
      <c r="K331" s="298"/>
      <c r="L331" s="298"/>
      <c r="M331" s="298"/>
      <c r="N331" s="298"/>
      <c r="O331" s="298"/>
      <c r="P331" s="298"/>
      <c r="Q331" s="298"/>
      <c r="R331" s="298"/>
      <c r="S331" s="298"/>
      <c r="T331" s="298"/>
      <c r="U331" s="298"/>
      <c r="V331" s="298"/>
      <c r="W331" s="298"/>
      <c r="X331" s="298"/>
      <c r="Y331" s="298"/>
      <c r="Z331" s="298"/>
      <c r="AA331" s="298"/>
      <c r="AB331" s="298"/>
      <c r="AC331" s="298"/>
      <c r="AD331" s="298"/>
      <c r="AE331" s="298"/>
      <c r="AF331" s="298"/>
      <c r="AG331" s="298"/>
      <c r="AH331" s="298"/>
      <c r="AI331" s="166">
        <f t="shared" si="10"/>
        <v>0</v>
      </c>
      <c r="AJ331" s="166">
        <f t="shared" si="11"/>
        <v>0</v>
      </c>
      <c r="AK331" s="166"/>
      <c r="AL331" s="230"/>
      <c r="AM331" s="172"/>
    </row>
    <row r="332" spans="1:39" x14ac:dyDescent="0.2">
      <c r="A332" s="170">
        <v>324</v>
      </c>
      <c r="B332" s="147" t="e">
        <f>CONCATENATE(IF($A332="","",VLOOKUP($A332,'İşçi Bilgileri'!$A$2:$D$700,2,FALSE))," ",IF($A332="","",VLOOKUP($A332,'İşçi Bilgileri'!$A$2:$D$700,3,FALSE)))</f>
        <v>#N/A</v>
      </c>
      <c r="C332" s="171" t="e">
        <f>IF($A332="","",VLOOKUP($A332,'İşçi Bilgileri'!$A$2:$D$700,4,FALSE))</f>
        <v>#N/A</v>
      </c>
      <c r="D332" s="298"/>
      <c r="E332" s="298"/>
      <c r="F332" s="298"/>
      <c r="G332" s="298"/>
      <c r="H332" s="298"/>
      <c r="I332" s="298"/>
      <c r="J332" s="298"/>
      <c r="K332" s="298"/>
      <c r="L332" s="298"/>
      <c r="M332" s="298"/>
      <c r="N332" s="298"/>
      <c r="O332" s="298"/>
      <c r="P332" s="298"/>
      <c r="Q332" s="298"/>
      <c r="R332" s="298"/>
      <c r="S332" s="298"/>
      <c r="T332" s="298"/>
      <c r="U332" s="298"/>
      <c r="V332" s="298"/>
      <c r="W332" s="298"/>
      <c r="X332" s="298"/>
      <c r="Y332" s="298"/>
      <c r="Z332" s="298"/>
      <c r="AA332" s="298"/>
      <c r="AB332" s="298"/>
      <c r="AC332" s="298"/>
      <c r="AD332" s="298"/>
      <c r="AE332" s="298"/>
      <c r="AF332" s="298"/>
      <c r="AG332" s="298"/>
      <c r="AH332" s="298"/>
      <c r="AI332" s="166">
        <f t="shared" si="10"/>
        <v>0</v>
      </c>
      <c r="AJ332" s="166">
        <f t="shared" si="11"/>
        <v>0</v>
      </c>
      <c r="AK332" s="166"/>
      <c r="AL332" s="230"/>
      <c r="AM332" s="172"/>
    </row>
    <row r="333" spans="1:39" x14ac:dyDescent="0.2">
      <c r="A333" s="170">
        <v>325</v>
      </c>
      <c r="B333" s="147" t="e">
        <f>CONCATENATE(IF($A333="","",VLOOKUP($A333,'İşçi Bilgileri'!$A$2:$D$700,2,FALSE))," ",IF($A333="","",VLOOKUP($A333,'İşçi Bilgileri'!$A$2:$D$700,3,FALSE)))</f>
        <v>#N/A</v>
      </c>
      <c r="C333" s="171" t="e">
        <f>IF($A333="","",VLOOKUP($A333,'İşçi Bilgileri'!$A$2:$D$700,4,FALSE))</f>
        <v>#N/A</v>
      </c>
      <c r="D333" s="298"/>
      <c r="E333" s="298"/>
      <c r="F333" s="298"/>
      <c r="G333" s="298"/>
      <c r="H333" s="298"/>
      <c r="I333" s="298"/>
      <c r="J333" s="298"/>
      <c r="K333" s="298"/>
      <c r="L333" s="298"/>
      <c r="M333" s="298"/>
      <c r="N333" s="298"/>
      <c r="O333" s="298"/>
      <c r="P333" s="298"/>
      <c r="Q333" s="298"/>
      <c r="R333" s="298"/>
      <c r="S333" s="298"/>
      <c r="T333" s="298"/>
      <c r="U333" s="298"/>
      <c r="V333" s="298"/>
      <c r="W333" s="298"/>
      <c r="X333" s="298"/>
      <c r="Y333" s="298"/>
      <c r="Z333" s="298"/>
      <c r="AA333" s="298"/>
      <c r="AB333" s="298"/>
      <c r="AC333" s="298"/>
      <c r="AD333" s="298"/>
      <c r="AE333" s="298"/>
      <c r="AF333" s="298"/>
      <c r="AG333" s="298"/>
      <c r="AH333" s="298"/>
      <c r="AI333" s="166">
        <f t="shared" si="10"/>
        <v>0</v>
      </c>
      <c r="AJ333" s="166">
        <f t="shared" si="11"/>
        <v>0</v>
      </c>
      <c r="AK333" s="166"/>
      <c r="AL333" s="230"/>
      <c r="AM333" s="172"/>
    </row>
    <row r="334" spans="1:39" x14ac:dyDescent="0.2">
      <c r="A334" s="170">
        <v>326</v>
      </c>
      <c r="B334" s="147" t="e">
        <f>CONCATENATE(IF($A334="","",VLOOKUP($A334,'İşçi Bilgileri'!$A$2:$D$700,2,FALSE))," ",IF($A334="","",VLOOKUP($A334,'İşçi Bilgileri'!$A$2:$D$700,3,FALSE)))</f>
        <v>#N/A</v>
      </c>
      <c r="C334" s="171" t="e">
        <f>IF($A334="","",VLOOKUP($A334,'İşçi Bilgileri'!$A$2:$D$700,4,FALSE))</f>
        <v>#N/A</v>
      </c>
      <c r="D334" s="298"/>
      <c r="E334" s="298"/>
      <c r="F334" s="298"/>
      <c r="G334" s="298"/>
      <c r="H334" s="298"/>
      <c r="I334" s="298"/>
      <c r="J334" s="298"/>
      <c r="K334" s="298"/>
      <c r="L334" s="298"/>
      <c r="M334" s="298"/>
      <c r="N334" s="298"/>
      <c r="O334" s="298"/>
      <c r="P334" s="298"/>
      <c r="Q334" s="298"/>
      <c r="R334" s="298"/>
      <c r="S334" s="298"/>
      <c r="T334" s="298"/>
      <c r="U334" s="298"/>
      <c r="V334" s="298"/>
      <c r="W334" s="298"/>
      <c r="X334" s="298"/>
      <c r="Y334" s="298"/>
      <c r="Z334" s="298"/>
      <c r="AA334" s="298"/>
      <c r="AB334" s="298"/>
      <c r="AC334" s="298"/>
      <c r="AD334" s="298"/>
      <c r="AE334" s="298"/>
      <c r="AF334" s="298"/>
      <c r="AG334" s="298"/>
      <c r="AH334" s="298"/>
      <c r="AI334" s="166">
        <f t="shared" si="10"/>
        <v>0</v>
      </c>
      <c r="AJ334" s="166">
        <f t="shared" si="11"/>
        <v>0</v>
      </c>
      <c r="AK334" s="166"/>
      <c r="AL334" s="230"/>
      <c r="AM334" s="172"/>
    </row>
    <row r="335" spans="1:39" x14ac:dyDescent="0.2">
      <c r="A335" s="170">
        <v>327</v>
      </c>
      <c r="B335" s="147" t="e">
        <f>CONCATENATE(IF($A335="","",VLOOKUP($A335,'İşçi Bilgileri'!$A$2:$D$700,2,FALSE))," ",IF($A335="","",VLOOKUP($A335,'İşçi Bilgileri'!$A$2:$D$700,3,FALSE)))</f>
        <v>#N/A</v>
      </c>
      <c r="C335" s="171" t="e">
        <f>IF($A335="","",VLOOKUP($A335,'İşçi Bilgileri'!$A$2:$D$700,4,FALSE))</f>
        <v>#N/A</v>
      </c>
      <c r="D335" s="298"/>
      <c r="E335" s="298"/>
      <c r="F335" s="298"/>
      <c r="G335" s="298"/>
      <c r="H335" s="298"/>
      <c r="I335" s="298"/>
      <c r="J335" s="298"/>
      <c r="K335" s="298"/>
      <c r="L335" s="298"/>
      <c r="M335" s="298"/>
      <c r="N335" s="298"/>
      <c r="O335" s="298"/>
      <c r="P335" s="298"/>
      <c r="Q335" s="298"/>
      <c r="R335" s="298"/>
      <c r="S335" s="298"/>
      <c r="T335" s="298"/>
      <c r="U335" s="298"/>
      <c r="V335" s="298"/>
      <c r="W335" s="298"/>
      <c r="X335" s="298"/>
      <c r="Y335" s="298"/>
      <c r="Z335" s="298"/>
      <c r="AA335" s="298"/>
      <c r="AB335" s="298"/>
      <c r="AC335" s="298"/>
      <c r="AD335" s="298"/>
      <c r="AE335" s="298"/>
      <c r="AF335" s="298"/>
      <c r="AG335" s="298"/>
      <c r="AH335" s="298"/>
      <c r="AI335" s="166">
        <f t="shared" si="10"/>
        <v>0</v>
      </c>
      <c r="AJ335" s="166">
        <f t="shared" si="11"/>
        <v>0</v>
      </c>
      <c r="AK335" s="166"/>
      <c r="AL335" s="230"/>
      <c r="AM335" s="172"/>
    </row>
    <row r="336" spans="1:39" x14ac:dyDescent="0.2">
      <c r="A336" s="170">
        <v>328</v>
      </c>
      <c r="B336" s="147" t="e">
        <f>CONCATENATE(IF($A336="","",VLOOKUP($A336,'İşçi Bilgileri'!$A$2:$D$700,2,FALSE))," ",IF($A336="","",VLOOKUP($A336,'İşçi Bilgileri'!$A$2:$D$700,3,FALSE)))</f>
        <v>#N/A</v>
      </c>
      <c r="C336" s="171" t="e">
        <f>IF($A336="","",VLOOKUP($A336,'İşçi Bilgileri'!$A$2:$D$700,4,FALSE))</f>
        <v>#N/A</v>
      </c>
      <c r="D336" s="298"/>
      <c r="E336" s="298"/>
      <c r="F336" s="298"/>
      <c r="G336" s="298"/>
      <c r="H336" s="298"/>
      <c r="I336" s="298"/>
      <c r="J336" s="298"/>
      <c r="K336" s="298"/>
      <c r="L336" s="298"/>
      <c r="M336" s="298"/>
      <c r="N336" s="298"/>
      <c r="O336" s="298"/>
      <c r="P336" s="298"/>
      <c r="Q336" s="298"/>
      <c r="R336" s="298"/>
      <c r="S336" s="298"/>
      <c r="T336" s="298"/>
      <c r="U336" s="298"/>
      <c r="V336" s="298"/>
      <c r="W336" s="298"/>
      <c r="X336" s="298"/>
      <c r="Y336" s="298"/>
      <c r="Z336" s="298"/>
      <c r="AA336" s="298"/>
      <c r="AB336" s="298"/>
      <c r="AC336" s="298"/>
      <c r="AD336" s="298"/>
      <c r="AE336" s="298"/>
      <c r="AF336" s="298"/>
      <c r="AG336" s="298"/>
      <c r="AH336" s="298"/>
      <c r="AI336" s="166">
        <f t="shared" si="10"/>
        <v>0</v>
      </c>
      <c r="AJ336" s="166">
        <f t="shared" si="11"/>
        <v>0</v>
      </c>
      <c r="AK336" s="166"/>
      <c r="AL336" s="230"/>
      <c r="AM336" s="172"/>
    </row>
    <row r="337" spans="1:39" x14ac:dyDescent="0.2">
      <c r="A337" s="170">
        <v>329</v>
      </c>
      <c r="B337" s="147" t="e">
        <f>CONCATENATE(IF($A337="","",VLOOKUP($A337,'İşçi Bilgileri'!$A$2:$D$700,2,FALSE))," ",IF($A337="","",VLOOKUP($A337,'İşçi Bilgileri'!$A$2:$D$700,3,FALSE)))</f>
        <v>#N/A</v>
      </c>
      <c r="C337" s="171" t="e">
        <f>IF($A337="","",VLOOKUP($A337,'İşçi Bilgileri'!$A$2:$D$700,4,FALSE))</f>
        <v>#N/A</v>
      </c>
      <c r="D337" s="298"/>
      <c r="E337" s="298"/>
      <c r="F337" s="298"/>
      <c r="G337" s="298"/>
      <c r="H337" s="298"/>
      <c r="I337" s="298"/>
      <c r="J337" s="298"/>
      <c r="K337" s="298"/>
      <c r="L337" s="298"/>
      <c r="M337" s="298"/>
      <c r="N337" s="298"/>
      <c r="O337" s="298"/>
      <c r="P337" s="298"/>
      <c r="Q337" s="298"/>
      <c r="R337" s="298"/>
      <c r="S337" s="298"/>
      <c r="T337" s="298"/>
      <c r="U337" s="298"/>
      <c r="V337" s="298"/>
      <c r="W337" s="298"/>
      <c r="X337" s="298"/>
      <c r="Y337" s="298"/>
      <c r="Z337" s="298"/>
      <c r="AA337" s="298"/>
      <c r="AB337" s="298"/>
      <c r="AC337" s="298"/>
      <c r="AD337" s="298"/>
      <c r="AE337" s="298"/>
      <c r="AF337" s="298"/>
      <c r="AG337" s="298"/>
      <c r="AH337" s="298"/>
      <c r="AI337" s="166">
        <f t="shared" si="10"/>
        <v>0</v>
      </c>
      <c r="AJ337" s="166">
        <f t="shared" si="11"/>
        <v>0</v>
      </c>
      <c r="AK337" s="166"/>
      <c r="AL337" s="230"/>
      <c r="AM337" s="172"/>
    </row>
    <row r="338" spans="1:39" x14ac:dyDescent="0.2">
      <c r="A338" s="170">
        <v>330</v>
      </c>
      <c r="B338" s="147" t="e">
        <f>CONCATENATE(IF($A338="","",VLOOKUP($A338,'İşçi Bilgileri'!$A$2:$D$700,2,FALSE))," ",IF($A338="","",VLOOKUP($A338,'İşçi Bilgileri'!$A$2:$D$700,3,FALSE)))</f>
        <v>#N/A</v>
      </c>
      <c r="C338" s="171" t="e">
        <f>IF($A338="","",VLOOKUP($A338,'İşçi Bilgileri'!$A$2:$D$700,4,FALSE))</f>
        <v>#N/A</v>
      </c>
      <c r="D338" s="298"/>
      <c r="E338" s="298"/>
      <c r="F338" s="298"/>
      <c r="G338" s="298"/>
      <c r="H338" s="298"/>
      <c r="I338" s="298"/>
      <c r="J338" s="298"/>
      <c r="K338" s="298"/>
      <c r="L338" s="298"/>
      <c r="M338" s="298"/>
      <c r="N338" s="298"/>
      <c r="O338" s="298"/>
      <c r="P338" s="298"/>
      <c r="Q338" s="298"/>
      <c r="R338" s="298"/>
      <c r="S338" s="298"/>
      <c r="T338" s="298"/>
      <c r="U338" s="298"/>
      <c r="V338" s="298"/>
      <c r="W338" s="298"/>
      <c r="X338" s="298"/>
      <c r="Y338" s="298"/>
      <c r="Z338" s="298"/>
      <c r="AA338" s="298"/>
      <c r="AB338" s="298"/>
      <c r="AC338" s="298"/>
      <c r="AD338" s="298"/>
      <c r="AE338" s="298"/>
      <c r="AF338" s="298"/>
      <c r="AG338" s="298"/>
      <c r="AH338" s="298"/>
      <c r="AI338" s="166">
        <f t="shared" si="10"/>
        <v>0</v>
      </c>
      <c r="AJ338" s="166">
        <f t="shared" si="11"/>
        <v>0</v>
      </c>
      <c r="AK338" s="166"/>
      <c r="AL338" s="230"/>
      <c r="AM338" s="172"/>
    </row>
    <row r="339" spans="1:39" x14ac:dyDescent="0.2">
      <c r="A339" s="170">
        <v>331</v>
      </c>
      <c r="B339" s="147" t="e">
        <f>CONCATENATE(IF($A339="","",VLOOKUP($A339,'İşçi Bilgileri'!$A$2:$D$700,2,FALSE))," ",IF($A339="","",VLOOKUP($A339,'İşçi Bilgileri'!$A$2:$D$700,3,FALSE)))</f>
        <v>#N/A</v>
      </c>
      <c r="C339" s="171" t="e">
        <f>IF($A339="","",VLOOKUP($A339,'İşçi Bilgileri'!$A$2:$D$700,4,FALSE))</f>
        <v>#N/A</v>
      </c>
      <c r="D339" s="298"/>
      <c r="E339" s="298"/>
      <c r="F339" s="298"/>
      <c r="G339" s="298"/>
      <c r="H339" s="298"/>
      <c r="I339" s="298"/>
      <c r="J339" s="298"/>
      <c r="K339" s="298"/>
      <c r="L339" s="298"/>
      <c r="M339" s="298"/>
      <c r="N339" s="298"/>
      <c r="O339" s="298"/>
      <c r="P339" s="298"/>
      <c r="Q339" s="298"/>
      <c r="R339" s="298"/>
      <c r="S339" s="298"/>
      <c r="T339" s="298"/>
      <c r="U339" s="298"/>
      <c r="V339" s="298"/>
      <c r="W339" s="298"/>
      <c r="X339" s="298"/>
      <c r="Y339" s="298"/>
      <c r="Z339" s="298"/>
      <c r="AA339" s="298"/>
      <c r="AB339" s="298"/>
      <c r="AC339" s="298"/>
      <c r="AD339" s="298"/>
      <c r="AE339" s="298"/>
      <c r="AF339" s="298"/>
      <c r="AG339" s="298"/>
      <c r="AH339" s="298"/>
      <c r="AI339" s="166">
        <f t="shared" si="10"/>
        <v>0</v>
      </c>
      <c r="AJ339" s="166">
        <f t="shared" si="11"/>
        <v>0</v>
      </c>
      <c r="AK339" s="166"/>
      <c r="AL339" s="230"/>
      <c r="AM339" s="172"/>
    </row>
    <row r="340" spans="1:39" x14ac:dyDescent="0.2">
      <c r="A340" s="170">
        <v>332</v>
      </c>
      <c r="B340" s="147" t="e">
        <f>CONCATENATE(IF($A340="","",VLOOKUP($A340,'İşçi Bilgileri'!$A$2:$D$700,2,FALSE))," ",IF($A340="","",VLOOKUP($A340,'İşçi Bilgileri'!$A$2:$D$700,3,FALSE)))</f>
        <v>#N/A</v>
      </c>
      <c r="C340" s="171" t="e">
        <f>IF($A340="","",VLOOKUP($A340,'İşçi Bilgileri'!$A$2:$D$700,4,FALSE))</f>
        <v>#N/A</v>
      </c>
      <c r="D340" s="298"/>
      <c r="E340" s="298"/>
      <c r="F340" s="298"/>
      <c r="G340" s="298"/>
      <c r="H340" s="298"/>
      <c r="I340" s="298"/>
      <c r="J340" s="298"/>
      <c r="K340" s="298"/>
      <c r="L340" s="298"/>
      <c r="M340" s="298"/>
      <c r="N340" s="298"/>
      <c r="O340" s="298"/>
      <c r="P340" s="298"/>
      <c r="Q340" s="298"/>
      <c r="R340" s="298"/>
      <c r="S340" s="298"/>
      <c r="T340" s="298"/>
      <c r="U340" s="298"/>
      <c r="V340" s="298"/>
      <c r="W340" s="298"/>
      <c r="X340" s="298"/>
      <c r="Y340" s="298"/>
      <c r="Z340" s="298"/>
      <c r="AA340" s="298"/>
      <c r="AB340" s="298"/>
      <c r="AC340" s="298"/>
      <c r="AD340" s="298"/>
      <c r="AE340" s="298"/>
      <c r="AF340" s="298"/>
      <c r="AG340" s="298"/>
      <c r="AH340" s="298"/>
      <c r="AI340" s="166">
        <f t="shared" si="10"/>
        <v>0</v>
      </c>
      <c r="AJ340" s="166">
        <f t="shared" si="11"/>
        <v>0</v>
      </c>
      <c r="AK340" s="166"/>
      <c r="AL340" s="230"/>
      <c r="AM340" s="172"/>
    </row>
    <row r="341" spans="1:39" x14ac:dyDescent="0.2">
      <c r="A341" s="170">
        <v>333</v>
      </c>
      <c r="B341" s="147" t="e">
        <f>CONCATENATE(IF($A341="","",VLOOKUP($A341,'İşçi Bilgileri'!$A$2:$D$700,2,FALSE))," ",IF($A341="","",VLOOKUP($A341,'İşçi Bilgileri'!$A$2:$D$700,3,FALSE)))</f>
        <v>#N/A</v>
      </c>
      <c r="C341" s="171" t="e">
        <f>IF($A341="","",VLOOKUP($A341,'İşçi Bilgileri'!$A$2:$D$700,4,FALSE))</f>
        <v>#N/A</v>
      </c>
      <c r="D341" s="298"/>
      <c r="E341" s="298"/>
      <c r="F341" s="298"/>
      <c r="G341" s="298"/>
      <c r="H341" s="298"/>
      <c r="I341" s="298"/>
      <c r="J341" s="298"/>
      <c r="K341" s="298"/>
      <c r="L341" s="298"/>
      <c r="M341" s="298"/>
      <c r="N341" s="298"/>
      <c r="O341" s="298"/>
      <c r="P341" s="298"/>
      <c r="Q341" s="298"/>
      <c r="R341" s="298"/>
      <c r="S341" s="298"/>
      <c r="T341" s="298"/>
      <c r="U341" s="298"/>
      <c r="V341" s="298"/>
      <c r="W341" s="298"/>
      <c r="X341" s="298"/>
      <c r="Y341" s="298"/>
      <c r="Z341" s="298"/>
      <c r="AA341" s="298"/>
      <c r="AB341" s="298"/>
      <c r="AC341" s="298"/>
      <c r="AD341" s="298"/>
      <c r="AE341" s="298"/>
      <c r="AF341" s="298"/>
      <c r="AG341" s="298"/>
      <c r="AH341" s="298"/>
      <c r="AI341" s="166">
        <f t="shared" si="10"/>
        <v>0</v>
      </c>
      <c r="AJ341" s="166">
        <f t="shared" si="11"/>
        <v>0</v>
      </c>
      <c r="AK341" s="166"/>
      <c r="AL341" s="230"/>
      <c r="AM341" s="172"/>
    </row>
    <row r="342" spans="1:39" x14ac:dyDescent="0.2">
      <c r="A342" s="170">
        <v>334</v>
      </c>
      <c r="B342" s="147" t="e">
        <f>CONCATENATE(IF($A342="","",VLOOKUP($A342,'İşçi Bilgileri'!$A$2:$D$700,2,FALSE))," ",IF($A342="","",VLOOKUP($A342,'İşçi Bilgileri'!$A$2:$D$700,3,FALSE)))</f>
        <v>#N/A</v>
      </c>
      <c r="C342" s="171" t="e">
        <f>IF($A342="","",VLOOKUP($A342,'İşçi Bilgileri'!$A$2:$D$700,4,FALSE))</f>
        <v>#N/A</v>
      </c>
      <c r="D342" s="298"/>
      <c r="E342" s="298"/>
      <c r="F342" s="298"/>
      <c r="G342" s="298"/>
      <c r="H342" s="298"/>
      <c r="I342" s="298"/>
      <c r="J342" s="298"/>
      <c r="K342" s="298"/>
      <c r="L342" s="298"/>
      <c r="M342" s="298"/>
      <c r="N342" s="298"/>
      <c r="O342" s="298"/>
      <c r="P342" s="298"/>
      <c r="Q342" s="298"/>
      <c r="R342" s="298"/>
      <c r="S342" s="298"/>
      <c r="T342" s="298"/>
      <c r="U342" s="298"/>
      <c r="V342" s="298"/>
      <c r="W342" s="298"/>
      <c r="X342" s="298"/>
      <c r="Y342" s="298"/>
      <c r="Z342" s="298"/>
      <c r="AA342" s="298"/>
      <c r="AB342" s="298"/>
      <c r="AC342" s="298"/>
      <c r="AD342" s="298"/>
      <c r="AE342" s="298"/>
      <c r="AF342" s="298"/>
      <c r="AG342" s="298"/>
      <c r="AH342" s="298"/>
      <c r="AI342" s="166">
        <f t="shared" si="10"/>
        <v>0</v>
      </c>
      <c r="AJ342" s="166">
        <f t="shared" si="11"/>
        <v>0</v>
      </c>
      <c r="AK342" s="166"/>
      <c r="AL342" s="230"/>
      <c r="AM342" s="172"/>
    </row>
    <row r="343" spans="1:39" x14ac:dyDescent="0.2">
      <c r="A343" s="170">
        <v>335</v>
      </c>
      <c r="B343" s="147" t="e">
        <f>CONCATENATE(IF($A343="","",VLOOKUP($A343,'İşçi Bilgileri'!$A$2:$D$700,2,FALSE))," ",IF($A343="","",VLOOKUP($A343,'İşçi Bilgileri'!$A$2:$D$700,3,FALSE)))</f>
        <v>#N/A</v>
      </c>
      <c r="C343" s="171" t="e">
        <f>IF($A343="","",VLOOKUP($A343,'İşçi Bilgileri'!$A$2:$D$700,4,FALSE))</f>
        <v>#N/A</v>
      </c>
      <c r="D343" s="298"/>
      <c r="E343" s="298"/>
      <c r="F343" s="298"/>
      <c r="G343" s="298"/>
      <c r="H343" s="298"/>
      <c r="I343" s="298"/>
      <c r="J343" s="298"/>
      <c r="K343" s="298"/>
      <c r="L343" s="298"/>
      <c r="M343" s="298"/>
      <c r="N343" s="298"/>
      <c r="O343" s="298"/>
      <c r="P343" s="298"/>
      <c r="Q343" s="298"/>
      <c r="R343" s="298"/>
      <c r="S343" s="298"/>
      <c r="T343" s="298"/>
      <c r="U343" s="298"/>
      <c r="V343" s="298"/>
      <c r="W343" s="298"/>
      <c r="X343" s="298"/>
      <c r="Y343" s="298"/>
      <c r="Z343" s="298"/>
      <c r="AA343" s="298"/>
      <c r="AB343" s="298"/>
      <c r="AC343" s="298"/>
      <c r="AD343" s="298"/>
      <c r="AE343" s="298"/>
      <c r="AF343" s="298"/>
      <c r="AG343" s="298"/>
      <c r="AH343" s="298"/>
      <c r="AI343" s="166">
        <f t="shared" si="10"/>
        <v>0</v>
      </c>
      <c r="AJ343" s="166">
        <f t="shared" si="11"/>
        <v>0</v>
      </c>
      <c r="AK343" s="166"/>
      <c r="AL343" s="230"/>
      <c r="AM343" s="172"/>
    </row>
    <row r="344" spans="1:39" x14ac:dyDescent="0.2">
      <c r="A344" s="170">
        <v>336</v>
      </c>
      <c r="B344" s="147" t="e">
        <f>CONCATENATE(IF($A344="","",VLOOKUP($A344,'İşçi Bilgileri'!$A$2:$D$700,2,FALSE))," ",IF($A344="","",VLOOKUP($A344,'İşçi Bilgileri'!$A$2:$D$700,3,FALSE)))</f>
        <v>#N/A</v>
      </c>
      <c r="C344" s="171" t="e">
        <f>IF($A344="","",VLOOKUP($A344,'İşçi Bilgileri'!$A$2:$D$700,4,FALSE))</f>
        <v>#N/A</v>
      </c>
      <c r="D344" s="298"/>
      <c r="E344" s="298"/>
      <c r="F344" s="298"/>
      <c r="G344" s="298"/>
      <c r="H344" s="298"/>
      <c r="I344" s="298"/>
      <c r="J344" s="298"/>
      <c r="K344" s="298"/>
      <c r="L344" s="298"/>
      <c r="M344" s="298"/>
      <c r="N344" s="298"/>
      <c r="O344" s="298"/>
      <c r="P344" s="298"/>
      <c r="Q344" s="298"/>
      <c r="R344" s="298"/>
      <c r="S344" s="298"/>
      <c r="T344" s="298"/>
      <c r="U344" s="298"/>
      <c r="V344" s="298"/>
      <c r="W344" s="298"/>
      <c r="X344" s="298"/>
      <c r="Y344" s="298"/>
      <c r="Z344" s="298"/>
      <c r="AA344" s="298"/>
      <c r="AB344" s="298"/>
      <c r="AC344" s="298"/>
      <c r="AD344" s="298"/>
      <c r="AE344" s="298"/>
      <c r="AF344" s="298"/>
      <c r="AG344" s="298"/>
      <c r="AH344" s="298"/>
      <c r="AI344" s="166">
        <f t="shared" si="10"/>
        <v>0</v>
      </c>
      <c r="AJ344" s="166">
        <f t="shared" si="11"/>
        <v>0</v>
      </c>
      <c r="AK344" s="166"/>
      <c r="AL344" s="230"/>
      <c r="AM344" s="172"/>
    </row>
    <row r="345" spans="1:39" x14ac:dyDescent="0.2">
      <c r="A345" s="170">
        <v>337</v>
      </c>
      <c r="B345" s="147" t="e">
        <f>CONCATENATE(IF($A345="","",VLOOKUP($A345,'İşçi Bilgileri'!$A$2:$D$700,2,FALSE))," ",IF($A345="","",VLOOKUP($A345,'İşçi Bilgileri'!$A$2:$D$700,3,FALSE)))</f>
        <v>#N/A</v>
      </c>
      <c r="C345" s="171" t="e">
        <f>IF($A345="","",VLOOKUP($A345,'İşçi Bilgileri'!$A$2:$D$700,4,FALSE))</f>
        <v>#N/A</v>
      </c>
      <c r="D345" s="298"/>
      <c r="E345" s="298"/>
      <c r="F345" s="298"/>
      <c r="G345" s="298"/>
      <c r="H345" s="298"/>
      <c r="I345" s="298"/>
      <c r="J345" s="298"/>
      <c r="K345" s="298"/>
      <c r="L345" s="298"/>
      <c r="M345" s="298"/>
      <c r="N345" s="298"/>
      <c r="O345" s="298"/>
      <c r="P345" s="298"/>
      <c r="Q345" s="298"/>
      <c r="R345" s="298"/>
      <c r="S345" s="298"/>
      <c r="T345" s="298"/>
      <c r="U345" s="298"/>
      <c r="V345" s="298"/>
      <c r="W345" s="298"/>
      <c r="X345" s="298"/>
      <c r="Y345" s="298"/>
      <c r="Z345" s="298"/>
      <c r="AA345" s="298"/>
      <c r="AB345" s="298"/>
      <c r="AC345" s="298"/>
      <c r="AD345" s="298"/>
      <c r="AE345" s="298"/>
      <c r="AF345" s="298"/>
      <c r="AG345" s="298"/>
      <c r="AH345" s="298"/>
      <c r="AI345" s="166">
        <f t="shared" si="10"/>
        <v>0</v>
      </c>
      <c r="AJ345" s="166">
        <f t="shared" si="11"/>
        <v>0</v>
      </c>
      <c r="AK345" s="166"/>
      <c r="AL345" s="230"/>
      <c r="AM345" s="172"/>
    </row>
    <row r="346" spans="1:39" x14ac:dyDescent="0.2">
      <c r="A346" s="170">
        <v>338</v>
      </c>
      <c r="B346" s="147" t="e">
        <f>CONCATENATE(IF($A346="","",VLOOKUP($A346,'İşçi Bilgileri'!$A$2:$D$700,2,FALSE))," ",IF($A346="","",VLOOKUP($A346,'İşçi Bilgileri'!$A$2:$D$700,3,FALSE)))</f>
        <v>#N/A</v>
      </c>
      <c r="C346" s="171" t="e">
        <f>IF($A346="","",VLOOKUP($A346,'İşçi Bilgileri'!$A$2:$D$700,4,FALSE))</f>
        <v>#N/A</v>
      </c>
      <c r="D346" s="298"/>
      <c r="E346" s="298"/>
      <c r="F346" s="298"/>
      <c r="G346" s="298"/>
      <c r="H346" s="298"/>
      <c r="I346" s="298"/>
      <c r="J346" s="298"/>
      <c r="K346" s="298"/>
      <c r="L346" s="298"/>
      <c r="M346" s="298"/>
      <c r="N346" s="298"/>
      <c r="O346" s="298"/>
      <c r="P346" s="298"/>
      <c r="Q346" s="298"/>
      <c r="R346" s="298"/>
      <c r="S346" s="298"/>
      <c r="T346" s="298"/>
      <c r="U346" s="298"/>
      <c r="V346" s="298"/>
      <c r="W346" s="298"/>
      <c r="X346" s="298"/>
      <c r="Y346" s="298"/>
      <c r="Z346" s="298"/>
      <c r="AA346" s="298"/>
      <c r="AB346" s="298"/>
      <c r="AC346" s="298"/>
      <c r="AD346" s="298"/>
      <c r="AE346" s="298"/>
      <c r="AF346" s="298"/>
      <c r="AG346" s="298"/>
      <c r="AH346" s="298"/>
      <c r="AI346" s="166">
        <f t="shared" si="10"/>
        <v>0</v>
      </c>
      <c r="AJ346" s="166">
        <f t="shared" si="11"/>
        <v>0</v>
      </c>
      <c r="AK346" s="166"/>
      <c r="AL346" s="230"/>
      <c r="AM346" s="172"/>
    </row>
    <row r="347" spans="1:39" x14ac:dyDescent="0.2">
      <c r="A347" s="170">
        <v>339</v>
      </c>
      <c r="B347" s="147" t="e">
        <f>CONCATENATE(IF($A347="","",VLOOKUP($A347,'İşçi Bilgileri'!$A$2:$D$700,2,FALSE))," ",IF($A347="","",VLOOKUP($A347,'İşçi Bilgileri'!$A$2:$D$700,3,FALSE)))</f>
        <v>#N/A</v>
      </c>
      <c r="C347" s="171" t="e">
        <f>IF($A347="","",VLOOKUP($A347,'İşçi Bilgileri'!$A$2:$D$700,4,FALSE))</f>
        <v>#N/A</v>
      </c>
      <c r="D347" s="298"/>
      <c r="E347" s="298"/>
      <c r="F347" s="298"/>
      <c r="G347" s="298"/>
      <c r="H347" s="298"/>
      <c r="I347" s="298"/>
      <c r="J347" s="298"/>
      <c r="K347" s="298"/>
      <c r="L347" s="298"/>
      <c r="M347" s="298"/>
      <c r="N347" s="298"/>
      <c r="O347" s="298"/>
      <c r="P347" s="298"/>
      <c r="Q347" s="298"/>
      <c r="R347" s="298"/>
      <c r="S347" s="298"/>
      <c r="T347" s="298"/>
      <c r="U347" s="298"/>
      <c r="V347" s="298"/>
      <c r="W347" s="298"/>
      <c r="X347" s="298"/>
      <c r="Y347" s="298"/>
      <c r="Z347" s="298"/>
      <c r="AA347" s="298"/>
      <c r="AB347" s="298"/>
      <c r="AC347" s="298"/>
      <c r="AD347" s="298"/>
      <c r="AE347" s="298"/>
      <c r="AF347" s="298"/>
      <c r="AG347" s="298"/>
      <c r="AH347" s="298"/>
      <c r="AI347" s="166">
        <f t="shared" si="10"/>
        <v>0</v>
      </c>
      <c r="AJ347" s="166">
        <f t="shared" si="11"/>
        <v>0</v>
      </c>
      <c r="AK347" s="166"/>
      <c r="AL347" s="230"/>
      <c r="AM347" s="172"/>
    </row>
    <row r="348" spans="1:39" x14ac:dyDescent="0.2">
      <c r="A348" s="170">
        <v>340</v>
      </c>
      <c r="B348" s="147" t="e">
        <f>CONCATENATE(IF($A348="","",VLOOKUP($A348,'İşçi Bilgileri'!$A$2:$D$700,2,FALSE))," ",IF($A348="","",VLOOKUP($A348,'İşçi Bilgileri'!$A$2:$D$700,3,FALSE)))</f>
        <v>#N/A</v>
      </c>
      <c r="C348" s="171" t="e">
        <f>IF($A348="","",VLOOKUP($A348,'İşçi Bilgileri'!$A$2:$D$700,4,FALSE))</f>
        <v>#N/A</v>
      </c>
      <c r="D348" s="298"/>
      <c r="E348" s="298"/>
      <c r="F348" s="298"/>
      <c r="G348" s="298"/>
      <c r="H348" s="298"/>
      <c r="I348" s="298"/>
      <c r="J348" s="298"/>
      <c r="K348" s="298"/>
      <c r="L348" s="298"/>
      <c r="M348" s="298"/>
      <c r="N348" s="298"/>
      <c r="O348" s="298"/>
      <c r="P348" s="298"/>
      <c r="Q348" s="298"/>
      <c r="R348" s="298"/>
      <c r="S348" s="298"/>
      <c r="T348" s="298"/>
      <c r="U348" s="298"/>
      <c r="V348" s="298"/>
      <c r="W348" s="298"/>
      <c r="X348" s="298"/>
      <c r="Y348" s="298"/>
      <c r="Z348" s="298"/>
      <c r="AA348" s="298"/>
      <c r="AB348" s="298"/>
      <c r="AC348" s="298"/>
      <c r="AD348" s="298"/>
      <c r="AE348" s="298"/>
      <c r="AF348" s="298"/>
      <c r="AG348" s="298"/>
      <c r="AH348" s="298"/>
      <c r="AI348" s="166">
        <f t="shared" si="10"/>
        <v>0</v>
      </c>
      <c r="AJ348" s="166">
        <f t="shared" si="11"/>
        <v>0</v>
      </c>
      <c r="AK348" s="166"/>
      <c r="AL348" s="230"/>
      <c r="AM348" s="172"/>
    </row>
    <row r="349" spans="1:39" x14ac:dyDescent="0.2">
      <c r="A349" s="170">
        <v>341</v>
      </c>
      <c r="B349" s="147" t="e">
        <f>CONCATENATE(IF($A349="","",VLOOKUP($A349,'İşçi Bilgileri'!$A$2:$D$700,2,FALSE))," ",IF($A349="","",VLOOKUP($A349,'İşçi Bilgileri'!$A$2:$D$700,3,FALSE)))</f>
        <v>#N/A</v>
      </c>
      <c r="C349" s="171" t="e">
        <f>IF($A349="","",VLOOKUP($A349,'İşçi Bilgileri'!$A$2:$D$700,4,FALSE))</f>
        <v>#N/A</v>
      </c>
      <c r="D349" s="298"/>
      <c r="E349" s="298"/>
      <c r="F349" s="298"/>
      <c r="G349" s="298"/>
      <c r="H349" s="298"/>
      <c r="I349" s="298"/>
      <c r="J349" s="298"/>
      <c r="K349" s="298"/>
      <c r="L349" s="298"/>
      <c r="M349" s="298"/>
      <c r="N349" s="298"/>
      <c r="O349" s="298"/>
      <c r="P349" s="298"/>
      <c r="Q349" s="298"/>
      <c r="R349" s="298"/>
      <c r="S349" s="298"/>
      <c r="T349" s="298"/>
      <c r="U349" s="298"/>
      <c r="V349" s="298"/>
      <c r="W349" s="298"/>
      <c r="X349" s="298"/>
      <c r="Y349" s="298"/>
      <c r="Z349" s="298"/>
      <c r="AA349" s="298"/>
      <c r="AB349" s="298"/>
      <c r="AC349" s="298"/>
      <c r="AD349" s="298"/>
      <c r="AE349" s="298"/>
      <c r="AF349" s="298"/>
      <c r="AG349" s="298"/>
      <c r="AH349" s="298"/>
      <c r="AI349" s="166">
        <f t="shared" si="10"/>
        <v>0</v>
      </c>
      <c r="AJ349" s="166">
        <f t="shared" si="11"/>
        <v>0</v>
      </c>
      <c r="AK349" s="166"/>
      <c r="AL349" s="230"/>
      <c r="AM349" s="172"/>
    </row>
    <row r="350" spans="1:39" x14ac:dyDescent="0.2">
      <c r="A350" s="170">
        <v>342</v>
      </c>
      <c r="B350" s="147" t="e">
        <f>CONCATENATE(IF($A350="","",VLOOKUP($A350,'İşçi Bilgileri'!$A$2:$D$700,2,FALSE))," ",IF($A350="","",VLOOKUP($A350,'İşçi Bilgileri'!$A$2:$D$700,3,FALSE)))</f>
        <v>#N/A</v>
      </c>
      <c r="C350" s="171" t="e">
        <f>IF($A350="","",VLOOKUP($A350,'İşçi Bilgileri'!$A$2:$D$700,4,FALSE))</f>
        <v>#N/A</v>
      </c>
      <c r="D350" s="298"/>
      <c r="E350" s="298"/>
      <c r="F350" s="298"/>
      <c r="G350" s="298"/>
      <c r="H350" s="298"/>
      <c r="I350" s="298"/>
      <c r="J350" s="298"/>
      <c r="K350" s="298"/>
      <c r="L350" s="298"/>
      <c r="M350" s="298"/>
      <c r="N350" s="298"/>
      <c r="O350" s="298"/>
      <c r="P350" s="298"/>
      <c r="Q350" s="298"/>
      <c r="R350" s="298"/>
      <c r="S350" s="298"/>
      <c r="T350" s="298"/>
      <c r="U350" s="298"/>
      <c r="V350" s="298"/>
      <c r="W350" s="298"/>
      <c r="X350" s="298"/>
      <c r="Y350" s="298"/>
      <c r="Z350" s="298"/>
      <c r="AA350" s="298"/>
      <c r="AB350" s="298"/>
      <c r="AC350" s="298"/>
      <c r="AD350" s="298"/>
      <c r="AE350" s="298"/>
      <c r="AF350" s="298"/>
      <c r="AG350" s="298"/>
      <c r="AH350" s="298"/>
      <c r="AI350" s="166">
        <f t="shared" si="10"/>
        <v>0</v>
      </c>
      <c r="AJ350" s="166">
        <f t="shared" si="11"/>
        <v>0</v>
      </c>
      <c r="AK350" s="166"/>
      <c r="AL350" s="230"/>
      <c r="AM350" s="172"/>
    </row>
    <row r="351" spans="1:39" x14ac:dyDescent="0.2">
      <c r="A351" s="170">
        <v>343</v>
      </c>
      <c r="B351" s="147" t="e">
        <f>CONCATENATE(IF($A351="","",VLOOKUP($A351,'İşçi Bilgileri'!$A$2:$D$700,2,FALSE))," ",IF($A351="","",VLOOKUP($A351,'İşçi Bilgileri'!$A$2:$D$700,3,FALSE)))</f>
        <v>#N/A</v>
      </c>
      <c r="C351" s="171" t="e">
        <f>IF($A351="","",VLOOKUP($A351,'İşçi Bilgileri'!$A$2:$D$700,4,FALSE))</f>
        <v>#N/A</v>
      </c>
      <c r="D351" s="298"/>
      <c r="E351" s="298"/>
      <c r="F351" s="298"/>
      <c r="G351" s="298"/>
      <c r="H351" s="298"/>
      <c r="I351" s="298"/>
      <c r="J351" s="298"/>
      <c r="K351" s="298"/>
      <c r="L351" s="298"/>
      <c r="M351" s="298"/>
      <c r="N351" s="298"/>
      <c r="O351" s="298"/>
      <c r="P351" s="298"/>
      <c r="Q351" s="298"/>
      <c r="R351" s="298"/>
      <c r="S351" s="298"/>
      <c r="T351" s="298"/>
      <c r="U351" s="298"/>
      <c r="V351" s="298"/>
      <c r="W351" s="298"/>
      <c r="X351" s="298"/>
      <c r="Y351" s="298"/>
      <c r="Z351" s="298"/>
      <c r="AA351" s="298"/>
      <c r="AB351" s="298"/>
      <c r="AC351" s="298"/>
      <c r="AD351" s="298"/>
      <c r="AE351" s="298"/>
      <c r="AF351" s="298"/>
      <c r="AG351" s="298"/>
      <c r="AH351" s="298"/>
      <c r="AI351" s="166">
        <f t="shared" si="10"/>
        <v>0</v>
      </c>
      <c r="AJ351" s="166">
        <f t="shared" si="11"/>
        <v>0</v>
      </c>
      <c r="AK351" s="166"/>
      <c r="AL351" s="230"/>
      <c r="AM351" s="172"/>
    </row>
    <row r="352" spans="1:39" x14ac:dyDescent="0.2">
      <c r="A352" s="170">
        <v>344</v>
      </c>
      <c r="B352" s="147" t="e">
        <f>CONCATENATE(IF($A352="","",VLOOKUP($A352,'İşçi Bilgileri'!$A$2:$D$700,2,FALSE))," ",IF($A352="","",VLOOKUP($A352,'İşçi Bilgileri'!$A$2:$D$700,3,FALSE)))</f>
        <v>#N/A</v>
      </c>
      <c r="C352" s="171" t="e">
        <f>IF($A352="","",VLOOKUP($A352,'İşçi Bilgileri'!$A$2:$D$700,4,FALSE))</f>
        <v>#N/A</v>
      </c>
      <c r="D352" s="298"/>
      <c r="E352" s="298"/>
      <c r="F352" s="298"/>
      <c r="G352" s="298"/>
      <c r="H352" s="298"/>
      <c r="I352" s="298"/>
      <c r="J352" s="298"/>
      <c r="K352" s="298"/>
      <c r="L352" s="298"/>
      <c r="M352" s="298"/>
      <c r="N352" s="298"/>
      <c r="O352" s="298"/>
      <c r="P352" s="298"/>
      <c r="Q352" s="298"/>
      <c r="R352" s="298"/>
      <c r="S352" s="298"/>
      <c r="T352" s="298"/>
      <c r="U352" s="298"/>
      <c r="V352" s="298"/>
      <c r="W352" s="298"/>
      <c r="X352" s="298"/>
      <c r="Y352" s="298"/>
      <c r="Z352" s="298"/>
      <c r="AA352" s="298"/>
      <c r="AB352" s="298"/>
      <c r="AC352" s="298"/>
      <c r="AD352" s="298"/>
      <c r="AE352" s="298"/>
      <c r="AF352" s="298"/>
      <c r="AG352" s="298"/>
      <c r="AH352" s="298"/>
      <c r="AI352" s="166">
        <f t="shared" si="10"/>
        <v>0</v>
      </c>
      <c r="AJ352" s="166">
        <f t="shared" si="11"/>
        <v>0</v>
      </c>
      <c r="AK352" s="166"/>
      <c r="AL352" s="230"/>
      <c r="AM352" s="172"/>
    </row>
    <row r="353" spans="1:39" x14ac:dyDescent="0.2">
      <c r="A353" s="170">
        <v>345</v>
      </c>
      <c r="B353" s="147" t="e">
        <f>CONCATENATE(IF($A353="","",VLOOKUP($A353,'İşçi Bilgileri'!$A$2:$D$700,2,FALSE))," ",IF($A353="","",VLOOKUP($A353,'İşçi Bilgileri'!$A$2:$D$700,3,FALSE)))</f>
        <v>#N/A</v>
      </c>
      <c r="C353" s="171" t="e">
        <f>IF($A353="","",VLOOKUP($A353,'İşçi Bilgileri'!$A$2:$D$700,4,FALSE))</f>
        <v>#N/A</v>
      </c>
      <c r="D353" s="298"/>
      <c r="E353" s="298"/>
      <c r="F353" s="298"/>
      <c r="G353" s="298"/>
      <c r="H353" s="298"/>
      <c r="I353" s="298"/>
      <c r="J353" s="298"/>
      <c r="K353" s="298"/>
      <c r="L353" s="298"/>
      <c r="M353" s="298"/>
      <c r="N353" s="298"/>
      <c r="O353" s="298"/>
      <c r="P353" s="298"/>
      <c r="Q353" s="298"/>
      <c r="R353" s="298"/>
      <c r="S353" s="298"/>
      <c r="T353" s="298"/>
      <c r="U353" s="298"/>
      <c r="V353" s="298"/>
      <c r="W353" s="298"/>
      <c r="X353" s="298"/>
      <c r="Y353" s="298"/>
      <c r="Z353" s="298"/>
      <c r="AA353" s="298"/>
      <c r="AB353" s="298"/>
      <c r="AC353" s="298"/>
      <c r="AD353" s="298"/>
      <c r="AE353" s="298"/>
      <c r="AF353" s="298"/>
      <c r="AG353" s="298"/>
      <c r="AH353" s="298"/>
      <c r="AI353" s="166">
        <f t="shared" si="10"/>
        <v>0</v>
      </c>
      <c r="AJ353" s="166">
        <f t="shared" si="11"/>
        <v>0</v>
      </c>
      <c r="AK353" s="166"/>
      <c r="AL353" s="230"/>
      <c r="AM353" s="172"/>
    </row>
    <row r="354" spans="1:39" x14ac:dyDescent="0.2">
      <c r="A354" s="170">
        <v>346</v>
      </c>
      <c r="B354" s="147" t="e">
        <f>CONCATENATE(IF($A354="","",VLOOKUP($A354,'İşçi Bilgileri'!$A$2:$D$700,2,FALSE))," ",IF($A354="","",VLOOKUP($A354,'İşçi Bilgileri'!$A$2:$D$700,3,FALSE)))</f>
        <v>#N/A</v>
      </c>
      <c r="C354" s="171" t="e">
        <f>IF($A354="","",VLOOKUP($A354,'İşçi Bilgileri'!$A$2:$D$700,4,FALSE))</f>
        <v>#N/A</v>
      </c>
      <c r="D354" s="298"/>
      <c r="E354" s="298"/>
      <c r="F354" s="298"/>
      <c r="G354" s="298"/>
      <c r="H354" s="298"/>
      <c r="I354" s="298"/>
      <c r="J354" s="298"/>
      <c r="K354" s="298"/>
      <c r="L354" s="298"/>
      <c r="M354" s="298"/>
      <c r="N354" s="298"/>
      <c r="O354" s="298"/>
      <c r="P354" s="298"/>
      <c r="Q354" s="298"/>
      <c r="R354" s="298"/>
      <c r="S354" s="298"/>
      <c r="T354" s="298"/>
      <c r="U354" s="298"/>
      <c r="V354" s="298"/>
      <c r="W354" s="298"/>
      <c r="X354" s="298"/>
      <c r="Y354" s="298"/>
      <c r="Z354" s="298"/>
      <c r="AA354" s="298"/>
      <c r="AB354" s="298"/>
      <c r="AC354" s="298"/>
      <c r="AD354" s="298"/>
      <c r="AE354" s="298"/>
      <c r="AF354" s="298"/>
      <c r="AG354" s="298"/>
      <c r="AH354" s="298"/>
      <c r="AI354" s="166">
        <f t="shared" si="10"/>
        <v>0</v>
      </c>
      <c r="AJ354" s="166">
        <f t="shared" si="11"/>
        <v>0</v>
      </c>
      <c r="AK354" s="166"/>
      <c r="AL354" s="230"/>
      <c r="AM354" s="172"/>
    </row>
    <row r="355" spans="1:39" x14ac:dyDescent="0.2">
      <c r="A355" s="170">
        <v>347</v>
      </c>
      <c r="B355" s="147" t="e">
        <f>CONCATENATE(IF($A355="","",VLOOKUP($A355,'İşçi Bilgileri'!$A$2:$D$700,2,FALSE))," ",IF($A355="","",VLOOKUP($A355,'İşçi Bilgileri'!$A$2:$D$700,3,FALSE)))</f>
        <v>#N/A</v>
      </c>
      <c r="C355" s="171" t="e">
        <f>IF($A355="","",VLOOKUP($A355,'İşçi Bilgileri'!$A$2:$D$700,4,FALSE))</f>
        <v>#N/A</v>
      </c>
      <c r="D355" s="298"/>
      <c r="E355" s="298"/>
      <c r="F355" s="298"/>
      <c r="G355" s="298"/>
      <c r="H355" s="298"/>
      <c r="I355" s="298"/>
      <c r="J355" s="298"/>
      <c r="K355" s="298"/>
      <c r="L355" s="298"/>
      <c r="M355" s="298"/>
      <c r="N355" s="298"/>
      <c r="O355" s="298"/>
      <c r="P355" s="298"/>
      <c r="Q355" s="298"/>
      <c r="R355" s="298"/>
      <c r="S355" s="298"/>
      <c r="T355" s="298"/>
      <c r="U355" s="298"/>
      <c r="V355" s="298"/>
      <c r="W355" s="298"/>
      <c r="X355" s="298"/>
      <c r="Y355" s="298"/>
      <c r="Z355" s="298"/>
      <c r="AA355" s="298"/>
      <c r="AB355" s="298"/>
      <c r="AC355" s="298"/>
      <c r="AD355" s="298"/>
      <c r="AE355" s="298"/>
      <c r="AF355" s="298"/>
      <c r="AG355" s="298"/>
      <c r="AH355" s="298"/>
      <c r="AI355" s="166">
        <f t="shared" si="10"/>
        <v>0</v>
      </c>
      <c r="AJ355" s="166">
        <f t="shared" si="11"/>
        <v>0</v>
      </c>
      <c r="AK355" s="166"/>
      <c r="AL355" s="230"/>
      <c r="AM355" s="172"/>
    </row>
    <row r="356" spans="1:39" x14ac:dyDescent="0.2">
      <c r="A356" s="170">
        <v>348</v>
      </c>
      <c r="B356" s="147" t="e">
        <f>CONCATENATE(IF($A356="","",VLOOKUP($A356,'İşçi Bilgileri'!$A$2:$D$700,2,FALSE))," ",IF($A356="","",VLOOKUP($A356,'İşçi Bilgileri'!$A$2:$D$700,3,FALSE)))</f>
        <v>#N/A</v>
      </c>
      <c r="C356" s="171" t="e">
        <f>IF($A356="","",VLOOKUP($A356,'İşçi Bilgileri'!$A$2:$D$700,4,FALSE))</f>
        <v>#N/A</v>
      </c>
      <c r="D356" s="298"/>
      <c r="E356" s="298"/>
      <c r="F356" s="298"/>
      <c r="G356" s="298"/>
      <c r="H356" s="298"/>
      <c r="I356" s="298"/>
      <c r="J356" s="298"/>
      <c r="K356" s="298"/>
      <c r="L356" s="298"/>
      <c r="M356" s="298"/>
      <c r="N356" s="298"/>
      <c r="O356" s="298"/>
      <c r="P356" s="298"/>
      <c r="Q356" s="298"/>
      <c r="R356" s="298"/>
      <c r="S356" s="298"/>
      <c r="T356" s="298"/>
      <c r="U356" s="298"/>
      <c r="V356" s="298"/>
      <c r="W356" s="298"/>
      <c r="X356" s="298"/>
      <c r="Y356" s="298"/>
      <c r="Z356" s="298"/>
      <c r="AA356" s="298"/>
      <c r="AB356" s="298"/>
      <c r="AC356" s="298"/>
      <c r="AD356" s="298"/>
      <c r="AE356" s="298"/>
      <c r="AF356" s="298"/>
      <c r="AG356" s="298"/>
      <c r="AH356" s="298"/>
      <c r="AI356" s="166">
        <f t="shared" si="10"/>
        <v>0</v>
      </c>
      <c r="AJ356" s="166">
        <f t="shared" si="11"/>
        <v>0</v>
      </c>
      <c r="AK356" s="166"/>
      <c r="AL356" s="230"/>
      <c r="AM356" s="172"/>
    </row>
    <row r="357" spans="1:39" x14ac:dyDescent="0.2">
      <c r="A357" s="170">
        <v>349</v>
      </c>
      <c r="B357" s="147" t="e">
        <f>CONCATENATE(IF($A357="","",VLOOKUP($A357,'İşçi Bilgileri'!$A$2:$D$700,2,FALSE))," ",IF($A357="","",VLOOKUP($A357,'İşçi Bilgileri'!$A$2:$D$700,3,FALSE)))</f>
        <v>#N/A</v>
      </c>
      <c r="C357" s="171" t="e">
        <f>IF($A357="","",VLOOKUP($A357,'İşçi Bilgileri'!$A$2:$D$700,4,FALSE))</f>
        <v>#N/A</v>
      </c>
      <c r="D357" s="298"/>
      <c r="E357" s="298"/>
      <c r="F357" s="298"/>
      <c r="G357" s="298"/>
      <c r="H357" s="298"/>
      <c r="I357" s="298"/>
      <c r="J357" s="298"/>
      <c r="K357" s="298"/>
      <c r="L357" s="298"/>
      <c r="M357" s="298"/>
      <c r="N357" s="298"/>
      <c r="O357" s="298"/>
      <c r="P357" s="298"/>
      <c r="Q357" s="298"/>
      <c r="R357" s="298"/>
      <c r="S357" s="298"/>
      <c r="T357" s="298"/>
      <c r="U357" s="298"/>
      <c r="V357" s="298"/>
      <c r="W357" s="298"/>
      <c r="X357" s="298"/>
      <c r="Y357" s="298"/>
      <c r="Z357" s="298"/>
      <c r="AA357" s="298"/>
      <c r="AB357" s="298"/>
      <c r="AC357" s="298"/>
      <c r="AD357" s="298"/>
      <c r="AE357" s="298"/>
      <c r="AF357" s="298"/>
      <c r="AG357" s="298"/>
      <c r="AH357" s="298"/>
      <c r="AI357" s="166">
        <f t="shared" si="10"/>
        <v>0</v>
      </c>
      <c r="AJ357" s="166">
        <f t="shared" si="11"/>
        <v>0</v>
      </c>
      <c r="AK357" s="166"/>
      <c r="AL357" s="230"/>
      <c r="AM357" s="172"/>
    </row>
    <row r="358" spans="1:39" x14ac:dyDescent="0.2">
      <c r="A358" s="170">
        <v>350</v>
      </c>
      <c r="B358" s="147" t="e">
        <f>CONCATENATE(IF($A358="","",VLOOKUP($A358,'İşçi Bilgileri'!$A$2:$D$700,2,FALSE))," ",IF($A358="","",VLOOKUP($A358,'İşçi Bilgileri'!$A$2:$D$700,3,FALSE)))</f>
        <v>#N/A</v>
      </c>
      <c r="C358" s="171" t="e">
        <f>IF($A358="","",VLOOKUP($A358,'İşçi Bilgileri'!$A$2:$D$700,4,FALSE))</f>
        <v>#N/A</v>
      </c>
      <c r="D358" s="298"/>
      <c r="E358" s="298"/>
      <c r="F358" s="298"/>
      <c r="G358" s="298"/>
      <c r="H358" s="298"/>
      <c r="I358" s="298"/>
      <c r="J358" s="298"/>
      <c r="K358" s="298"/>
      <c r="L358" s="298"/>
      <c r="M358" s="298"/>
      <c r="N358" s="298"/>
      <c r="O358" s="298"/>
      <c r="P358" s="298"/>
      <c r="Q358" s="298"/>
      <c r="R358" s="298"/>
      <c r="S358" s="298"/>
      <c r="T358" s="298"/>
      <c r="U358" s="298"/>
      <c r="V358" s="298"/>
      <c r="W358" s="298"/>
      <c r="X358" s="298"/>
      <c r="Y358" s="298"/>
      <c r="Z358" s="298"/>
      <c r="AA358" s="298"/>
      <c r="AB358" s="298"/>
      <c r="AC358" s="298"/>
      <c r="AD358" s="298"/>
      <c r="AE358" s="298"/>
      <c r="AF358" s="298"/>
      <c r="AG358" s="298"/>
      <c r="AH358" s="298"/>
      <c r="AI358" s="166">
        <f t="shared" si="10"/>
        <v>0</v>
      </c>
      <c r="AJ358" s="166">
        <f t="shared" si="11"/>
        <v>0</v>
      </c>
      <c r="AK358" s="166"/>
      <c r="AL358" s="230"/>
      <c r="AM358" s="172"/>
    </row>
    <row r="359" spans="1:39" x14ac:dyDescent="0.2">
      <c r="A359" s="170">
        <v>351</v>
      </c>
      <c r="B359" s="147" t="e">
        <f>CONCATENATE(IF($A359="","",VLOOKUP($A359,'İşçi Bilgileri'!$A$2:$D$700,2,FALSE))," ",IF($A359="","",VLOOKUP($A359,'İşçi Bilgileri'!$A$2:$D$700,3,FALSE)))</f>
        <v>#N/A</v>
      </c>
      <c r="C359" s="171" t="e">
        <f>IF($A359="","",VLOOKUP($A359,'İşçi Bilgileri'!$A$2:$D$700,4,FALSE))</f>
        <v>#N/A</v>
      </c>
      <c r="D359" s="298"/>
      <c r="E359" s="298"/>
      <c r="F359" s="298"/>
      <c r="G359" s="298"/>
      <c r="H359" s="298"/>
      <c r="I359" s="298"/>
      <c r="J359" s="298"/>
      <c r="K359" s="298"/>
      <c r="L359" s="298"/>
      <c r="M359" s="298"/>
      <c r="N359" s="298"/>
      <c r="O359" s="298"/>
      <c r="P359" s="298"/>
      <c r="Q359" s="298"/>
      <c r="R359" s="298"/>
      <c r="S359" s="298"/>
      <c r="T359" s="298"/>
      <c r="U359" s="298"/>
      <c r="V359" s="298"/>
      <c r="W359" s="298"/>
      <c r="X359" s="298"/>
      <c r="Y359" s="298"/>
      <c r="Z359" s="298"/>
      <c r="AA359" s="298"/>
      <c r="AB359" s="298"/>
      <c r="AC359" s="298"/>
      <c r="AD359" s="298"/>
      <c r="AE359" s="298"/>
      <c r="AF359" s="298"/>
      <c r="AG359" s="298"/>
      <c r="AH359" s="298"/>
      <c r="AI359" s="166">
        <f t="shared" si="10"/>
        <v>0</v>
      </c>
      <c r="AJ359" s="166">
        <f t="shared" si="11"/>
        <v>0</v>
      </c>
      <c r="AK359" s="166"/>
      <c r="AL359" s="230"/>
      <c r="AM359" s="172"/>
    </row>
    <row r="360" spans="1:39" x14ac:dyDescent="0.2">
      <c r="A360" s="170">
        <v>352</v>
      </c>
      <c r="B360" s="147" t="e">
        <f>CONCATENATE(IF($A360="","",VLOOKUP($A360,'İşçi Bilgileri'!$A$2:$D$700,2,FALSE))," ",IF($A360="","",VLOOKUP($A360,'İşçi Bilgileri'!$A$2:$D$700,3,FALSE)))</f>
        <v>#N/A</v>
      </c>
      <c r="C360" s="171" t="e">
        <f>IF($A360="","",VLOOKUP($A360,'İşçi Bilgileri'!$A$2:$D$700,4,FALSE))</f>
        <v>#N/A</v>
      </c>
      <c r="D360" s="298"/>
      <c r="E360" s="298"/>
      <c r="F360" s="298"/>
      <c r="G360" s="298"/>
      <c r="H360" s="298"/>
      <c r="I360" s="298"/>
      <c r="J360" s="298"/>
      <c r="K360" s="298"/>
      <c r="L360" s="298"/>
      <c r="M360" s="298"/>
      <c r="N360" s="298"/>
      <c r="O360" s="298"/>
      <c r="P360" s="298"/>
      <c r="Q360" s="298"/>
      <c r="R360" s="298"/>
      <c r="S360" s="298"/>
      <c r="T360" s="298"/>
      <c r="U360" s="298"/>
      <c r="V360" s="298"/>
      <c r="W360" s="298"/>
      <c r="X360" s="298"/>
      <c r="Y360" s="298"/>
      <c r="Z360" s="298"/>
      <c r="AA360" s="298"/>
      <c r="AB360" s="298"/>
      <c r="AC360" s="298"/>
      <c r="AD360" s="298"/>
      <c r="AE360" s="298"/>
      <c r="AF360" s="298"/>
      <c r="AG360" s="298"/>
      <c r="AH360" s="298"/>
      <c r="AI360" s="166">
        <f t="shared" si="10"/>
        <v>0</v>
      </c>
      <c r="AJ360" s="166">
        <f t="shared" si="11"/>
        <v>0</v>
      </c>
      <c r="AK360" s="166"/>
      <c r="AL360" s="230"/>
      <c r="AM360" s="172"/>
    </row>
    <row r="361" spans="1:39" x14ac:dyDescent="0.2">
      <c r="A361" s="170">
        <v>353</v>
      </c>
      <c r="B361" s="147" t="e">
        <f>CONCATENATE(IF($A361="","",VLOOKUP($A361,'İşçi Bilgileri'!$A$2:$D$700,2,FALSE))," ",IF($A361="","",VLOOKUP($A361,'İşçi Bilgileri'!$A$2:$D$700,3,FALSE)))</f>
        <v>#N/A</v>
      </c>
      <c r="C361" s="171" t="e">
        <f>IF($A361="","",VLOOKUP($A361,'İşçi Bilgileri'!$A$2:$D$700,4,FALSE))</f>
        <v>#N/A</v>
      </c>
      <c r="D361" s="298"/>
      <c r="E361" s="298"/>
      <c r="F361" s="298"/>
      <c r="G361" s="298"/>
      <c r="H361" s="298"/>
      <c r="I361" s="298"/>
      <c r="J361" s="298"/>
      <c r="K361" s="298"/>
      <c r="L361" s="298"/>
      <c r="M361" s="298"/>
      <c r="N361" s="298"/>
      <c r="O361" s="298"/>
      <c r="P361" s="298"/>
      <c r="Q361" s="298"/>
      <c r="R361" s="298"/>
      <c r="S361" s="298"/>
      <c r="T361" s="298"/>
      <c r="U361" s="298"/>
      <c r="V361" s="298"/>
      <c r="W361" s="298"/>
      <c r="X361" s="298"/>
      <c r="Y361" s="298"/>
      <c r="Z361" s="298"/>
      <c r="AA361" s="298"/>
      <c r="AB361" s="298"/>
      <c r="AC361" s="298"/>
      <c r="AD361" s="298"/>
      <c r="AE361" s="298"/>
      <c r="AF361" s="298"/>
      <c r="AG361" s="298"/>
      <c r="AH361" s="298"/>
      <c r="AI361" s="166">
        <f t="shared" si="10"/>
        <v>0</v>
      </c>
      <c r="AJ361" s="166">
        <f t="shared" si="11"/>
        <v>0</v>
      </c>
      <c r="AK361" s="166"/>
      <c r="AL361" s="230"/>
      <c r="AM361" s="172"/>
    </row>
    <row r="362" spans="1:39" x14ac:dyDescent="0.2">
      <c r="A362" s="170">
        <v>354</v>
      </c>
      <c r="B362" s="147" t="e">
        <f>CONCATENATE(IF($A362="","",VLOOKUP($A362,'İşçi Bilgileri'!$A$2:$D$700,2,FALSE))," ",IF($A362="","",VLOOKUP($A362,'İşçi Bilgileri'!$A$2:$D$700,3,FALSE)))</f>
        <v>#N/A</v>
      </c>
      <c r="C362" s="171" t="e">
        <f>IF($A362="","",VLOOKUP($A362,'İşçi Bilgileri'!$A$2:$D$700,4,FALSE))</f>
        <v>#N/A</v>
      </c>
      <c r="D362" s="298"/>
      <c r="E362" s="298"/>
      <c r="F362" s="298"/>
      <c r="G362" s="298"/>
      <c r="H362" s="298"/>
      <c r="I362" s="298"/>
      <c r="J362" s="298"/>
      <c r="K362" s="298"/>
      <c r="L362" s="298"/>
      <c r="M362" s="298"/>
      <c r="N362" s="298"/>
      <c r="O362" s="298"/>
      <c r="P362" s="298"/>
      <c r="Q362" s="298"/>
      <c r="R362" s="298"/>
      <c r="S362" s="298"/>
      <c r="T362" s="298"/>
      <c r="U362" s="298"/>
      <c r="V362" s="298"/>
      <c r="W362" s="298"/>
      <c r="X362" s="298"/>
      <c r="Y362" s="298"/>
      <c r="Z362" s="298"/>
      <c r="AA362" s="298"/>
      <c r="AB362" s="298"/>
      <c r="AC362" s="298"/>
      <c r="AD362" s="298"/>
      <c r="AE362" s="298"/>
      <c r="AF362" s="298"/>
      <c r="AG362" s="298"/>
      <c r="AH362" s="298"/>
      <c r="AI362" s="166">
        <f t="shared" si="10"/>
        <v>0</v>
      </c>
      <c r="AJ362" s="166">
        <f t="shared" si="11"/>
        <v>0</v>
      </c>
      <c r="AK362" s="166"/>
      <c r="AL362" s="230"/>
      <c r="AM362" s="172"/>
    </row>
    <row r="363" spans="1:39" x14ac:dyDescent="0.2">
      <c r="A363" s="170">
        <v>355</v>
      </c>
      <c r="B363" s="147" t="e">
        <f>CONCATENATE(IF($A363="","",VLOOKUP($A363,'İşçi Bilgileri'!$A$2:$D$700,2,FALSE))," ",IF($A363="","",VLOOKUP($A363,'İşçi Bilgileri'!$A$2:$D$700,3,FALSE)))</f>
        <v>#N/A</v>
      </c>
      <c r="C363" s="171" t="e">
        <f>IF($A363="","",VLOOKUP($A363,'İşçi Bilgileri'!$A$2:$D$700,4,FALSE))</f>
        <v>#N/A</v>
      </c>
      <c r="D363" s="298"/>
      <c r="E363" s="298"/>
      <c r="F363" s="298"/>
      <c r="G363" s="298"/>
      <c r="H363" s="298"/>
      <c r="I363" s="298"/>
      <c r="J363" s="298"/>
      <c r="K363" s="298"/>
      <c r="L363" s="298"/>
      <c r="M363" s="298"/>
      <c r="N363" s="298"/>
      <c r="O363" s="298"/>
      <c r="P363" s="298"/>
      <c r="Q363" s="298"/>
      <c r="R363" s="298"/>
      <c r="S363" s="298"/>
      <c r="T363" s="298"/>
      <c r="U363" s="298"/>
      <c r="V363" s="298"/>
      <c r="W363" s="298"/>
      <c r="X363" s="298"/>
      <c r="Y363" s="298"/>
      <c r="Z363" s="298"/>
      <c r="AA363" s="298"/>
      <c r="AB363" s="298"/>
      <c r="AC363" s="298"/>
      <c r="AD363" s="298"/>
      <c r="AE363" s="298"/>
      <c r="AF363" s="298"/>
      <c r="AG363" s="298"/>
      <c r="AH363" s="298"/>
      <c r="AI363" s="166">
        <f t="shared" si="10"/>
        <v>0</v>
      </c>
      <c r="AJ363" s="166">
        <f t="shared" si="11"/>
        <v>0</v>
      </c>
      <c r="AK363" s="166"/>
      <c r="AL363" s="230"/>
      <c r="AM363" s="172"/>
    </row>
    <row r="364" spans="1:39" x14ac:dyDescent="0.2">
      <c r="A364" s="170">
        <v>356</v>
      </c>
      <c r="B364" s="147" t="e">
        <f>CONCATENATE(IF($A364="","",VLOOKUP($A364,'İşçi Bilgileri'!$A$2:$D$700,2,FALSE))," ",IF($A364="","",VLOOKUP($A364,'İşçi Bilgileri'!$A$2:$D$700,3,FALSE)))</f>
        <v>#N/A</v>
      </c>
      <c r="C364" s="171" t="e">
        <f>IF($A364="","",VLOOKUP($A364,'İşçi Bilgileri'!$A$2:$D$700,4,FALSE))</f>
        <v>#N/A</v>
      </c>
      <c r="D364" s="298"/>
      <c r="E364" s="298"/>
      <c r="F364" s="298"/>
      <c r="G364" s="298"/>
      <c r="H364" s="298"/>
      <c r="I364" s="298"/>
      <c r="J364" s="298"/>
      <c r="K364" s="298"/>
      <c r="L364" s="298"/>
      <c r="M364" s="298"/>
      <c r="N364" s="298"/>
      <c r="O364" s="298"/>
      <c r="P364" s="298"/>
      <c r="Q364" s="298"/>
      <c r="R364" s="298"/>
      <c r="S364" s="298"/>
      <c r="T364" s="298"/>
      <c r="U364" s="298"/>
      <c r="V364" s="298"/>
      <c r="W364" s="298"/>
      <c r="X364" s="298"/>
      <c r="Y364" s="298"/>
      <c r="Z364" s="298"/>
      <c r="AA364" s="298"/>
      <c r="AB364" s="298"/>
      <c r="AC364" s="298"/>
      <c r="AD364" s="298"/>
      <c r="AE364" s="298"/>
      <c r="AF364" s="298"/>
      <c r="AG364" s="298"/>
      <c r="AH364" s="298"/>
      <c r="AI364" s="166">
        <f t="shared" si="10"/>
        <v>0</v>
      </c>
      <c r="AJ364" s="166">
        <f t="shared" si="11"/>
        <v>0</v>
      </c>
      <c r="AK364" s="166"/>
      <c r="AL364" s="230"/>
      <c r="AM364" s="172"/>
    </row>
    <row r="365" spans="1:39" x14ac:dyDescent="0.2">
      <c r="A365" s="170">
        <v>357</v>
      </c>
      <c r="B365" s="147" t="e">
        <f>CONCATENATE(IF($A365="","",VLOOKUP($A365,'İşçi Bilgileri'!$A$2:$D$700,2,FALSE))," ",IF($A365="","",VLOOKUP($A365,'İşçi Bilgileri'!$A$2:$D$700,3,FALSE)))</f>
        <v>#N/A</v>
      </c>
      <c r="C365" s="171" t="e">
        <f>IF($A365="","",VLOOKUP($A365,'İşçi Bilgileri'!$A$2:$D$700,4,FALSE))</f>
        <v>#N/A</v>
      </c>
      <c r="D365" s="298"/>
      <c r="E365" s="298"/>
      <c r="F365" s="298"/>
      <c r="G365" s="298"/>
      <c r="H365" s="298"/>
      <c r="I365" s="298"/>
      <c r="J365" s="298"/>
      <c r="K365" s="298"/>
      <c r="L365" s="298"/>
      <c r="M365" s="298"/>
      <c r="N365" s="298"/>
      <c r="O365" s="298"/>
      <c r="P365" s="298"/>
      <c r="Q365" s="298"/>
      <c r="R365" s="298"/>
      <c r="S365" s="298"/>
      <c r="T365" s="298"/>
      <c r="U365" s="298"/>
      <c r="V365" s="298"/>
      <c r="W365" s="298"/>
      <c r="X365" s="298"/>
      <c r="Y365" s="298"/>
      <c r="Z365" s="298"/>
      <c r="AA365" s="298"/>
      <c r="AB365" s="298"/>
      <c r="AC365" s="298"/>
      <c r="AD365" s="298"/>
      <c r="AE365" s="298"/>
      <c r="AF365" s="298"/>
      <c r="AG365" s="298"/>
      <c r="AH365" s="298"/>
      <c r="AI365" s="166">
        <f t="shared" si="10"/>
        <v>0</v>
      </c>
      <c r="AJ365" s="166">
        <f t="shared" si="11"/>
        <v>0</v>
      </c>
      <c r="AK365" s="166"/>
      <c r="AL365" s="230"/>
      <c r="AM365" s="172"/>
    </row>
    <row r="366" spans="1:39" x14ac:dyDescent="0.2">
      <c r="A366" s="170">
        <v>358</v>
      </c>
      <c r="B366" s="147" t="e">
        <f>CONCATENATE(IF($A366="","",VLOOKUP($A366,'İşçi Bilgileri'!$A$2:$D$700,2,FALSE))," ",IF($A366="","",VLOOKUP($A366,'İşçi Bilgileri'!$A$2:$D$700,3,FALSE)))</f>
        <v>#N/A</v>
      </c>
      <c r="C366" s="171" t="e">
        <f>IF($A366="","",VLOOKUP($A366,'İşçi Bilgileri'!$A$2:$D$700,4,FALSE))</f>
        <v>#N/A</v>
      </c>
      <c r="D366" s="298"/>
      <c r="E366" s="298"/>
      <c r="F366" s="298"/>
      <c r="G366" s="298"/>
      <c r="H366" s="298"/>
      <c r="I366" s="298"/>
      <c r="J366" s="298"/>
      <c r="K366" s="298"/>
      <c r="L366" s="298"/>
      <c r="M366" s="298"/>
      <c r="N366" s="298"/>
      <c r="O366" s="298"/>
      <c r="P366" s="298"/>
      <c r="Q366" s="298"/>
      <c r="R366" s="298"/>
      <c r="S366" s="298"/>
      <c r="T366" s="298"/>
      <c r="U366" s="298"/>
      <c r="V366" s="298"/>
      <c r="W366" s="298"/>
      <c r="X366" s="298"/>
      <c r="Y366" s="298"/>
      <c r="Z366" s="298"/>
      <c r="AA366" s="298"/>
      <c r="AB366" s="298"/>
      <c r="AC366" s="298"/>
      <c r="AD366" s="298"/>
      <c r="AE366" s="298"/>
      <c r="AF366" s="298"/>
      <c r="AG366" s="298"/>
      <c r="AH366" s="298"/>
      <c r="AI366" s="166">
        <f t="shared" si="10"/>
        <v>0</v>
      </c>
      <c r="AJ366" s="166">
        <f t="shared" si="11"/>
        <v>0</v>
      </c>
      <c r="AK366" s="166"/>
      <c r="AL366" s="230"/>
      <c r="AM366" s="172"/>
    </row>
    <row r="367" spans="1:39" x14ac:dyDescent="0.2">
      <c r="A367" s="170">
        <v>359</v>
      </c>
      <c r="B367" s="147" t="e">
        <f>CONCATENATE(IF($A367="","",VLOOKUP($A367,'İşçi Bilgileri'!$A$2:$D$700,2,FALSE))," ",IF($A367="","",VLOOKUP($A367,'İşçi Bilgileri'!$A$2:$D$700,3,FALSE)))</f>
        <v>#N/A</v>
      </c>
      <c r="C367" s="171" t="e">
        <f>IF($A367="","",VLOOKUP($A367,'İşçi Bilgileri'!$A$2:$D$700,4,FALSE))</f>
        <v>#N/A</v>
      </c>
      <c r="D367" s="298"/>
      <c r="E367" s="298"/>
      <c r="F367" s="298"/>
      <c r="G367" s="298"/>
      <c r="H367" s="298"/>
      <c r="I367" s="298"/>
      <c r="J367" s="298"/>
      <c r="K367" s="298"/>
      <c r="L367" s="298"/>
      <c r="M367" s="298"/>
      <c r="N367" s="298"/>
      <c r="O367" s="298"/>
      <c r="P367" s="298"/>
      <c r="Q367" s="298"/>
      <c r="R367" s="298"/>
      <c r="S367" s="298"/>
      <c r="T367" s="298"/>
      <c r="U367" s="298"/>
      <c r="V367" s="298"/>
      <c r="W367" s="298"/>
      <c r="X367" s="298"/>
      <c r="Y367" s="298"/>
      <c r="Z367" s="298"/>
      <c r="AA367" s="298"/>
      <c r="AB367" s="298"/>
      <c r="AC367" s="298"/>
      <c r="AD367" s="298"/>
      <c r="AE367" s="298"/>
      <c r="AF367" s="298"/>
      <c r="AG367" s="298"/>
      <c r="AH367" s="298"/>
      <c r="AI367" s="166">
        <f t="shared" si="10"/>
        <v>0</v>
      </c>
      <c r="AJ367" s="166">
        <f t="shared" si="11"/>
        <v>0</v>
      </c>
      <c r="AK367" s="166"/>
      <c r="AL367" s="230"/>
      <c r="AM367" s="172"/>
    </row>
    <row r="368" spans="1:39" x14ac:dyDescent="0.2">
      <c r="A368" s="170">
        <v>360</v>
      </c>
      <c r="B368" s="147" t="e">
        <f>CONCATENATE(IF($A368="","",VLOOKUP($A368,'İşçi Bilgileri'!$A$2:$D$700,2,FALSE))," ",IF($A368="","",VLOOKUP($A368,'İşçi Bilgileri'!$A$2:$D$700,3,FALSE)))</f>
        <v>#N/A</v>
      </c>
      <c r="C368" s="171" t="e">
        <f>IF($A368="","",VLOOKUP($A368,'İşçi Bilgileri'!$A$2:$D$700,4,FALSE))</f>
        <v>#N/A</v>
      </c>
      <c r="D368" s="298"/>
      <c r="E368" s="298"/>
      <c r="F368" s="298"/>
      <c r="G368" s="298"/>
      <c r="H368" s="298"/>
      <c r="I368" s="298"/>
      <c r="J368" s="298"/>
      <c r="K368" s="298"/>
      <c r="L368" s="298"/>
      <c r="M368" s="298"/>
      <c r="N368" s="298"/>
      <c r="O368" s="298"/>
      <c r="P368" s="298"/>
      <c r="Q368" s="298"/>
      <c r="R368" s="298"/>
      <c r="S368" s="298"/>
      <c r="T368" s="298"/>
      <c r="U368" s="298"/>
      <c r="V368" s="298"/>
      <c r="W368" s="298"/>
      <c r="X368" s="298"/>
      <c r="Y368" s="298"/>
      <c r="Z368" s="298"/>
      <c r="AA368" s="298"/>
      <c r="AB368" s="298"/>
      <c r="AC368" s="298"/>
      <c r="AD368" s="298"/>
      <c r="AE368" s="298"/>
      <c r="AF368" s="298"/>
      <c r="AG368" s="298"/>
      <c r="AH368" s="298"/>
      <c r="AI368" s="166">
        <f t="shared" si="10"/>
        <v>0</v>
      </c>
      <c r="AJ368" s="166">
        <f t="shared" si="11"/>
        <v>0</v>
      </c>
      <c r="AK368" s="166"/>
      <c r="AL368" s="230"/>
      <c r="AM368" s="172"/>
    </row>
    <row r="369" spans="1:39" x14ac:dyDescent="0.2">
      <c r="A369" s="170">
        <v>361</v>
      </c>
      <c r="B369" s="147" t="e">
        <f>CONCATENATE(IF($A369="","",VLOOKUP($A369,'İşçi Bilgileri'!$A$2:$D$700,2,FALSE))," ",IF($A369="","",VLOOKUP($A369,'İşçi Bilgileri'!$A$2:$D$700,3,FALSE)))</f>
        <v>#N/A</v>
      </c>
      <c r="C369" s="171" t="e">
        <f>IF($A369="","",VLOOKUP($A369,'İşçi Bilgileri'!$A$2:$D$700,4,FALSE))</f>
        <v>#N/A</v>
      </c>
      <c r="D369" s="298"/>
      <c r="E369" s="298"/>
      <c r="F369" s="298"/>
      <c r="G369" s="298"/>
      <c r="H369" s="298"/>
      <c r="I369" s="298"/>
      <c r="J369" s="298"/>
      <c r="K369" s="298"/>
      <c r="L369" s="298"/>
      <c r="M369" s="298"/>
      <c r="N369" s="298"/>
      <c r="O369" s="298"/>
      <c r="P369" s="298"/>
      <c r="Q369" s="298"/>
      <c r="R369" s="298"/>
      <c r="S369" s="298"/>
      <c r="T369" s="298"/>
      <c r="U369" s="298"/>
      <c r="V369" s="298"/>
      <c r="W369" s="298"/>
      <c r="X369" s="298"/>
      <c r="Y369" s="298"/>
      <c r="Z369" s="298"/>
      <c r="AA369" s="298"/>
      <c r="AB369" s="298"/>
      <c r="AC369" s="298"/>
      <c r="AD369" s="298"/>
      <c r="AE369" s="298"/>
      <c r="AF369" s="298"/>
      <c r="AG369" s="298"/>
      <c r="AH369" s="298"/>
      <c r="AI369" s="166">
        <f t="shared" si="10"/>
        <v>0</v>
      </c>
      <c r="AJ369" s="166">
        <f t="shared" si="11"/>
        <v>0</v>
      </c>
      <c r="AK369" s="166"/>
      <c r="AL369" s="230"/>
      <c r="AM369" s="172"/>
    </row>
    <row r="370" spans="1:39" x14ac:dyDescent="0.2">
      <c r="A370" s="170">
        <v>362</v>
      </c>
      <c r="B370" s="147" t="e">
        <f>CONCATENATE(IF($A370="","",VLOOKUP($A370,'İşçi Bilgileri'!$A$2:$D$700,2,FALSE))," ",IF($A370="","",VLOOKUP($A370,'İşçi Bilgileri'!$A$2:$D$700,3,FALSE)))</f>
        <v>#N/A</v>
      </c>
      <c r="C370" s="171" t="e">
        <f>IF($A370="","",VLOOKUP($A370,'İşçi Bilgileri'!$A$2:$D$700,4,FALSE))</f>
        <v>#N/A</v>
      </c>
      <c r="D370" s="298"/>
      <c r="E370" s="298"/>
      <c r="F370" s="298"/>
      <c r="G370" s="298"/>
      <c r="H370" s="298"/>
      <c r="I370" s="298"/>
      <c r="J370" s="298"/>
      <c r="K370" s="298"/>
      <c r="L370" s="298"/>
      <c r="M370" s="298"/>
      <c r="N370" s="298"/>
      <c r="O370" s="298"/>
      <c r="P370" s="298"/>
      <c r="Q370" s="298"/>
      <c r="R370" s="298"/>
      <c r="S370" s="298"/>
      <c r="T370" s="298"/>
      <c r="U370" s="298"/>
      <c r="V370" s="298"/>
      <c r="W370" s="298"/>
      <c r="X370" s="298"/>
      <c r="Y370" s="298"/>
      <c r="Z370" s="298"/>
      <c r="AA370" s="298"/>
      <c r="AB370" s="298"/>
      <c r="AC370" s="298"/>
      <c r="AD370" s="298"/>
      <c r="AE370" s="298"/>
      <c r="AF370" s="298"/>
      <c r="AG370" s="298"/>
      <c r="AH370" s="298"/>
      <c r="AI370" s="166">
        <f t="shared" si="10"/>
        <v>0</v>
      </c>
      <c r="AJ370" s="166">
        <f t="shared" si="11"/>
        <v>0</v>
      </c>
      <c r="AK370" s="166"/>
      <c r="AL370" s="230"/>
      <c r="AM370" s="172"/>
    </row>
    <row r="371" spans="1:39" x14ac:dyDescent="0.2">
      <c r="A371" s="170">
        <v>363</v>
      </c>
      <c r="B371" s="147" t="e">
        <f>CONCATENATE(IF($A371="","",VLOOKUP($A371,'İşçi Bilgileri'!$A$2:$D$700,2,FALSE))," ",IF($A371="","",VLOOKUP($A371,'İşçi Bilgileri'!$A$2:$D$700,3,FALSE)))</f>
        <v>#N/A</v>
      </c>
      <c r="C371" s="171" t="e">
        <f>IF($A371="","",VLOOKUP($A371,'İşçi Bilgileri'!$A$2:$D$700,4,FALSE))</f>
        <v>#N/A</v>
      </c>
      <c r="D371" s="298"/>
      <c r="E371" s="298"/>
      <c r="F371" s="298"/>
      <c r="G371" s="298"/>
      <c r="H371" s="298"/>
      <c r="I371" s="298"/>
      <c r="J371" s="298"/>
      <c r="K371" s="298"/>
      <c r="L371" s="298"/>
      <c r="M371" s="298"/>
      <c r="N371" s="298"/>
      <c r="O371" s="298"/>
      <c r="P371" s="298"/>
      <c r="Q371" s="298"/>
      <c r="R371" s="298"/>
      <c r="S371" s="298"/>
      <c r="T371" s="298"/>
      <c r="U371" s="298"/>
      <c r="V371" s="298"/>
      <c r="W371" s="298"/>
      <c r="X371" s="298"/>
      <c r="Y371" s="298"/>
      <c r="Z371" s="298"/>
      <c r="AA371" s="298"/>
      <c r="AB371" s="298"/>
      <c r="AC371" s="298"/>
      <c r="AD371" s="298"/>
      <c r="AE371" s="298"/>
      <c r="AF371" s="298"/>
      <c r="AG371" s="298"/>
      <c r="AH371" s="298"/>
      <c r="AI371" s="166">
        <f t="shared" si="10"/>
        <v>0</v>
      </c>
      <c r="AJ371" s="166">
        <f t="shared" si="11"/>
        <v>0</v>
      </c>
      <c r="AK371" s="166"/>
      <c r="AL371" s="230"/>
      <c r="AM371" s="172"/>
    </row>
    <row r="372" spans="1:39" x14ac:dyDescent="0.2">
      <c r="A372" s="170">
        <v>364</v>
      </c>
      <c r="B372" s="147" t="e">
        <f>CONCATENATE(IF($A372="","",VLOOKUP($A372,'İşçi Bilgileri'!$A$2:$D$700,2,FALSE))," ",IF($A372="","",VLOOKUP($A372,'İşçi Bilgileri'!$A$2:$D$700,3,FALSE)))</f>
        <v>#N/A</v>
      </c>
      <c r="C372" s="171" t="e">
        <f>IF($A372="","",VLOOKUP($A372,'İşçi Bilgileri'!$A$2:$D$700,4,FALSE))</f>
        <v>#N/A</v>
      </c>
      <c r="D372" s="298"/>
      <c r="E372" s="298"/>
      <c r="F372" s="298"/>
      <c r="G372" s="298"/>
      <c r="H372" s="298"/>
      <c r="I372" s="298"/>
      <c r="J372" s="298"/>
      <c r="K372" s="298"/>
      <c r="L372" s="298"/>
      <c r="M372" s="298"/>
      <c r="N372" s="298"/>
      <c r="O372" s="298"/>
      <c r="P372" s="298"/>
      <c r="Q372" s="298"/>
      <c r="R372" s="298"/>
      <c r="S372" s="298"/>
      <c r="T372" s="298"/>
      <c r="U372" s="298"/>
      <c r="V372" s="298"/>
      <c r="W372" s="298"/>
      <c r="X372" s="298"/>
      <c r="Y372" s="298"/>
      <c r="Z372" s="298"/>
      <c r="AA372" s="298"/>
      <c r="AB372" s="298"/>
      <c r="AC372" s="298"/>
      <c r="AD372" s="298"/>
      <c r="AE372" s="298"/>
      <c r="AF372" s="298"/>
      <c r="AG372" s="298"/>
      <c r="AH372" s="298"/>
      <c r="AI372" s="166">
        <f t="shared" si="10"/>
        <v>0</v>
      </c>
      <c r="AJ372" s="166">
        <f t="shared" si="11"/>
        <v>0</v>
      </c>
      <c r="AK372" s="166"/>
      <c r="AL372" s="230"/>
      <c r="AM372" s="172"/>
    </row>
    <row r="373" spans="1:39" x14ac:dyDescent="0.2">
      <c r="A373" s="170">
        <v>365</v>
      </c>
      <c r="B373" s="147" t="e">
        <f>CONCATENATE(IF($A373="","",VLOOKUP($A373,'İşçi Bilgileri'!$A$2:$D$700,2,FALSE))," ",IF($A373="","",VLOOKUP($A373,'İşçi Bilgileri'!$A$2:$D$700,3,FALSE)))</f>
        <v>#N/A</v>
      </c>
      <c r="C373" s="171" t="e">
        <f>IF($A373="","",VLOOKUP($A373,'İşçi Bilgileri'!$A$2:$D$700,4,FALSE))</f>
        <v>#N/A</v>
      </c>
      <c r="D373" s="298"/>
      <c r="E373" s="298"/>
      <c r="F373" s="298"/>
      <c r="G373" s="298"/>
      <c r="H373" s="298"/>
      <c r="I373" s="298"/>
      <c r="J373" s="298"/>
      <c r="K373" s="298"/>
      <c r="L373" s="298"/>
      <c r="M373" s="298"/>
      <c r="N373" s="298"/>
      <c r="O373" s="298"/>
      <c r="P373" s="298"/>
      <c r="Q373" s="298"/>
      <c r="R373" s="298"/>
      <c r="S373" s="298"/>
      <c r="T373" s="298"/>
      <c r="U373" s="298"/>
      <c r="V373" s="298"/>
      <c r="W373" s="298"/>
      <c r="X373" s="298"/>
      <c r="Y373" s="298"/>
      <c r="Z373" s="298"/>
      <c r="AA373" s="298"/>
      <c r="AB373" s="298"/>
      <c r="AC373" s="298"/>
      <c r="AD373" s="298"/>
      <c r="AE373" s="298"/>
      <c r="AF373" s="298"/>
      <c r="AG373" s="298"/>
      <c r="AH373" s="298"/>
      <c r="AI373" s="166">
        <f t="shared" si="10"/>
        <v>0</v>
      </c>
      <c r="AJ373" s="166">
        <f t="shared" si="11"/>
        <v>0</v>
      </c>
      <c r="AK373" s="166"/>
      <c r="AL373" s="230"/>
      <c r="AM373" s="172"/>
    </row>
    <row r="374" spans="1:39" x14ac:dyDescent="0.2">
      <c r="A374" s="170">
        <v>366</v>
      </c>
      <c r="B374" s="147" t="e">
        <f>CONCATENATE(IF($A374="","",VLOOKUP($A374,'İşçi Bilgileri'!$A$2:$D$700,2,FALSE))," ",IF($A374="","",VLOOKUP($A374,'İşçi Bilgileri'!$A$2:$D$700,3,FALSE)))</f>
        <v>#N/A</v>
      </c>
      <c r="C374" s="171" t="e">
        <f>IF($A374="","",VLOOKUP($A374,'İşçi Bilgileri'!$A$2:$D$700,4,FALSE))</f>
        <v>#N/A</v>
      </c>
      <c r="D374" s="298"/>
      <c r="E374" s="298"/>
      <c r="F374" s="298"/>
      <c r="G374" s="298"/>
      <c r="H374" s="298"/>
      <c r="I374" s="298"/>
      <c r="J374" s="298"/>
      <c r="K374" s="298"/>
      <c r="L374" s="298"/>
      <c r="M374" s="298"/>
      <c r="N374" s="298"/>
      <c r="O374" s="298"/>
      <c r="P374" s="298"/>
      <c r="Q374" s="298"/>
      <c r="R374" s="298"/>
      <c r="S374" s="298"/>
      <c r="T374" s="298"/>
      <c r="U374" s="298"/>
      <c r="V374" s="298"/>
      <c r="W374" s="298"/>
      <c r="X374" s="298"/>
      <c r="Y374" s="298"/>
      <c r="Z374" s="298"/>
      <c r="AA374" s="298"/>
      <c r="AB374" s="298"/>
      <c r="AC374" s="298"/>
      <c r="AD374" s="298"/>
      <c r="AE374" s="298"/>
      <c r="AF374" s="298"/>
      <c r="AG374" s="298"/>
      <c r="AH374" s="298"/>
      <c r="AI374" s="166">
        <f t="shared" si="10"/>
        <v>0</v>
      </c>
      <c r="AJ374" s="166">
        <f t="shared" si="11"/>
        <v>0</v>
      </c>
      <c r="AK374" s="166"/>
      <c r="AL374" s="230"/>
      <c r="AM374" s="172"/>
    </row>
    <row r="375" spans="1:39" x14ac:dyDescent="0.2">
      <c r="A375" s="170">
        <v>367</v>
      </c>
      <c r="B375" s="147" t="e">
        <f>CONCATENATE(IF($A375="","",VLOOKUP($A375,'İşçi Bilgileri'!$A$2:$D$700,2,FALSE))," ",IF($A375="","",VLOOKUP($A375,'İşçi Bilgileri'!$A$2:$D$700,3,FALSE)))</f>
        <v>#N/A</v>
      </c>
      <c r="C375" s="171" t="e">
        <f>IF($A375="","",VLOOKUP($A375,'İşçi Bilgileri'!$A$2:$D$700,4,FALSE))</f>
        <v>#N/A</v>
      </c>
      <c r="D375" s="298"/>
      <c r="E375" s="298"/>
      <c r="F375" s="298"/>
      <c r="G375" s="298"/>
      <c r="H375" s="298"/>
      <c r="I375" s="298"/>
      <c r="J375" s="298"/>
      <c r="K375" s="298"/>
      <c r="L375" s="298"/>
      <c r="M375" s="298"/>
      <c r="N375" s="298"/>
      <c r="O375" s="298"/>
      <c r="P375" s="298"/>
      <c r="Q375" s="298"/>
      <c r="R375" s="298"/>
      <c r="S375" s="298"/>
      <c r="T375" s="298"/>
      <c r="U375" s="298"/>
      <c r="V375" s="298"/>
      <c r="W375" s="298"/>
      <c r="X375" s="298"/>
      <c r="Y375" s="298"/>
      <c r="Z375" s="298"/>
      <c r="AA375" s="298"/>
      <c r="AB375" s="298"/>
      <c r="AC375" s="298"/>
      <c r="AD375" s="298"/>
      <c r="AE375" s="298"/>
      <c r="AF375" s="298"/>
      <c r="AG375" s="298"/>
      <c r="AH375" s="298"/>
      <c r="AI375" s="166">
        <f t="shared" si="10"/>
        <v>0</v>
      </c>
      <c r="AJ375" s="166">
        <f t="shared" si="11"/>
        <v>0</v>
      </c>
      <c r="AK375" s="166"/>
      <c r="AL375" s="230"/>
      <c r="AM375" s="172"/>
    </row>
    <row r="376" spans="1:39" x14ac:dyDescent="0.2">
      <c r="A376" s="170">
        <v>368</v>
      </c>
      <c r="B376" s="147" t="e">
        <f>CONCATENATE(IF($A376="","",VLOOKUP($A376,'İşçi Bilgileri'!$A$2:$D$700,2,FALSE))," ",IF($A376="","",VLOOKUP($A376,'İşçi Bilgileri'!$A$2:$D$700,3,FALSE)))</f>
        <v>#N/A</v>
      </c>
      <c r="C376" s="171" t="e">
        <f>IF($A376="","",VLOOKUP($A376,'İşçi Bilgileri'!$A$2:$D$700,4,FALSE))</f>
        <v>#N/A</v>
      </c>
      <c r="D376" s="298"/>
      <c r="E376" s="298"/>
      <c r="F376" s="298"/>
      <c r="G376" s="298"/>
      <c r="H376" s="298"/>
      <c r="I376" s="298"/>
      <c r="J376" s="298"/>
      <c r="K376" s="298"/>
      <c r="L376" s="298"/>
      <c r="M376" s="298"/>
      <c r="N376" s="298"/>
      <c r="O376" s="298"/>
      <c r="P376" s="298"/>
      <c r="Q376" s="298"/>
      <c r="R376" s="298"/>
      <c r="S376" s="298"/>
      <c r="T376" s="298"/>
      <c r="U376" s="298"/>
      <c r="V376" s="298"/>
      <c r="W376" s="298"/>
      <c r="X376" s="298"/>
      <c r="Y376" s="298"/>
      <c r="Z376" s="298"/>
      <c r="AA376" s="298"/>
      <c r="AB376" s="298"/>
      <c r="AC376" s="298"/>
      <c r="AD376" s="298"/>
      <c r="AE376" s="298"/>
      <c r="AF376" s="298"/>
      <c r="AG376" s="298"/>
      <c r="AH376" s="298"/>
      <c r="AI376" s="166">
        <f t="shared" si="10"/>
        <v>0</v>
      </c>
      <c r="AJ376" s="166">
        <f t="shared" si="11"/>
        <v>0</v>
      </c>
      <c r="AK376" s="166"/>
      <c r="AL376" s="230"/>
      <c r="AM376" s="172"/>
    </row>
    <row r="377" spans="1:39" x14ac:dyDescent="0.2">
      <c r="A377" s="170">
        <v>369</v>
      </c>
      <c r="B377" s="147" t="e">
        <f>CONCATENATE(IF($A377="","",VLOOKUP($A377,'İşçi Bilgileri'!$A$2:$D$700,2,FALSE))," ",IF($A377="","",VLOOKUP($A377,'İşçi Bilgileri'!$A$2:$D$700,3,FALSE)))</f>
        <v>#N/A</v>
      </c>
      <c r="C377" s="171" t="e">
        <f>IF($A377="","",VLOOKUP($A377,'İşçi Bilgileri'!$A$2:$D$700,4,FALSE))</f>
        <v>#N/A</v>
      </c>
      <c r="D377" s="298"/>
      <c r="E377" s="298"/>
      <c r="F377" s="298"/>
      <c r="G377" s="298"/>
      <c r="H377" s="298"/>
      <c r="I377" s="298"/>
      <c r="J377" s="298"/>
      <c r="K377" s="298"/>
      <c r="L377" s="298"/>
      <c r="M377" s="298"/>
      <c r="N377" s="298"/>
      <c r="O377" s="298"/>
      <c r="P377" s="298"/>
      <c r="Q377" s="298"/>
      <c r="R377" s="298"/>
      <c r="S377" s="298"/>
      <c r="T377" s="298"/>
      <c r="U377" s="298"/>
      <c r="V377" s="298"/>
      <c r="W377" s="298"/>
      <c r="X377" s="298"/>
      <c r="Y377" s="298"/>
      <c r="Z377" s="298"/>
      <c r="AA377" s="298"/>
      <c r="AB377" s="298"/>
      <c r="AC377" s="298"/>
      <c r="AD377" s="298"/>
      <c r="AE377" s="298"/>
      <c r="AF377" s="298"/>
      <c r="AG377" s="298"/>
      <c r="AH377" s="298"/>
      <c r="AI377" s="166">
        <f t="shared" si="10"/>
        <v>0</v>
      </c>
      <c r="AJ377" s="166">
        <f t="shared" si="11"/>
        <v>0</v>
      </c>
      <c r="AK377" s="166"/>
      <c r="AL377" s="230"/>
      <c r="AM377" s="172"/>
    </row>
    <row r="378" spans="1:39" x14ac:dyDescent="0.2">
      <c r="A378" s="170">
        <v>370</v>
      </c>
      <c r="B378" s="147" t="e">
        <f>CONCATENATE(IF($A378="","",VLOOKUP($A378,'İşçi Bilgileri'!$A$2:$D$700,2,FALSE))," ",IF($A378="","",VLOOKUP($A378,'İşçi Bilgileri'!$A$2:$D$700,3,FALSE)))</f>
        <v>#N/A</v>
      </c>
      <c r="C378" s="171" t="e">
        <f>IF($A378="","",VLOOKUP($A378,'İşçi Bilgileri'!$A$2:$D$700,4,FALSE))</f>
        <v>#N/A</v>
      </c>
      <c r="D378" s="298"/>
      <c r="E378" s="298"/>
      <c r="F378" s="298"/>
      <c r="G378" s="298"/>
      <c r="H378" s="298"/>
      <c r="I378" s="298"/>
      <c r="J378" s="298"/>
      <c r="K378" s="298"/>
      <c r="L378" s="298"/>
      <c r="M378" s="298"/>
      <c r="N378" s="298"/>
      <c r="O378" s="298"/>
      <c r="P378" s="298"/>
      <c r="Q378" s="298"/>
      <c r="R378" s="298"/>
      <c r="S378" s="298"/>
      <c r="T378" s="298"/>
      <c r="U378" s="298"/>
      <c r="V378" s="298"/>
      <c r="W378" s="298"/>
      <c r="X378" s="298"/>
      <c r="Y378" s="298"/>
      <c r="Z378" s="298"/>
      <c r="AA378" s="298"/>
      <c r="AB378" s="298"/>
      <c r="AC378" s="298"/>
      <c r="AD378" s="298"/>
      <c r="AE378" s="298"/>
      <c r="AF378" s="298"/>
      <c r="AG378" s="298"/>
      <c r="AH378" s="298"/>
      <c r="AI378" s="166">
        <f t="shared" si="10"/>
        <v>0</v>
      </c>
      <c r="AJ378" s="166">
        <f t="shared" si="11"/>
        <v>0</v>
      </c>
      <c r="AK378" s="166"/>
      <c r="AL378" s="230"/>
      <c r="AM378" s="172"/>
    </row>
    <row r="379" spans="1:39" x14ac:dyDescent="0.2">
      <c r="A379" s="170">
        <v>371</v>
      </c>
      <c r="B379" s="147" t="e">
        <f>CONCATENATE(IF($A379="","",VLOOKUP($A379,'İşçi Bilgileri'!$A$2:$D$700,2,FALSE))," ",IF($A379="","",VLOOKUP($A379,'İşçi Bilgileri'!$A$2:$D$700,3,FALSE)))</f>
        <v>#N/A</v>
      </c>
      <c r="C379" s="171" t="e">
        <f>IF($A379="","",VLOOKUP($A379,'İşçi Bilgileri'!$A$2:$D$700,4,FALSE))</f>
        <v>#N/A</v>
      </c>
      <c r="D379" s="298"/>
      <c r="E379" s="298"/>
      <c r="F379" s="298"/>
      <c r="G379" s="298"/>
      <c r="H379" s="298"/>
      <c r="I379" s="298"/>
      <c r="J379" s="298"/>
      <c r="K379" s="298"/>
      <c r="L379" s="298"/>
      <c r="M379" s="298"/>
      <c r="N379" s="298"/>
      <c r="O379" s="298"/>
      <c r="P379" s="298"/>
      <c r="Q379" s="298"/>
      <c r="R379" s="298"/>
      <c r="S379" s="298"/>
      <c r="T379" s="298"/>
      <c r="U379" s="298"/>
      <c r="V379" s="298"/>
      <c r="W379" s="298"/>
      <c r="X379" s="298"/>
      <c r="Y379" s="298"/>
      <c r="Z379" s="298"/>
      <c r="AA379" s="298"/>
      <c r="AB379" s="298"/>
      <c r="AC379" s="298"/>
      <c r="AD379" s="298"/>
      <c r="AE379" s="298"/>
      <c r="AF379" s="298"/>
      <c r="AG379" s="298"/>
      <c r="AH379" s="298"/>
      <c r="AI379" s="166">
        <f t="shared" si="10"/>
        <v>0</v>
      </c>
      <c r="AJ379" s="166">
        <f t="shared" si="11"/>
        <v>0</v>
      </c>
      <c r="AK379" s="166"/>
      <c r="AL379" s="230"/>
      <c r="AM379" s="172"/>
    </row>
    <row r="380" spans="1:39" x14ac:dyDescent="0.2">
      <c r="A380" s="170">
        <v>372</v>
      </c>
      <c r="B380" s="147" t="e">
        <f>CONCATENATE(IF($A380="","",VLOOKUP($A380,'İşçi Bilgileri'!$A$2:$D$700,2,FALSE))," ",IF($A380="","",VLOOKUP($A380,'İşçi Bilgileri'!$A$2:$D$700,3,FALSE)))</f>
        <v>#N/A</v>
      </c>
      <c r="C380" s="171" t="e">
        <f>IF($A380="","",VLOOKUP($A380,'İşçi Bilgileri'!$A$2:$D$700,4,FALSE))</f>
        <v>#N/A</v>
      </c>
      <c r="D380" s="298"/>
      <c r="E380" s="298"/>
      <c r="F380" s="298"/>
      <c r="G380" s="298"/>
      <c r="H380" s="298"/>
      <c r="I380" s="298"/>
      <c r="J380" s="298"/>
      <c r="K380" s="298"/>
      <c r="L380" s="298"/>
      <c r="M380" s="298"/>
      <c r="N380" s="298"/>
      <c r="O380" s="298"/>
      <c r="P380" s="298"/>
      <c r="Q380" s="298"/>
      <c r="R380" s="298"/>
      <c r="S380" s="298"/>
      <c r="T380" s="298"/>
      <c r="U380" s="298"/>
      <c r="V380" s="298"/>
      <c r="W380" s="298"/>
      <c r="X380" s="298"/>
      <c r="Y380" s="298"/>
      <c r="Z380" s="298"/>
      <c r="AA380" s="298"/>
      <c r="AB380" s="298"/>
      <c r="AC380" s="298"/>
      <c r="AD380" s="298"/>
      <c r="AE380" s="298"/>
      <c r="AF380" s="298"/>
      <c r="AG380" s="298"/>
      <c r="AH380" s="298"/>
      <c r="AI380" s="166">
        <f t="shared" si="10"/>
        <v>0</v>
      </c>
      <c r="AJ380" s="166">
        <f t="shared" si="11"/>
        <v>0</v>
      </c>
      <c r="AK380" s="166"/>
      <c r="AL380" s="230"/>
      <c r="AM380" s="172"/>
    </row>
    <row r="381" spans="1:39" x14ac:dyDescent="0.2">
      <c r="A381" s="170">
        <v>373</v>
      </c>
      <c r="B381" s="147" t="e">
        <f>CONCATENATE(IF($A381="","",VLOOKUP($A381,'İşçi Bilgileri'!$A$2:$D$700,2,FALSE))," ",IF($A381="","",VLOOKUP($A381,'İşçi Bilgileri'!$A$2:$D$700,3,FALSE)))</f>
        <v>#N/A</v>
      </c>
      <c r="C381" s="171" t="e">
        <f>IF($A381="","",VLOOKUP($A381,'İşçi Bilgileri'!$A$2:$D$700,4,FALSE))</f>
        <v>#N/A</v>
      </c>
      <c r="D381" s="298"/>
      <c r="E381" s="298"/>
      <c r="F381" s="298"/>
      <c r="G381" s="298"/>
      <c r="H381" s="298"/>
      <c r="I381" s="298"/>
      <c r="J381" s="298"/>
      <c r="K381" s="298"/>
      <c r="L381" s="298"/>
      <c r="M381" s="298"/>
      <c r="N381" s="298"/>
      <c r="O381" s="298"/>
      <c r="P381" s="298"/>
      <c r="Q381" s="298"/>
      <c r="R381" s="298"/>
      <c r="S381" s="298"/>
      <c r="T381" s="298"/>
      <c r="U381" s="298"/>
      <c r="V381" s="298"/>
      <c r="W381" s="298"/>
      <c r="X381" s="298"/>
      <c r="Y381" s="298"/>
      <c r="Z381" s="298"/>
      <c r="AA381" s="298"/>
      <c r="AB381" s="298"/>
      <c r="AC381" s="298"/>
      <c r="AD381" s="298"/>
      <c r="AE381" s="298"/>
      <c r="AF381" s="298"/>
      <c r="AG381" s="298"/>
      <c r="AH381" s="298"/>
      <c r="AI381" s="166">
        <f t="shared" si="10"/>
        <v>0</v>
      </c>
      <c r="AJ381" s="166">
        <f t="shared" si="11"/>
        <v>0</v>
      </c>
      <c r="AK381" s="166"/>
      <c r="AL381" s="230"/>
      <c r="AM381" s="172"/>
    </row>
    <row r="382" spans="1:39" x14ac:dyDescent="0.2">
      <c r="A382" s="170">
        <v>374</v>
      </c>
      <c r="B382" s="147" t="e">
        <f>CONCATENATE(IF($A382="","",VLOOKUP($A382,'İşçi Bilgileri'!$A$2:$D$700,2,FALSE))," ",IF($A382="","",VLOOKUP($A382,'İşçi Bilgileri'!$A$2:$D$700,3,FALSE)))</f>
        <v>#N/A</v>
      </c>
      <c r="C382" s="171" t="e">
        <f>IF($A382="","",VLOOKUP($A382,'İşçi Bilgileri'!$A$2:$D$700,4,FALSE))</f>
        <v>#N/A</v>
      </c>
      <c r="D382" s="298"/>
      <c r="E382" s="298"/>
      <c r="F382" s="298"/>
      <c r="G382" s="298"/>
      <c r="H382" s="298"/>
      <c r="I382" s="298"/>
      <c r="J382" s="298"/>
      <c r="K382" s="298"/>
      <c r="L382" s="298"/>
      <c r="M382" s="298"/>
      <c r="N382" s="298"/>
      <c r="O382" s="298"/>
      <c r="P382" s="298"/>
      <c r="Q382" s="298"/>
      <c r="R382" s="298"/>
      <c r="S382" s="298"/>
      <c r="T382" s="298"/>
      <c r="U382" s="298"/>
      <c r="V382" s="298"/>
      <c r="W382" s="298"/>
      <c r="X382" s="298"/>
      <c r="Y382" s="298"/>
      <c r="Z382" s="298"/>
      <c r="AA382" s="298"/>
      <c r="AB382" s="298"/>
      <c r="AC382" s="298"/>
      <c r="AD382" s="298"/>
      <c r="AE382" s="298"/>
      <c r="AF382" s="298"/>
      <c r="AG382" s="298"/>
      <c r="AH382" s="298"/>
      <c r="AI382" s="166">
        <f t="shared" si="10"/>
        <v>0</v>
      </c>
      <c r="AJ382" s="166">
        <f t="shared" si="11"/>
        <v>0</v>
      </c>
      <c r="AK382" s="166"/>
      <c r="AL382" s="230"/>
      <c r="AM382" s="172"/>
    </row>
    <row r="383" spans="1:39" x14ac:dyDescent="0.2">
      <c r="A383" s="170">
        <v>375</v>
      </c>
      <c r="B383" s="147" t="e">
        <f>CONCATENATE(IF($A383="","",VLOOKUP($A383,'İşçi Bilgileri'!$A$2:$D$700,2,FALSE))," ",IF($A383="","",VLOOKUP($A383,'İşçi Bilgileri'!$A$2:$D$700,3,FALSE)))</f>
        <v>#N/A</v>
      </c>
      <c r="C383" s="171" t="e">
        <f>IF($A383="","",VLOOKUP($A383,'İşçi Bilgileri'!$A$2:$D$700,4,FALSE))</f>
        <v>#N/A</v>
      </c>
      <c r="D383" s="298"/>
      <c r="E383" s="298"/>
      <c r="F383" s="298"/>
      <c r="G383" s="298"/>
      <c r="H383" s="298"/>
      <c r="I383" s="298"/>
      <c r="J383" s="298"/>
      <c r="K383" s="298"/>
      <c r="L383" s="298"/>
      <c r="M383" s="298"/>
      <c r="N383" s="298"/>
      <c r="O383" s="298"/>
      <c r="P383" s="298"/>
      <c r="Q383" s="298"/>
      <c r="R383" s="298"/>
      <c r="S383" s="298"/>
      <c r="T383" s="298"/>
      <c r="U383" s="298"/>
      <c r="V383" s="298"/>
      <c r="W383" s="298"/>
      <c r="X383" s="298"/>
      <c r="Y383" s="298"/>
      <c r="Z383" s="298"/>
      <c r="AA383" s="298"/>
      <c r="AB383" s="298"/>
      <c r="AC383" s="298"/>
      <c r="AD383" s="298"/>
      <c r="AE383" s="298"/>
      <c r="AF383" s="298"/>
      <c r="AG383" s="298"/>
      <c r="AH383" s="298"/>
      <c r="AI383" s="166">
        <f t="shared" si="10"/>
        <v>0</v>
      </c>
      <c r="AJ383" s="166">
        <f t="shared" si="11"/>
        <v>0</v>
      </c>
      <c r="AK383" s="166"/>
      <c r="AL383" s="230"/>
      <c r="AM383" s="172"/>
    </row>
    <row r="384" spans="1:39" x14ac:dyDescent="0.2">
      <c r="A384" s="170">
        <v>376</v>
      </c>
      <c r="B384" s="147" t="e">
        <f>CONCATENATE(IF($A384="","",VLOOKUP($A384,'İşçi Bilgileri'!$A$2:$D$700,2,FALSE))," ",IF($A384="","",VLOOKUP($A384,'İşçi Bilgileri'!$A$2:$D$700,3,FALSE)))</f>
        <v>#N/A</v>
      </c>
      <c r="C384" s="171" t="e">
        <f>IF($A384="","",VLOOKUP($A384,'İşçi Bilgileri'!$A$2:$D$700,4,FALSE))</f>
        <v>#N/A</v>
      </c>
      <c r="D384" s="298"/>
      <c r="E384" s="298"/>
      <c r="F384" s="298"/>
      <c r="G384" s="298"/>
      <c r="H384" s="298"/>
      <c r="I384" s="298"/>
      <c r="J384" s="298"/>
      <c r="K384" s="298"/>
      <c r="L384" s="298"/>
      <c r="M384" s="298"/>
      <c r="N384" s="298"/>
      <c r="O384" s="298"/>
      <c r="P384" s="298"/>
      <c r="Q384" s="298"/>
      <c r="R384" s="298"/>
      <c r="S384" s="298"/>
      <c r="T384" s="298"/>
      <c r="U384" s="298"/>
      <c r="V384" s="298"/>
      <c r="W384" s="298"/>
      <c r="X384" s="298"/>
      <c r="Y384" s="298"/>
      <c r="Z384" s="298"/>
      <c r="AA384" s="298"/>
      <c r="AB384" s="298"/>
      <c r="AC384" s="298"/>
      <c r="AD384" s="298"/>
      <c r="AE384" s="298"/>
      <c r="AF384" s="298"/>
      <c r="AG384" s="298"/>
      <c r="AH384" s="298"/>
      <c r="AI384" s="166">
        <f t="shared" si="10"/>
        <v>0</v>
      </c>
      <c r="AJ384" s="166">
        <f t="shared" si="11"/>
        <v>0</v>
      </c>
      <c r="AK384" s="166"/>
      <c r="AL384" s="230"/>
      <c r="AM384" s="172"/>
    </row>
    <row r="385" spans="1:39" x14ac:dyDescent="0.2">
      <c r="A385" s="170">
        <v>377</v>
      </c>
      <c r="B385" s="147" t="e">
        <f>CONCATENATE(IF($A385="","",VLOOKUP($A385,'İşçi Bilgileri'!$A$2:$D$700,2,FALSE))," ",IF($A385="","",VLOOKUP($A385,'İşçi Bilgileri'!$A$2:$D$700,3,FALSE)))</f>
        <v>#N/A</v>
      </c>
      <c r="C385" s="171" t="e">
        <f>IF($A385="","",VLOOKUP($A385,'İşçi Bilgileri'!$A$2:$D$700,4,FALSE))</f>
        <v>#N/A</v>
      </c>
      <c r="D385" s="298"/>
      <c r="E385" s="298"/>
      <c r="F385" s="298"/>
      <c r="G385" s="298"/>
      <c r="H385" s="298"/>
      <c r="I385" s="298"/>
      <c r="J385" s="298"/>
      <c r="K385" s="298"/>
      <c r="L385" s="298"/>
      <c r="M385" s="298"/>
      <c r="N385" s="298"/>
      <c r="O385" s="298"/>
      <c r="P385" s="298"/>
      <c r="Q385" s="298"/>
      <c r="R385" s="298"/>
      <c r="S385" s="298"/>
      <c r="T385" s="298"/>
      <c r="U385" s="298"/>
      <c r="V385" s="298"/>
      <c r="W385" s="298"/>
      <c r="X385" s="298"/>
      <c r="Y385" s="298"/>
      <c r="Z385" s="298"/>
      <c r="AA385" s="298"/>
      <c r="AB385" s="298"/>
      <c r="AC385" s="298"/>
      <c r="AD385" s="298"/>
      <c r="AE385" s="298"/>
      <c r="AF385" s="298"/>
      <c r="AG385" s="298"/>
      <c r="AH385" s="298"/>
      <c r="AI385" s="166">
        <f t="shared" si="10"/>
        <v>0</v>
      </c>
      <c r="AJ385" s="166">
        <f t="shared" si="11"/>
        <v>0</v>
      </c>
      <c r="AK385" s="166"/>
      <c r="AL385" s="230"/>
      <c r="AM385" s="172"/>
    </row>
    <row r="386" spans="1:39" x14ac:dyDescent="0.2">
      <c r="A386" s="170">
        <v>378</v>
      </c>
      <c r="B386" s="147" t="e">
        <f>CONCATENATE(IF($A386="","",VLOOKUP($A386,'İşçi Bilgileri'!$A$2:$D$700,2,FALSE))," ",IF($A386="","",VLOOKUP($A386,'İşçi Bilgileri'!$A$2:$D$700,3,FALSE)))</f>
        <v>#N/A</v>
      </c>
      <c r="C386" s="171" t="e">
        <f>IF($A386="","",VLOOKUP($A386,'İşçi Bilgileri'!$A$2:$D$700,4,FALSE))</f>
        <v>#N/A</v>
      </c>
      <c r="D386" s="298"/>
      <c r="E386" s="298"/>
      <c r="F386" s="298"/>
      <c r="G386" s="298"/>
      <c r="H386" s="298"/>
      <c r="I386" s="298"/>
      <c r="J386" s="298"/>
      <c r="K386" s="298"/>
      <c r="L386" s="298"/>
      <c r="M386" s="298"/>
      <c r="N386" s="298"/>
      <c r="O386" s="298"/>
      <c r="P386" s="298"/>
      <c r="Q386" s="298"/>
      <c r="R386" s="298"/>
      <c r="S386" s="298"/>
      <c r="T386" s="298"/>
      <c r="U386" s="298"/>
      <c r="V386" s="298"/>
      <c r="W386" s="298"/>
      <c r="X386" s="298"/>
      <c r="Y386" s="298"/>
      <c r="Z386" s="298"/>
      <c r="AA386" s="298"/>
      <c r="AB386" s="298"/>
      <c r="AC386" s="298"/>
      <c r="AD386" s="298"/>
      <c r="AE386" s="298"/>
      <c r="AF386" s="298"/>
      <c r="AG386" s="298"/>
      <c r="AH386" s="298"/>
      <c r="AI386" s="166">
        <f t="shared" si="10"/>
        <v>0</v>
      </c>
      <c r="AJ386" s="166">
        <f t="shared" si="11"/>
        <v>0</v>
      </c>
      <c r="AK386" s="166"/>
      <c r="AL386" s="230"/>
      <c r="AM386" s="172"/>
    </row>
    <row r="387" spans="1:39" x14ac:dyDescent="0.2">
      <c r="A387" s="170">
        <v>379</v>
      </c>
      <c r="B387" s="147" t="e">
        <f>CONCATENATE(IF($A387="","",VLOOKUP($A387,'İşçi Bilgileri'!$A$2:$D$700,2,FALSE))," ",IF($A387="","",VLOOKUP($A387,'İşçi Bilgileri'!$A$2:$D$700,3,FALSE)))</f>
        <v>#N/A</v>
      </c>
      <c r="C387" s="171" t="e">
        <f>IF($A387="","",VLOOKUP($A387,'İşçi Bilgileri'!$A$2:$D$700,4,FALSE))</f>
        <v>#N/A</v>
      </c>
      <c r="D387" s="298"/>
      <c r="E387" s="298"/>
      <c r="F387" s="298"/>
      <c r="G387" s="298"/>
      <c r="H387" s="298"/>
      <c r="I387" s="298"/>
      <c r="J387" s="298"/>
      <c r="K387" s="298"/>
      <c r="L387" s="298"/>
      <c r="M387" s="298"/>
      <c r="N387" s="298"/>
      <c r="O387" s="298"/>
      <c r="P387" s="298"/>
      <c r="Q387" s="298"/>
      <c r="R387" s="298"/>
      <c r="S387" s="298"/>
      <c r="T387" s="298"/>
      <c r="U387" s="298"/>
      <c r="V387" s="298"/>
      <c r="W387" s="298"/>
      <c r="X387" s="298"/>
      <c r="Y387" s="298"/>
      <c r="Z387" s="298"/>
      <c r="AA387" s="298"/>
      <c r="AB387" s="298"/>
      <c r="AC387" s="298"/>
      <c r="AD387" s="298"/>
      <c r="AE387" s="298"/>
      <c r="AF387" s="298"/>
      <c r="AG387" s="298"/>
      <c r="AH387" s="298"/>
      <c r="AI387" s="166">
        <f t="shared" si="10"/>
        <v>0</v>
      </c>
      <c r="AJ387" s="166">
        <f t="shared" si="11"/>
        <v>0</v>
      </c>
      <c r="AK387" s="166"/>
      <c r="AL387" s="230"/>
      <c r="AM387" s="172"/>
    </row>
    <row r="388" spans="1:39" x14ac:dyDescent="0.2">
      <c r="A388" s="170">
        <v>380</v>
      </c>
      <c r="B388" s="147" t="e">
        <f>CONCATENATE(IF($A388="","",VLOOKUP($A388,'İşçi Bilgileri'!$A$2:$D$700,2,FALSE))," ",IF($A388="","",VLOOKUP($A388,'İşçi Bilgileri'!$A$2:$D$700,3,FALSE)))</f>
        <v>#N/A</v>
      </c>
      <c r="C388" s="171" t="e">
        <f>IF($A388="","",VLOOKUP($A388,'İşçi Bilgileri'!$A$2:$D$700,4,FALSE))</f>
        <v>#N/A</v>
      </c>
      <c r="D388" s="298"/>
      <c r="E388" s="298"/>
      <c r="F388" s="298"/>
      <c r="G388" s="298"/>
      <c r="H388" s="298"/>
      <c r="I388" s="298"/>
      <c r="J388" s="298"/>
      <c r="K388" s="298"/>
      <c r="L388" s="298"/>
      <c r="M388" s="298"/>
      <c r="N388" s="298"/>
      <c r="O388" s="298"/>
      <c r="P388" s="298"/>
      <c r="Q388" s="298"/>
      <c r="R388" s="298"/>
      <c r="S388" s="298"/>
      <c r="T388" s="298"/>
      <c r="U388" s="298"/>
      <c r="V388" s="298"/>
      <c r="W388" s="298"/>
      <c r="X388" s="298"/>
      <c r="Y388" s="298"/>
      <c r="Z388" s="298"/>
      <c r="AA388" s="298"/>
      <c r="AB388" s="298"/>
      <c r="AC388" s="298"/>
      <c r="AD388" s="298"/>
      <c r="AE388" s="298"/>
      <c r="AF388" s="298"/>
      <c r="AG388" s="298"/>
      <c r="AH388" s="298"/>
      <c r="AI388" s="166">
        <f t="shared" si="10"/>
        <v>0</v>
      </c>
      <c r="AJ388" s="166">
        <f t="shared" si="11"/>
        <v>0</v>
      </c>
      <c r="AK388" s="166"/>
      <c r="AL388" s="230"/>
      <c r="AM388" s="172"/>
    </row>
    <row r="389" spans="1:39" x14ac:dyDescent="0.2">
      <c r="A389" s="170">
        <v>381</v>
      </c>
      <c r="B389" s="147" t="e">
        <f>CONCATENATE(IF($A389="","",VLOOKUP($A389,'İşçi Bilgileri'!$A$2:$D$700,2,FALSE))," ",IF($A389="","",VLOOKUP($A389,'İşçi Bilgileri'!$A$2:$D$700,3,FALSE)))</f>
        <v>#N/A</v>
      </c>
      <c r="C389" s="171" t="e">
        <f>IF($A389="","",VLOOKUP($A389,'İşçi Bilgileri'!$A$2:$D$700,4,FALSE))</f>
        <v>#N/A</v>
      </c>
      <c r="D389" s="298"/>
      <c r="E389" s="298"/>
      <c r="F389" s="298"/>
      <c r="G389" s="298"/>
      <c r="H389" s="298"/>
      <c r="I389" s="298"/>
      <c r="J389" s="298"/>
      <c r="K389" s="298"/>
      <c r="L389" s="298"/>
      <c r="M389" s="298"/>
      <c r="N389" s="298"/>
      <c r="O389" s="298"/>
      <c r="P389" s="298"/>
      <c r="Q389" s="298"/>
      <c r="R389" s="298"/>
      <c r="S389" s="298"/>
      <c r="T389" s="298"/>
      <c r="U389" s="298"/>
      <c r="V389" s="298"/>
      <c r="W389" s="298"/>
      <c r="X389" s="298"/>
      <c r="Y389" s="298"/>
      <c r="Z389" s="298"/>
      <c r="AA389" s="298"/>
      <c r="AB389" s="298"/>
      <c r="AC389" s="298"/>
      <c r="AD389" s="298"/>
      <c r="AE389" s="298"/>
      <c r="AF389" s="298"/>
      <c r="AG389" s="298"/>
      <c r="AH389" s="298"/>
      <c r="AI389" s="166">
        <f t="shared" si="10"/>
        <v>0</v>
      </c>
      <c r="AJ389" s="166">
        <f t="shared" si="11"/>
        <v>0</v>
      </c>
      <c r="AK389" s="166"/>
      <c r="AL389" s="230"/>
      <c r="AM389" s="172"/>
    </row>
    <row r="390" spans="1:39" x14ac:dyDescent="0.2">
      <c r="A390" s="170">
        <v>382</v>
      </c>
      <c r="B390" s="147" t="e">
        <f>CONCATENATE(IF($A390="","",VLOOKUP($A390,'İşçi Bilgileri'!$A$2:$D$700,2,FALSE))," ",IF($A390="","",VLOOKUP($A390,'İşçi Bilgileri'!$A$2:$D$700,3,FALSE)))</f>
        <v>#N/A</v>
      </c>
      <c r="C390" s="171" t="e">
        <f>IF($A390="","",VLOOKUP($A390,'İşçi Bilgileri'!$A$2:$D$700,4,FALSE))</f>
        <v>#N/A</v>
      </c>
      <c r="D390" s="298"/>
      <c r="E390" s="298"/>
      <c r="F390" s="298"/>
      <c r="G390" s="298"/>
      <c r="H390" s="298"/>
      <c r="I390" s="298"/>
      <c r="J390" s="298"/>
      <c r="K390" s="298"/>
      <c r="L390" s="298"/>
      <c r="M390" s="298"/>
      <c r="N390" s="298"/>
      <c r="O390" s="298"/>
      <c r="P390" s="298"/>
      <c r="Q390" s="298"/>
      <c r="R390" s="298"/>
      <c r="S390" s="298"/>
      <c r="T390" s="298"/>
      <c r="U390" s="298"/>
      <c r="V390" s="298"/>
      <c r="W390" s="298"/>
      <c r="X390" s="298"/>
      <c r="Y390" s="298"/>
      <c r="Z390" s="298"/>
      <c r="AA390" s="298"/>
      <c r="AB390" s="298"/>
      <c r="AC390" s="298"/>
      <c r="AD390" s="298"/>
      <c r="AE390" s="298"/>
      <c r="AF390" s="298"/>
      <c r="AG390" s="298"/>
      <c r="AH390" s="298"/>
      <c r="AI390" s="166">
        <f t="shared" si="10"/>
        <v>0</v>
      </c>
      <c r="AJ390" s="166">
        <f t="shared" si="11"/>
        <v>0</v>
      </c>
      <c r="AK390" s="166"/>
      <c r="AL390" s="230"/>
      <c r="AM390" s="172"/>
    </row>
    <row r="391" spans="1:39" x14ac:dyDescent="0.2">
      <c r="A391" s="170">
        <v>383</v>
      </c>
      <c r="B391" s="147" t="e">
        <f>CONCATENATE(IF($A391="","",VLOOKUP($A391,'İşçi Bilgileri'!$A$2:$D$700,2,FALSE))," ",IF($A391="","",VLOOKUP($A391,'İşçi Bilgileri'!$A$2:$D$700,3,FALSE)))</f>
        <v>#N/A</v>
      </c>
      <c r="C391" s="171" t="e">
        <f>IF($A391="","",VLOOKUP($A391,'İşçi Bilgileri'!$A$2:$D$700,4,FALSE))</f>
        <v>#N/A</v>
      </c>
      <c r="D391" s="298"/>
      <c r="E391" s="298"/>
      <c r="F391" s="298"/>
      <c r="G391" s="298"/>
      <c r="H391" s="298"/>
      <c r="I391" s="298"/>
      <c r="J391" s="298"/>
      <c r="K391" s="298"/>
      <c r="L391" s="298"/>
      <c r="M391" s="298"/>
      <c r="N391" s="298"/>
      <c r="O391" s="298"/>
      <c r="P391" s="298"/>
      <c r="Q391" s="298"/>
      <c r="R391" s="298"/>
      <c r="S391" s="298"/>
      <c r="T391" s="298"/>
      <c r="U391" s="298"/>
      <c r="V391" s="298"/>
      <c r="W391" s="298"/>
      <c r="X391" s="298"/>
      <c r="Y391" s="298"/>
      <c r="Z391" s="298"/>
      <c r="AA391" s="298"/>
      <c r="AB391" s="298"/>
      <c r="AC391" s="298"/>
      <c r="AD391" s="298"/>
      <c r="AE391" s="298"/>
      <c r="AF391" s="298"/>
      <c r="AG391" s="298"/>
      <c r="AH391" s="298"/>
      <c r="AI391" s="166">
        <f t="shared" si="10"/>
        <v>0</v>
      </c>
      <c r="AJ391" s="166">
        <f t="shared" si="11"/>
        <v>0</v>
      </c>
      <c r="AK391" s="166"/>
      <c r="AL391" s="230"/>
      <c r="AM391" s="172"/>
    </row>
    <row r="392" spans="1:39" x14ac:dyDescent="0.2">
      <c r="A392" s="170">
        <v>384</v>
      </c>
      <c r="B392" s="147" t="e">
        <f>CONCATENATE(IF($A392="","",VLOOKUP($A392,'İşçi Bilgileri'!$A$2:$D$700,2,FALSE))," ",IF($A392="","",VLOOKUP($A392,'İşçi Bilgileri'!$A$2:$D$700,3,FALSE)))</f>
        <v>#N/A</v>
      </c>
      <c r="C392" s="171" t="e">
        <f>IF($A392="","",VLOOKUP($A392,'İşçi Bilgileri'!$A$2:$D$700,4,FALSE))</f>
        <v>#N/A</v>
      </c>
      <c r="D392" s="298"/>
      <c r="E392" s="298"/>
      <c r="F392" s="298"/>
      <c r="G392" s="298"/>
      <c r="H392" s="298"/>
      <c r="I392" s="298"/>
      <c r="J392" s="298"/>
      <c r="K392" s="298"/>
      <c r="L392" s="298"/>
      <c r="M392" s="298"/>
      <c r="N392" s="298"/>
      <c r="O392" s="298"/>
      <c r="P392" s="298"/>
      <c r="Q392" s="298"/>
      <c r="R392" s="298"/>
      <c r="S392" s="298"/>
      <c r="T392" s="298"/>
      <c r="U392" s="298"/>
      <c r="V392" s="298"/>
      <c r="W392" s="298"/>
      <c r="X392" s="298"/>
      <c r="Y392" s="298"/>
      <c r="Z392" s="298"/>
      <c r="AA392" s="298"/>
      <c r="AB392" s="298"/>
      <c r="AC392" s="298"/>
      <c r="AD392" s="298"/>
      <c r="AE392" s="298"/>
      <c r="AF392" s="298"/>
      <c r="AG392" s="298"/>
      <c r="AH392" s="298"/>
      <c r="AI392" s="166">
        <f t="shared" si="10"/>
        <v>0</v>
      </c>
      <c r="AJ392" s="166">
        <f t="shared" si="11"/>
        <v>0</v>
      </c>
      <c r="AK392" s="166"/>
      <c r="AL392" s="230"/>
      <c r="AM392" s="172"/>
    </row>
    <row r="393" spans="1:39" x14ac:dyDescent="0.2">
      <c r="A393" s="170">
        <v>385</v>
      </c>
      <c r="B393" s="147" t="e">
        <f>CONCATENATE(IF($A393="","",VLOOKUP($A393,'İşçi Bilgileri'!$A$2:$D$700,2,FALSE))," ",IF($A393="","",VLOOKUP($A393,'İşçi Bilgileri'!$A$2:$D$700,3,FALSE)))</f>
        <v>#N/A</v>
      </c>
      <c r="C393" s="171" t="e">
        <f>IF($A393="","",VLOOKUP($A393,'İşçi Bilgileri'!$A$2:$D$700,4,FALSE))</f>
        <v>#N/A</v>
      </c>
      <c r="D393" s="298"/>
      <c r="E393" s="298"/>
      <c r="F393" s="298"/>
      <c r="G393" s="298"/>
      <c r="H393" s="298"/>
      <c r="I393" s="298"/>
      <c r="J393" s="298"/>
      <c r="K393" s="298"/>
      <c r="L393" s="298"/>
      <c r="M393" s="298"/>
      <c r="N393" s="298"/>
      <c r="O393" s="298"/>
      <c r="P393" s="298"/>
      <c r="Q393" s="298"/>
      <c r="R393" s="298"/>
      <c r="S393" s="298"/>
      <c r="T393" s="298"/>
      <c r="U393" s="298"/>
      <c r="V393" s="298"/>
      <c r="W393" s="298"/>
      <c r="X393" s="298"/>
      <c r="Y393" s="298"/>
      <c r="Z393" s="298"/>
      <c r="AA393" s="298"/>
      <c r="AB393" s="298"/>
      <c r="AC393" s="298"/>
      <c r="AD393" s="298"/>
      <c r="AE393" s="298"/>
      <c r="AF393" s="298"/>
      <c r="AG393" s="298"/>
      <c r="AH393" s="298"/>
      <c r="AI393" s="166">
        <f t="shared" si="10"/>
        <v>0</v>
      </c>
      <c r="AJ393" s="166">
        <f t="shared" si="11"/>
        <v>0</v>
      </c>
      <c r="AK393" s="166"/>
      <c r="AL393" s="230"/>
      <c r="AM393" s="172"/>
    </row>
    <row r="394" spans="1:39" x14ac:dyDescent="0.2">
      <c r="A394" s="170">
        <v>386</v>
      </c>
      <c r="B394" s="147" t="e">
        <f>CONCATENATE(IF($A394="","",VLOOKUP($A394,'İşçi Bilgileri'!$A$2:$D$700,2,FALSE))," ",IF($A394="","",VLOOKUP($A394,'İşçi Bilgileri'!$A$2:$D$700,3,FALSE)))</f>
        <v>#N/A</v>
      </c>
      <c r="C394" s="171" t="e">
        <f>IF($A394="","",VLOOKUP($A394,'İşçi Bilgileri'!$A$2:$D$700,4,FALSE))</f>
        <v>#N/A</v>
      </c>
      <c r="D394" s="298"/>
      <c r="E394" s="298"/>
      <c r="F394" s="298"/>
      <c r="G394" s="298"/>
      <c r="H394" s="298"/>
      <c r="I394" s="298"/>
      <c r="J394" s="298"/>
      <c r="K394" s="298"/>
      <c r="L394" s="298"/>
      <c r="M394" s="298"/>
      <c r="N394" s="298"/>
      <c r="O394" s="298"/>
      <c r="P394" s="298"/>
      <c r="Q394" s="298"/>
      <c r="R394" s="298"/>
      <c r="S394" s="298"/>
      <c r="T394" s="298"/>
      <c r="U394" s="298"/>
      <c r="V394" s="298"/>
      <c r="W394" s="298"/>
      <c r="X394" s="298"/>
      <c r="Y394" s="298"/>
      <c r="Z394" s="298"/>
      <c r="AA394" s="298"/>
      <c r="AB394" s="298"/>
      <c r="AC394" s="298"/>
      <c r="AD394" s="298"/>
      <c r="AE394" s="298"/>
      <c r="AF394" s="298"/>
      <c r="AG394" s="298"/>
      <c r="AH394" s="298"/>
      <c r="AI394" s="166">
        <f t="shared" ref="AI394:AI451" si="12">SUM(COUNTIF(D394:AH394,"İ"),COUNTIF(D394:AH394,"R"),COUNTIF(D394:AH394,"D"),COUNTIF(D394:AH394,"C"))</f>
        <v>0</v>
      </c>
      <c r="AJ394" s="166">
        <f t="shared" ref="AJ394:AJ451" si="13">IF(COUNTIF(D394:AH394,"X")=$AL$6,30,COUNTIF(D394:AH394,"X"))</f>
        <v>0</v>
      </c>
      <c r="AK394" s="166"/>
      <c r="AL394" s="230"/>
      <c r="AM394" s="172"/>
    </row>
    <row r="395" spans="1:39" x14ac:dyDescent="0.2">
      <c r="A395" s="170">
        <v>387</v>
      </c>
      <c r="B395" s="147" t="e">
        <f>CONCATENATE(IF($A395="","",VLOOKUP($A395,'İşçi Bilgileri'!$A$2:$D$700,2,FALSE))," ",IF($A395="","",VLOOKUP($A395,'İşçi Bilgileri'!$A$2:$D$700,3,FALSE)))</f>
        <v>#N/A</v>
      </c>
      <c r="C395" s="171" t="e">
        <f>IF($A395="","",VLOOKUP($A395,'İşçi Bilgileri'!$A$2:$D$700,4,FALSE))</f>
        <v>#N/A</v>
      </c>
      <c r="D395" s="298"/>
      <c r="E395" s="298"/>
      <c r="F395" s="298"/>
      <c r="G395" s="298"/>
      <c r="H395" s="298"/>
      <c r="I395" s="298"/>
      <c r="J395" s="298"/>
      <c r="K395" s="298"/>
      <c r="L395" s="298"/>
      <c r="M395" s="298"/>
      <c r="N395" s="298"/>
      <c r="O395" s="298"/>
      <c r="P395" s="298"/>
      <c r="Q395" s="298"/>
      <c r="R395" s="298"/>
      <c r="S395" s="298"/>
      <c r="T395" s="298"/>
      <c r="U395" s="298"/>
      <c r="V395" s="298"/>
      <c r="W395" s="298"/>
      <c r="X395" s="298"/>
      <c r="Y395" s="298"/>
      <c r="Z395" s="298"/>
      <c r="AA395" s="298"/>
      <c r="AB395" s="298"/>
      <c r="AC395" s="298"/>
      <c r="AD395" s="298"/>
      <c r="AE395" s="298"/>
      <c r="AF395" s="298"/>
      <c r="AG395" s="298"/>
      <c r="AH395" s="298"/>
      <c r="AI395" s="166">
        <f t="shared" si="12"/>
        <v>0</v>
      </c>
      <c r="AJ395" s="166">
        <f t="shared" si="13"/>
        <v>0</v>
      </c>
      <c r="AK395" s="166"/>
      <c r="AL395" s="230"/>
      <c r="AM395" s="172"/>
    </row>
    <row r="396" spans="1:39" x14ac:dyDescent="0.2">
      <c r="A396" s="170">
        <v>388</v>
      </c>
      <c r="B396" s="147" t="e">
        <f>CONCATENATE(IF($A396="","",VLOOKUP($A396,'İşçi Bilgileri'!$A$2:$D$700,2,FALSE))," ",IF($A396="","",VLOOKUP($A396,'İşçi Bilgileri'!$A$2:$D$700,3,FALSE)))</f>
        <v>#N/A</v>
      </c>
      <c r="C396" s="171" t="e">
        <f>IF($A396="","",VLOOKUP($A396,'İşçi Bilgileri'!$A$2:$D$700,4,FALSE))</f>
        <v>#N/A</v>
      </c>
      <c r="D396" s="298"/>
      <c r="E396" s="298"/>
      <c r="F396" s="298"/>
      <c r="G396" s="298"/>
      <c r="H396" s="298"/>
      <c r="I396" s="298"/>
      <c r="J396" s="298"/>
      <c r="K396" s="298"/>
      <c r="L396" s="298"/>
      <c r="M396" s="298"/>
      <c r="N396" s="298"/>
      <c r="O396" s="298"/>
      <c r="P396" s="298"/>
      <c r="Q396" s="298"/>
      <c r="R396" s="298"/>
      <c r="S396" s="298"/>
      <c r="T396" s="298"/>
      <c r="U396" s="298"/>
      <c r="V396" s="298"/>
      <c r="W396" s="298"/>
      <c r="X396" s="298"/>
      <c r="Y396" s="298"/>
      <c r="Z396" s="298"/>
      <c r="AA396" s="298"/>
      <c r="AB396" s="298"/>
      <c r="AC396" s="298"/>
      <c r="AD396" s="298"/>
      <c r="AE396" s="298"/>
      <c r="AF396" s="298"/>
      <c r="AG396" s="298"/>
      <c r="AH396" s="298"/>
      <c r="AI396" s="166">
        <f t="shared" si="12"/>
        <v>0</v>
      </c>
      <c r="AJ396" s="166">
        <f t="shared" si="13"/>
        <v>0</v>
      </c>
      <c r="AK396" s="166"/>
      <c r="AL396" s="230"/>
      <c r="AM396" s="172"/>
    </row>
    <row r="397" spans="1:39" x14ac:dyDescent="0.2">
      <c r="A397" s="170">
        <v>389</v>
      </c>
      <c r="B397" s="147" t="e">
        <f>CONCATENATE(IF($A397="","",VLOOKUP($A397,'İşçi Bilgileri'!$A$2:$D$700,2,FALSE))," ",IF($A397="","",VLOOKUP($A397,'İşçi Bilgileri'!$A$2:$D$700,3,FALSE)))</f>
        <v>#N/A</v>
      </c>
      <c r="C397" s="171" t="e">
        <f>IF($A397="","",VLOOKUP($A397,'İşçi Bilgileri'!$A$2:$D$700,4,FALSE))</f>
        <v>#N/A</v>
      </c>
      <c r="D397" s="298"/>
      <c r="E397" s="298"/>
      <c r="F397" s="298"/>
      <c r="G397" s="298"/>
      <c r="H397" s="298"/>
      <c r="I397" s="298"/>
      <c r="J397" s="298"/>
      <c r="K397" s="298"/>
      <c r="L397" s="298"/>
      <c r="M397" s="298"/>
      <c r="N397" s="298"/>
      <c r="O397" s="298"/>
      <c r="P397" s="298"/>
      <c r="Q397" s="298"/>
      <c r="R397" s="298"/>
      <c r="S397" s="298"/>
      <c r="T397" s="298"/>
      <c r="U397" s="298"/>
      <c r="V397" s="298"/>
      <c r="W397" s="298"/>
      <c r="X397" s="298"/>
      <c r="Y397" s="298"/>
      <c r="Z397" s="298"/>
      <c r="AA397" s="298"/>
      <c r="AB397" s="298"/>
      <c r="AC397" s="298"/>
      <c r="AD397" s="298"/>
      <c r="AE397" s="298"/>
      <c r="AF397" s="298"/>
      <c r="AG397" s="298"/>
      <c r="AH397" s="298"/>
      <c r="AI397" s="166">
        <f t="shared" si="12"/>
        <v>0</v>
      </c>
      <c r="AJ397" s="166">
        <f t="shared" si="13"/>
        <v>0</v>
      </c>
      <c r="AK397" s="166"/>
      <c r="AL397" s="230"/>
      <c r="AM397" s="172"/>
    </row>
    <row r="398" spans="1:39" x14ac:dyDescent="0.2">
      <c r="A398" s="170">
        <v>390</v>
      </c>
      <c r="B398" s="147" t="e">
        <f>CONCATENATE(IF($A398="","",VLOOKUP($A398,'İşçi Bilgileri'!$A$2:$D$700,2,FALSE))," ",IF($A398="","",VLOOKUP($A398,'İşçi Bilgileri'!$A$2:$D$700,3,FALSE)))</f>
        <v>#N/A</v>
      </c>
      <c r="C398" s="171" t="e">
        <f>IF($A398="","",VLOOKUP($A398,'İşçi Bilgileri'!$A$2:$D$700,4,FALSE))</f>
        <v>#N/A</v>
      </c>
      <c r="D398" s="298"/>
      <c r="E398" s="298"/>
      <c r="F398" s="298"/>
      <c r="G398" s="298"/>
      <c r="H398" s="298"/>
      <c r="I398" s="298"/>
      <c r="J398" s="298"/>
      <c r="K398" s="298"/>
      <c r="L398" s="298"/>
      <c r="M398" s="298"/>
      <c r="N398" s="298"/>
      <c r="O398" s="298"/>
      <c r="P398" s="298"/>
      <c r="Q398" s="298"/>
      <c r="R398" s="298"/>
      <c r="S398" s="298"/>
      <c r="T398" s="298"/>
      <c r="U398" s="298"/>
      <c r="V398" s="298"/>
      <c r="W398" s="298"/>
      <c r="X398" s="298"/>
      <c r="Y398" s="298"/>
      <c r="Z398" s="298"/>
      <c r="AA398" s="298"/>
      <c r="AB398" s="298"/>
      <c r="AC398" s="298"/>
      <c r="AD398" s="298"/>
      <c r="AE398" s="298"/>
      <c r="AF398" s="298"/>
      <c r="AG398" s="298"/>
      <c r="AH398" s="298"/>
      <c r="AI398" s="166">
        <f t="shared" si="12"/>
        <v>0</v>
      </c>
      <c r="AJ398" s="166">
        <f t="shared" si="13"/>
        <v>0</v>
      </c>
      <c r="AK398" s="166"/>
      <c r="AL398" s="230"/>
      <c r="AM398" s="172"/>
    </row>
    <row r="399" spans="1:39" x14ac:dyDescent="0.2">
      <c r="A399" s="170">
        <v>391</v>
      </c>
      <c r="B399" s="147" t="e">
        <f>CONCATENATE(IF($A399="","",VLOOKUP($A399,'İşçi Bilgileri'!$A$2:$D$700,2,FALSE))," ",IF($A399="","",VLOOKUP($A399,'İşçi Bilgileri'!$A$2:$D$700,3,FALSE)))</f>
        <v>#N/A</v>
      </c>
      <c r="C399" s="171" t="e">
        <f>IF($A399="","",VLOOKUP($A399,'İşçi Bilgileri'!$A$2:$D$700,4,FALSE))</f>
        <v>#N/A</v>
      </c>
      <c r="D399" s="298"/>
      <c r="E399" s="298"/>
      <c r="F399" s="298"/>
      <c r="G399" s="298"/>
      <c r="H399" s="298"/>
      <c r="I399" s="298"/>
      <c r="J399" s="298"/>
      <c r="K399" s="298"/>
      <c r="L399" s="298"/>
      <c r="M399" s="298"/>
      <c r="N399" s="298"/>
      <c r="O399" s="298"/>
      <c r="P399" s="298"/>
      <c r="Q399" s="298"/>
      <c r="R399" s="298"/>
      <c r="S399" s="298"/>
      <c r="T399" s="298"/>
      <c r="U399" s="298"/>
      <c r="V399" s="298"/>
      <c r="W399" s="298"/>
      <c r="X399" s="298"/>
      <c r="Y399" s="298"/>
      <c r="Z399" s="298"/>
      <c r="AA399" s="298"/>
      <c r="AB399" s="298"/>
      <c r="AC399" s="298"/>
      <c r="AD399" s="298"/>
      <c r="AE399" s="298"/>
      <c r="AF399" s="298"/>
      <c r="AG399" s="298"/>
      <c r="AH399" s="298"/>
      <c r="AI399" s="166">
        <f t="shared" si="12"/>
        <v>0</v>
      </c>
      <c r="AJ399" s="166">
        <f t="shared" si="13"/>
        <v>0</v>
      </c>
      <c r="AK399" s="166"/>
      <c r="AL399" s="230"/>
      <c r="AM399" s="172"/>
    </row>
    <row r="400" spans="1:39" x14ac:dyDescent="0.2">
      <c r="A400" s="170">
        <v>392</v>
      </c>
      <c r="B400" s="147" t="e">
        <f>CONCATENATE(IF($A400="","",VLOOKUP($A400,'İşçi Bilgileri'!$A$2:$D$700,2,FALSE))," ",IF($A400="","",VLOOKUP($A400,'İşçi Bilgileri'!$A$2:$D$700,3,FALSE)))</f>
        <v>#N/A</v>
      </c>
      <c r="C400" s="171" t="e">
        <f>IF($A400="","",VLOOKUP($A400,'İşçi Bilgileri'!$A$2:$D$700,4,FALSE))</f>
        <v>#N/A</v>
      </c>
      <c r="D400" s="298"/>
      <c r="E400" s="298"/>
      <c r="F400" s="298"/>
      <c r="G400" s="298"/>
      <c r="H400" s="298"/>
      <c r="I400" s="298"/>
      <c r="J400" s="298"/>
      <c r="K400" s="298"/>
      <c r="L400" s="298"/>
      <c r="M400" s="298"/>
      <c r="N400" s="298"/>
      <c r="O400" s="298"/>
      <c r="P400" s="298"/>
      <c r="Q400" s="298"/>
      <c r="R400" s="298"/>
      <c r="S400" s="298"/>
      <c r="T400" s="298"/>
      <c r="U400" s="298"/>
      <c r="V400" s="298"/>
      <c r="W400" s="298"/>
      <c r="X400" s="298"/>
      <c r="Y400" s="298"/>
      <c r="Z400" s="298"/>
      <c r="AA400" s="298"/>
      <c r="AB400" s="298"/>
      <c r="AC400" s="298"/>
      <c r="AD400" s="298"/>
      <c r="AE400" s="298"/>
      <c r="AF400" s="298"/>
      <c r="AG400" s="298"/>
      <c r="AH400" s="298"/>
      <c r="AI400" s="166">
        <f t="shared" si="12"/>
        <v>0</v>
      </c>
      <c r="AJ400" s="166">
        <f t="shared" si="13"/>
        <v>0</v>
      </c>
      <c r="AK400" s="166"/>
      <c r="AL400" s="230"/>
      <c r="AM400" s="172"/>
    </row>
    <row r="401" spans="1:39" x14ac:dyDescent="0.2">
      <c r="A401" s="170">
        <v>393</v>
      </c>
      <c r="B401" s="147" t="e">
        <f>CONCATENATE(IF($A401="","",VLOOKUP($A401,'İşçi Bilgileri'!$A$2:$D$700,2,FALSE))," ",IF($A401="","",VLOOKUP($A401,'İşçi Bilgileri'!$A$2:$D$700,3,FALSE)))</f>
        <v>#N/A</v>
      </c>
      <c r="C401" s="171" t="e">
        <f>IF($A401="","",VLOOKUP($A401,'İşçi Bilgileri'!$A$2:$D$700,4,FALSE))</f>
        <v>#N/A</v>
      </c>
      <c r="D401" s="298"/>
      <c r="E401" s="298"/>
      <c r="F401" s="298"/>
      <c r="G401" s="298"/>
      <c r="H401" s="298"/>
      <c r="I401" s="298"/>
      <c r="J401" s="298"/>
      <c r="K401" s="298"/>
      <c r="L401" s="298"/>
      <c r="M401" s="298"/>
      <c r="N401" s="298"/>
      <c r="O401" s="298"/>
      <c r="P401" s="298"/>
      <c r="Q401" s="298"/>
      <c r="R401" s="298"/>
      <c r="S401" s="298"/>
      <c r="T401" s="298"/>
      <c r="U401" s="298"/>
      <c r="V401" s="298"/>
      <c r="W401" s="298"/>
      <c r="X401" s="298"/>
      <c r="Y401" s="298"/>
      <c r="Z401" s="298"/>
      <c r="AA401" s="298"/>
      <c r="AB401" s="298"/>
      <c r="AC401" s="298"/>
      <c r="AD401" s="298"/>
      <c r="AE401" s="298"/>
      <c r="AF401" s="298"/>
      <c r="AG401" s="298"/>
      <c r="AH401" s="298"/>
      <c r="AI401" s="166">
        <f t="shared" si="12"/>
        <v>0</v>
      </c>
      <c r="AJ401" s="166">
        <f t="shared" si="13"/>
        <v>0</v>
      </c>
      <c r="AK401" s="166"/>
      <c r="AL401" s="230"/>
      <c r="AM401" s="172"/>
    </row>
    <row r="402" spans="1:39" x14ac:dyDescent="0.2">
      <c r="A402" s="170">
        <v>394</v>
      </c>
      <c r="B402" s="147" t="e">
        <f>CONCATENATE(IF($A402="","",VLOOKUP($A402,'İşçi Bilgileri'!$A$2:$D$700,2,FALSE))," ",IF($A402="","",VLOOKUP($A402,'İşçi Bilgileri'!$A$2:$D$700,3,FALSE)))</f>
        <v>#N/A</v>
      </c>
      <c r="C402" s="171" t="e">
        <f>IF($A402="","",VLOOKUP($A402,'İşçi Bilgileri'!$A$2:$D$700,4,FALSE))</f>
        <v>#N/A</v>
      </c>
      <c r="D402" s="298"/>
      <c r="E402" s="298"/>
      <c r="F402" s="298"/>
      <c r="G402" s="298"/>
      <c r="H402" s="298"/>
      <c r="I402" s="298"/>
      <c r="J402" s="298"/>
      <c r="K402" s="298"/>
      <c r="L402" s="298"/>
      <c r="M402" s="298"/>
      <c r="N402" s="298"/>
      <c r="O402" s="298"/>
      <c r="P402" s="298"/>
      <c r="Q402" s="298"/>
      <c r="R402" s="298"/>
      <c r="S402" s="298"/>
      <c r="T402" s="298"/>
      <c r="U402" s="298"/>
      <c r="V402" s="298"/>
      <c r="W402" s="298"/>
      <c r="X402" s="298"/>
      <c r="Y402" s="298"/>
      <c r="Z402" s="298"/>
      <c r="AA402" s="298"/>
      <c r="AB402" s="298"/>
      <c r="AC402" s="298"/>
      <c r="AD402" s="298"/>
      <c r="AE402" s="298"/>
      <c r="AF402" s="298"/>
      <c r="AG402" s="298"/>
      <c r="AH402" s="298"/>
      <c r="AI402" s="166">
        <f t="shared" si="12"/>
        <v>0</v>
      </c>
      <c r="AJ402" s="166">
        <f t="shared" si="13"/>
        <v>0</v>
      </c>
      <c r="AK402" s="166"/>
      <c r="AL402" s="230"/>
      <c r="AM402" s="172"/>
    </row>
    <row r="403" spans="1:39" x14ac:dyDescent="0.2">
      <c r="A403" s="170">
        <v>395</v>
      </c>
      <c r="B403" s="147" t="e">
        <f>CONCATENATE(IF($A403="","",VLOOKUP($A403,'İşçi Bilgileri'!$A$2:$D$700,2,FALSE))," ",IF($A403="","",VLOOKUP($A403,'İşçi Bilgileri'!$A$2:$D$700,3,FALSE)))</f>
        <v>#N/A</v>
      </c>
      <c r="C403" s="171" t="e">
        <f>IF($A403="","",VLOOKUP($A403,'İşçi Bilgileri'!$A$2:$D$700,4,FALSE))</f>
        <v>#N/A</v>
      </c>
      <c r="D403" s="298"/>
      <c r="E403" s="298"/>
      <c r="F403" s="298"/>
      <c r="G403" s="298"/>
      <c r="H403" s="298"/>
      <c r="I403" s="298"/>
      <c r="J403" s="298"/>
      <c r="K403" s="298"/>
      <c r="L403" s="298"/>
      <c r="M403" s="298"/>
      <c r="N403" s="298"/>
      <c r="O403" s="298"/>
      <c r="P403" s="298"/>
      <c r="Q403" s="298"/>
      <c r="R403" s="298"/>
      <c r="S403" s="298"/>
      <c r="T403" s="298"/>
      <c r="U403" s="298"/>
      <c r="V403" s="298"/>
      <c r="W403" s="298"/>
      <c r="X403" s="298"/>
      <c r="Y403" s="298"/>
      <c r="Z403" s="298"/>
      <c r="AA403" s="298"/>
      <c r="AB403" s="298"/>
      <c r="AC403" s="298"/>
      <c r="AD403" s="298"/>
      <c r="AE403" s="298"/>
      <c r="AF403" s="298"/>
      <c r="AG403" s="298"/>
      <c r="AH403" s="298"/>
      <c r="AI403" s="166">
        <f t="shared" si="12"/>
        <v>0</v>
      </c>
      <c r="AJ403" s="166">
        <f t="shared" si="13"/>
        <v>0</v>
      </c>
      <c r="AK403" s="166"/>
      <c r="AL403" s="230"/>
      <c r="AM403" s="172"/>
    </row>
    <row r="404" spans="1:39" x14ac:dyDescent="0.2">
      <c r="A404" s="170">
        <v>396</v>
      </c>
      <c r="B404" s="147" t="e">
        <f>CONCATENATE(IF($A404="","",VLOOKUP($A404,'İşçi Bilgileri'!$A$2:$D$700,2,FALSE))," ",IF($A404="","",VLOOKUP($A404,'İşçi Bilgileri'!$A$2:$D$700,3,FALSE)))</f>
        <v>#N/A</v>
      </c>
      <c r="C404" s="171" t="e">
        <f>IF($A404="","",VLOOKUP($A404,'İşçi Bilgileri'!$A$2:$D$700,4,FALSE))</f>
        <v>#N/A</v>
      </c>
      <c r="D404" s="298"/>
      <c r="E404" s="298"/>
      <c r="F404" s="298"/>
      <c r="G404" s="298"/>
      <c r="H404" s="298"/>
      <c r="I404" s="298"/>
      <c r="J404" s="298"/>
      <c r="K404" s="298"/>
      <c r="L404" s="298"/>
      <c r="M404" s="298"/>
      <c r="N404" s="298"/>
      <c r="O404" s="298"/>
      <c r="P404" s="298"/>
      <c r="Q404" s="298"/>
      <c r="R404" s="298"/>
      <c r="S404" s="298"/>
      <c r="T404" s="298"/>
      <c r="U404" s="298"/>
      <c r="V404" s="298"/>
      <c r="W404" s="298"/>
      <c r="X404" s="298"/>
      <c r="Y404" s="298"/>
      <c r="Z404" s="298"/>
      <c r="AA404" s="298"/>
      <c r="AB404" s="298"/>
      <c r="AC404" s="298"/>
      <c r="AD404" s="298"/>
      <c r="AE404" s="298"/>
      <c r="AF404" s="298"/>
      <c r="AG404" s="298"/>
      <c r="AH404" s="298"/>
      <c r="AI404" s="166">
        <f t="shared" si="12"/>
        <v>0</v>
      </c>
      <c r="AJ404" s="166">
        <f t="shared" si="13"/>
        <v>0</v>
      </c>
      <c r="AK404" s="166"/>
      <c r="AL404" s="230"/>
      <c r="AM404" s="172"/>
    </row>
    <row r="405" spans="1:39" x14ac:dyDescent="0.2">
      <c r="A405" s="170">
        <v>397</v>
      </c>
      <c r="B405" s="147" t="e">
        <f>CONCATENATE(IF($A405="","",VLOOKUP($A405,'İşçi Bilgileri'!$A$2:$D$700,2,FALSE))," ",IF($A405="","",VLOOKUP($A405,'İşçi Bilgileri'!$A$2:$D$700,3,FALSE)))</f>
        <v>#N/A</v>
      </c>
      <c r="C405" s="171" t="e">
        <f>IF($A405="","",VLOOKUP($A405,'İşçi Bilgileri'!$A$2:$D$700,4,FALSE))</f>
        <v>#N/A</v>
      </c>
      <c r="D405" s="298"/>
      <c r="E405" s="298"/>
      <c r="F405" s="298"/>
      <c r="G405" s="298"/>
      <c r="H405" s="298"/>
      <c r="I405" s="298"/>
      <c r="J405" s="298"/>
      <c r="K405" s="298"/>
      <c r="L405" s="298"/>
      <c r="M405" s="298"/>
      <c r="N405" s="298"/>
      <c r="O405" s="298"/>
      <c r="P405" s="298"/>
      <c r="Q405" s="298"/>
      <c r="R405" s="298"/>
      <c r="S405" s="298"/>
      <c r="T405" s="298"/>
      <c r="U405" s="298"/>
      <c r="V405" s="298"/>
      <c r="W405" s="298"/>
      <c r="X405" s="298"/>
      <c r="Y405" s="298"/>
      <c r="Z405" s="298"/>
      <c r="AA405" s="298"/>
      <c r="AB405" s="298"/>
      <c r="AC405" s="298"/>
      <c r="AD405" s="298"/>
      <c r="AE405" s="298"/>
      <c r="AF405" s="298"/>
      <c r="AG405" s="298"/>
      <c r="AH405" s="298"/>
      <c r="AI405" s="166">
        <f t="shared" si="12"/>
        <v>0</v>
      </c>
      <c r="AJ405" s="166">
        <f t="shared" si="13"/>
        <v>0</v>
      </c>
      <c r="AK405" s="166"/>
      <c r="AL405" s="230"/>
      <c r="AM405" s="172"/>
    </row>
    <row r="406" spans="1:39" x14ac:dyDescent="0.2">
      <c r="A406" s="170">
        <v>398</v>
      </c>
      <c r="B406" s="147" t="e">
        <f>CONCATENATE(IF($A406="","",VLOOKUP($A406,'İşçi Bilgileri'!$A$2:$D$700,2,FALSE))," ",IF($A406="","",VLOOKUP($A406,'İşçi Bilgileri'!$A$2:$D$700,3,FALSE)))</f>
        <v>#N/A</v>
      </c>
      <c r="C406" s="171" t="e">
        <f>IF($A406="","",VLOOKUP($A406,'İşçi Bilgileri'!$A$2:$D$700,4,FALSE))</f>
        <v>#N/A</v>
      </c>
      <c r="D406" s="298"/>
      <c r="E406" s="298"/>
      <c r="F406" s="298"/>
      <c r="G406" s="298"/>
      <c r="H406" s="298"/>
      <c r="I406" s="298"/>
      <c r="J406" s="298"/>
      <c r="K406" s="298"/>
      <c r="L406" s="298"/>
      <c r="M406" s="298"/>
      <c r="N406" s="298"/>
      <c r="O406" s="298"/>
      <c r="P406" s="298"/>
      <c r="Q406" s="298"/>
      <c r="R406" s="298"/>
      <c r="S406" s="298"/>
      <c r="T406" s="298"/>
      <c r="U406" s="298"/>
      <c r="V406" s="298"/>
      <c r="W406" s="298"/>
      <c r="X406" s="298"/>
      <c r="Y406" s="298"/>
      <c r="Z406" s="298"/>
      <c r="AA406" s="298"/>
      <c r="AB406" s="298"/>
      <c r="AC406" s="298"/>
      <c r="AD406" s="298"/>
      <c r="AE406" s="298"/>
      <c r="AF406" s="298"/>
      <c r="AG406" s="298"/>
      <c r="AH406" s="298"/>
      <c r="AI406" s="166">
        <f t="shared" si="12"/>
        <v>0</v>
      </c>
      <c r="AJ406" s="166">
        <f t="shared" si="13"/>
        <v>0</v>
      </c>
      <c r="AK406" s="166"/>
      <c r="AL406" s="230"/>
      <c r="AM406" s="172"/>
    </row>
    <row r="407" spans="1:39" x14ac:dyDescent="0.2">
      <c r="A407" s="170">
        <v>399</v>
      </c>
      <c r="B407" s="147" t="e">
        <f>CONCATENATE(IF($A407="","",VLOOKUP($A407,'İşçi Bilgileri'!$A$2:$D$700,2,FALSE))," ",IF($A407="","",VLOOKUP($A407,'İşçi Bilgileri'!$A$2:$D$700,3,FALSE)))</f>
        <v>#N/A</v>
      </c>
      <c r="C407" s="171" t="e">
        <f>IF($A407="","",VLOOKUP($A407,'İşçi Bilgileri'!$A$2:$D$700,4,FALSE))</f>
        <v>#N/A</v>
      </c>
      <c r="D407" s="298"/>
      <c r="E407" s="298"/>
      <c r="F407" s="298"/>
      <c r="G407" s="298"/>
      <c r="H407" s="298"/>
      <c r="I407" s="298"/>
      <c r="J407" s="298"/>
      <c r="K407" s="298"/>
      <c r="L407" s="298"/>
      <c r="M407" s="298"/>
      <c r="N407" s="298"/>
      <c r="O407" s="298"/>
      <c r="P407" s="298"/>
      <c r="Q407" s="298"/>
      <c r="R407" s="298"/>
      <c r="S407" s="298"/>
      <c r="T407" s="298"/>
      <c r="U407" s="298"/>
      <c r="V407" s="298"/>
      <c r="W407" s="298"/>
      <c r="X407" s="298"/>
      <c r="Y407" s="298"/>
      <c r="Z407" s="298"/>
      <c r="AA407" s="298"/>
      <c r="AB407" s="298"/>
      <c r="AC407" s="298"/>
      <c r="AD407" s="298"/>
      <c r="AE407" s="298"/>
      <c r="AF407" s="298"/>
      <c r="AG407" s="298"/>
      <c r="AH407" s="298"/>
      <c r="AI407" s="166">
        <f t="shared" si="12"/>
        <v>0</v>
      </c>
      <c r="AJ407" s="166">
        <f t="shared" si="13"/>
        <v>0</v>
      </c>
      <c r="AK407" s="166"/>
      <c r="AL407" s="230"/>
      <c r="AM407" s="172"/>
    </row>
    <row r="408" spans="1:39" x14ac:dyDescent="0.2">
      <c r="A408" s="170">
        <v>400</v>
      </c>
      <c r="B408" s="147" t="e">
        <f>CONCATENATE(IF($A408="","",VLOOKUP($A408,'İşçi Bilgileri'!$A$2:$D$700,2,FALSE))," ",IF($A408="","",VLOOKUP($A408,'İşçi Bilgileri'!$A$2:$D$700,3,FALSE)))</f>
        <v>#N/A</v>
      </c>
      <c r="C408" s="171" t="e">
        <f>IF($A408="","",VLOOKUP($A408,'İşçi Bilgileri'!$A$2:$D$700,4,FALSE))</f>
        <v>#N/A</v>
      </c>
      <c r="D408" s="298"/>
      <c r="E408" s="298"/>
      <c r="F408" s="298"/>
      <c r="G408" s="298"/>
      <c r="H408" s="298"/>
      <c r="I408" s="298"/>
      <c r="J408" s="298"/>
      <c r="K408" s="298"/>
      <c r="L408" s="298"/>
      <c r="M408" s="298"/>
      <c r="N408" s="298"/>
      <c r="O408" s="298"/>
      <c r="P408" s="298"/>
      <c r="Q408" s="298"/>
      <c r="R408" s="298"/>
      <c r="S408" s="298"/>
      <c r="T408" s="298"/>
      <c r="U408" s="298"/>
      <c r="V408" s="298"/>
      <c r="W408" s="298"/>
      <c r="X408" s="298"/>
      <c r="Y408" s="298"/>
      <c r="Z408" s="298"/>
      <c r="AA408" s="298"/>
      <c r="AB408" s="298"/>
      <c r="AC408" s="298"/>
      <c r="AD408" s="298"/>
      <c r="AE408" s="298"/>
      <c r="AF408" s="298"/>
      <c r="AG408" s="298"/>
      <c r="AH408" s="298"/>
      <c r="AI408" s="166">
        <f t="shared" si="12"/>
        <v>0</v>
      </c>
      <c r="AJ408" s="166">
        <f t="shared" si="13"/>
        <v>0</v>
      </c>
      <c r="AK408" s="166"/>
      <c r="AL408" s="230"/>
      <c r="AM408" s="172"/>
    </row>
    <row r="409" spans="1:39" x14ac:dyDescent="0.2">
      <c r="A409" s="170">
        <v>401</v>
      </c>
      <c r="B409" s="147" t="e">
        <f>CONCATENATE(IF($A409="","",VLOOKUP($A409,'İşçi Bilgileri'!$A$2:$D$700,2,FALSE))," ",IF($A409="","",VLOOKUP($A409,'İşçi Bilgileri'!$A$2:$D$700,3,FALSE)))</f>
        <v>#N/A</v>
      </c>
      <c r="C409" s="171" t="e">
        <f>IF($A409="","",VLOOKUP($A409,'İşçi Bilgileri'!$A$2:$D$700,4,FALSE))</f>
        <v>#N/A</v>
      </c>
      <c r="D409" s="298"/>
      <c r="E409" s="298"/>
      <c r="F409" s="298"/>
      <c r="G409" s="298"/>
      <c r="H409" s="298"/>
      <c r="I409" s="298"/>
      <c r="J409" s="298"/>
      <c r="K409" s="298"/>
      <c r="L409" s="298"/>
      <c r="M409" s="298"/>
      <c r="N409" s="298"/>
      <c r="O409" s="298"/>
      <c r="P409" s="298"/>
      <c r="Q409" s="298"/>
      <c r="R409" s="298"/>
      <c r="S409" s="298"/>
      <c r="T409" s="298"/>
      <c r="U409" s="298"/>
      <c r="V409" s="298"/>
      <c r="W409" s="298"/>
      <c r="X409" s="298"/>
      <c r="Y409" s="298"/>
      <c r="Z409" s="298"/>
      <c r="AA409" s="298"/>
      <c r="AB409" s="298"/>
      <c r="AC409" s="298"/>
      <c r="AD409" s="298"/>
      <c r="AE409" s="298"/>
      <c r="AF409" s="298"/>
      <c r="AG409" s="298"/>
      <c r="AH409" s="298"/>
      <c r="AI409" s="166">
        <f t="shared" si="12"/>
        <v>0</v>
      </c>
      <c r="AJ409" s="166">
        <f t="shared" si="13"/>
        <v>0</v>
      </c>
      <c r="AK409" s="166"/>
      <c r="AL409" s="230"/>
      <c r="AM409" s="172"/>
    </row>
    <row r="410" spans="1:39" x14ac:dyDescent="0.2">
      <c r="A410" s="170">
        <v>402</v>
      </c>
      <c r="B410" s="147" t="e">
        <f>CONCATENATE(IF($A410="","",VLOOKUP($A410,'İşçi Bilgileri'!$A$2:$D$700,2,FALSE))," ",IF($A410="","",VLOOKUP($A410,'İşçi Bilgileri'!$A$2:$D$700,3,FALSE)))</f>
        <v>#N/A</v>
      </c>
      <c r="C410" s="171" t="e">
        <f>IF($A410="","",VLOOKUP($A410,'İşçi Bilgileri'!$A$2:$D$700,4,FALSE))</f>
        <v>#N/A</v>
      </c>
      <c r="D410" s="298"/>
      <c r="E410" s="298"/>
      <c r="F410" s="298"/>
      <c r="G410" s="298"/>
      <c r="H410" s="298"/>
      <c r="I410" s="298"/>
      <c r="J410" s="298"/>
      <c r="K410" s="298"/>
      <c r="L410" s="298"/>
      <c r="M410" s="298"/>
      <c r="N410" s="298"/>
      <c r="O410" s="298"/>
      <c r="P410" s="298"/>
      <c r="Q410" s="298"/>
      <c r="R410" s="298"/>
      <c r="S410" s="298"/>
      <c r="T410" s="298"/>
      <c r="U410" s="298"/>
      <c r="V410" s="298"/>
      <c r="W410" s="298"/>
      <c r="X410" s="298"/>
      <c r="Y410" s="298"/>
      <c r="Z410" s="298"/>
      <c r="AA410" s="298"/>
      <c r="AB410" s="298"/>
      <c r="AC410" s="298"/>
      <c r="AD410" s="298"/>
      <c r="AE410" s="298"/>
      <c r="AF410" s="298"/>
      <c r="AG410" s="298"/>
      <c r="AH410" s="298"/>
      <c r="AI410" s="166">
        <f t="shared" si="12"/>
        <v>0</v>
      </c>
      <c r="AJ410" s="166">
        <f t="shared" si="13"/>
        <v>0</v>
      </c>
      <c r="AK410" s="166"/>
      <c r="AL410" s="230"/>
      <c r="AM410" s="172"/>
    </row>
    <row r="411" spans="1:39" x14ac:dyDescent="0.2">
      <c r="A411" s="170">
        <v>403</v>
      </c>
      <c r="B411" s="147" t="e">
        <f>CONCATENATE(IF($A411="","",VLOOKUP($A411,'İşçi Bilgileri'!$A$2:$D$700,2,FALSE))," ",IF($A411="","",VLOOKUP($A411,'İşçi Bilgileri'!$A$2:$D$700,3,FALSE)))</f>
        <v>#N/A</v>
      </c>
      <c r="C411" s="171" t="e">
        <f>IF($A411="","",VLOOKUP($A411,'İşçi Bilgileri'!$A$2:$D$700,4,FALSE))</f>
        <v>#N/A</v>
      </c>
      <c r="D411" s="298"/>
      <c r="E411" s="298"/>
      <c r="F411" s="298"/>
      <c r="G411" s="298"/>
      <c r="H411" s="298"/>
      <c r="I411" s="298"/>
      <c r="J411" s="298"/>
      <c r="K411" s="298"/>
      <c r="L411" s="298"/>
      <c r="M411" s="298"/>
      <c r="N411" s="298"/>
      <c r="O411" s="298"/>
      <c r="P411" s="298"/>
      <c r="Q411" s="298"/>
      <c r="R411" s="298"/>
      <c r="S411" s="298"/>
      <c r="T411" s="298"/>
      <c r="U411" s="298"/>
      <c r="V411" s="298"/>
      <c r="W411" s="298"/>
      <c r="X411" s="298"/>
      <c r="Y411" s="298"/>
      <c r="Z411" s="298"/>
      <c r="AA411" s="298"/>
      <c r="AB411" s="298"/>
      <c r="AC411" s="298"/>
      <c r="AD411" s="298"/>
      <c r="AE411" s="298"/>
      <c r="AF411" s="298"/>
      <c r="AG411" s="298"/>
      <c r="AH411" s="298"/>
      <c r="AI411" s="166">
        <f t="shared" si="12"/>
        <v>0</v>
      </c>
      <c r="AJ411" s="166">
        <f t="shared" si="13"/>
        <v>0</v>
      </c>
      <c r="AK411" s="166"/>
      <c r="AL411" s="230"/>
      <c r="AM411" s="172"/>
    </row>
    <row r="412" spans="1:39" x14ac:dyDescent="0.2">
      <c r="A412" s="170">
        <v>404</v>
      </c>
      <c r="B412" s="147" t="e">
        <f>CONCATENATE(IF($A412="","",VLOOKUP($A412,'İşçi Bilgileri'!$A$2:$D$700,2,FALSE))," ",IF($A412="","",VLOOKUP($A412,'İşçi Bilgileri'!$A$2:$D$700,3,FALSE)))</f>
        <v>#N/A</v>
      </c>
      <c r="C412" s="171" t="e">
        <f>IF($A412="","",VLOOKUP($A412,'İşçi Bilgileri'!$A$2:$D$700,4,FALSE))</f>
        <v>#N/A</v>
      </c>
      <c r="D412" s="298"/>
      <c r="E412" s="298"/>
      <c r="F412" s="298"/>
      <c r="G412" s="298"/>
      <c r="H412" s="298"/>
      <c r="I412" s="298"/>
      <c r="J412" s="298"/>
      <c r="K412" s="298"/>
      <c r="L412" s="298"/>
      <c r="M412" s="298"/>
      <c r="N412" s="298"/>
      <c r="O412" s="298"/>
      <c r="P412" s="298"/>
      <c r="Q412" s="298"/>
      <c r="R412" s="298"/>
      <c r="S412" s="298"/>
      <c r="T412" s="298"/>
      <c r="U412" s="298"/>
      <c r="V412" s="298"/>
      <c r="W412" s="298"/>
      <c r="X412" s="298"/>
      <c r="Y412" s="298"/>
      <c r="Z412" s="298"/>
      <c r="AA412" s="298"/>
      <c r="AB412" s="298"/>
      <c r="AC412" s="298"/>
      <c r="AD412" s="298"/>
      <c r="AE412" s="298"/>
      <c r="AF412" s="298"/>
      <c r="AG412" s="298"/>
      <c r="AH412" s="298"/>
      <c r="AI412" s="166">
        <f t="shared" si="12"/>
        <v>0</v>
      </c>
      <c r="AJ412" s="166">
        <f t="shared" si="13"/>
        <v>0</v>
      </c>
      <c r="AK412" s="166"/>
      <c r="AL412" s="230"/>
      <c r="AM412" s="172"/>
    </row>
    <row r="413" spans="1:39" x14ac:dyDescent="0.2">
      <c r="A413" s="170">
        <v>405</v>
      </c>
      <c r="B413" s="147" t="e">
        <f>CONCATENATE(IF($A413="","",VLOOKUP($A413,'İşçi Bilgileri'!$A$2:$D$700,2,FALSE))," ",IF($A413="","",VLOOKUP($A413,'İşçi Bilgileri'!$A$2:$D$700,3,FALSE)))</f>
        <v>#N/A</v>
      </c>
      <c r="C413" s="171" t="e">
        <f>IF($A413="","",VLOOKUP($A413,'İşçi Bilgileri'!$A$2:$D$700,4,FALSE))</f>
        <v>#N/A</v>
      </c>
      <c r="D413" s="298"/>
      <c r="E413" s="298"/>
      <c r="F413" s="298"/>
      <c r="G413" s="298"/>
      <c r="H413" s="298"/>
      <c r="I413" s="298"/>
      <c r="J413" s="298"/>
      <c r="K413" s="298"/>
      <c r="L413" s="298"/>
      <c r="M413" s="298"/>
      <c r="N413" s="298"/>
      <c r="O413" s="298"/>
      <c r="P413" s="298"/>
      <c r="Q413" s="298"/>
      <c r="R413" s="298"/>
      <c r="S413" s="298"/>
      <c r="T413" s="298"/>
      <c r="U413" s="298"/>
      <c r="V413" s="298"/>
      <c r="W413" s="298"/>
      <c r="X413" s="298"/>
      <c r="Y413" s="298"/>
      <c r="Z413" s="298"/>
      <c r="AA413" s="298"/>
      <c r="AB413" s="298"/>
      <c r="AC413" s="298"/>
      <c r="AD413" s="298"/>
      <c r="AE413" s="298"/>
      <c r="AF413" s="298"/>
      <c r="AG413" s="298"/>
      <c r="AH413" s="298"/>
      <c r="AI413" s="166">
        <f t="shared" si="12"/>
        <v>0</v>
      </c>
      <c r="AJ413" s="166">
        <f t="shared" si="13"/>
        <v>0</v>
      </c>
      <c r="AK413" s="166"/>
      <c r="AL413" s="230"/>
      <c r="AM413" s="172"/>
    </row>
    <row r="414" spans="1:39" x14ac:dyDescent="0.2">
      <c r="A414" s="170">
        <v>406</v>
      </c>
      <c r="B414" s="147" t="e">
        <f>CONCATENATE(IF($A414="","",VLOOKUP($A414,'İşçi Bilgileri'!$A$2:$D$700,2,FALSE))," ",IF($A414="","",VLOOKUP($A414,'İşçi Bilgileri'!$A$2:$D$700,3,FALSE)))</f>
        <v>#N/A</v>
      </c>
      <c r="C414" s="171" t="e">
        <f>IF($A414="","",VLOOKUP($A414,'İşçi Bilgileri'!$A$2:$D$700,4,FALSE))</f>
        <v>#N/A</v>
      </c>
      <c r="D414" s="298"/>
      <c r="E414" s="298"/>
      <c r="F414" s="298"/>
      <c r="G414" s="298"/>
      <c r="H414" s="298"/>
      <c r="I414" s="298"/>
      <c r="J414" s="298"/>
      <c r="K414" s="298"/>
      <c r="L414" s="298"/>
      <c r="M414" s="298"/>
      <c r="N414" s="298"/>
      <c r="O414" s="298"/>
      <c r="P414" s="298"/>
      <c r="Q414" s="298"/>
      <c r="R414" s="298"/>
      <c r="S414" s="298"/>
      <c r="T414" s="298"/>
      <c r="U414" s="298"/>
      <c r="V414" s="298"/>
      <c r="W414" s="298"/>
      <c r="X414" s="298"/>
      <c r="Y414" s="298"/>
      <c r="Z414" s="298"/>
      <c r="AA414" s="298"/>
      <c r="AB414" s="298"/>
      <c r="AC414" s="298"/>
      <c r="AD414" s="298"/>
      <c r="AE414" s="298"/>
      <c r="AF414" s="298"/>
      <c r="AG414" s="298"/>
      <c r="AH414" s="298"/>
      <c r="AI414" s="166">
        <f t="shared" si="12"/>
        <v>0</v>
      </c>
      <c r="AJ414" s="166">
        <f t="shared" si="13"/>
        <v>0</v>
      </c>
      <c r="AK414" s="166"/>
      <c r="AL414" s="230"/>
      <c r="AM414" s="172"/>
    </row>
    <row r="415" spans="1:39" x14ac:dyDescent="0.2">
      <c r="A415" s="170">
        <v>407</v>
      </c>
      <c r="B415" s="147" t="e">
        <f>CONCATENATE(IF($A415="","",VLOOKUP($A415,'İşçi Bilgileri'!$A$2:$D$700,2,FALSE))," ",IF($A415="","",VLOOKUP($A415,'İşçi Bilgileri'!$A$2:$D$700,3,FALSE)))</f>
        <v>#N/A</v>
      </c>
      <c r="C415" s="171" t="e">
        <f>IF($A415="","",VLOOKUP($A415,'İşçi Bilgileri'!$A$2:$D$700,4,FALSE))</f>
        <v>#N/A</v>
      </c>
      <c r="D415" s="298"/>
      <c r="E415" s="298"/>
      <c r="F415" s="298"/>
      <c r="G415" s="298"/>
      <c r="H415" s="298"/>
      <c r="I415" s="298"/>
      <c r="J415" s="298"/>
      <c r="K415" s="298"/>
      <c r="L415" s="298"/>
      <c r="M415" s="298"/>
      <c r="N415" s="298"/>
      <c r="O415" s="298"/>
      <c r="P415" s="298"/>
      <c r="Q415" s="298"/>
      <c r="R415" s="298"/>
      <c r="S415" s="298"/>
      <c r="T415" s="298"/>
      <c r="U415" s="298"/>
      <c r="V415" s="298"/>
      <c r="W415" s="298"/>
      <c r="X415" s="298"/>
      <c r="Y415" s="298"/>
      <c r="Z415" s="298"/>
      <c r="AA415" s="298"/>
      <c r="AB415" s="298"/>
      <c r="AC415" s="298"/>
      <c r="AD415" s="298"/>
      <c r="AE415" s="298"/>
      <c r="AF415" s="298"/>
      <c r="AG415" s="298"/>
      <c r="AH415" s="298"/>
      <c r="AI415" s="166">
        <f t="shared" si="12"/>
        <v>0</v>
      </c>
      <c r="AJ415" s="166">
        <f t="shared" si="13"/>
        <v>0</v>
      </c>
      <c r="AK415" s="166"/>
      <c r="AL415" s="230"/>
      <c r="AM415" s="172"/>
    </row>
    <row r="416" spans="1:39" x14ac:dyDescent="0.2">
      <c r="A416" s="170">
        <v>408</v>
      </c>
      <c r="B416" s="147" t="e">
        <f>CONCATENATE(IF($A416="","",VLOOKUP($A416,'İşçi Bilgileri'!$A$2:$D$700,2,FALSE))," ",IF($A416="","",VLOOKUP($A416,'İşçi Bilgileri'!$A$2:$D$700,3,FALSE)))</f>
        <v>#N/A</v>
      </c>
      <c r="C416" s="171" t="e">
        <f>IF($A416="","",VLOOKUP($A416,'İşçi Bilgileri'!$A$2:$D$700,4,FALSE))</f>
        <v>#N/A</v>
      </c>
      <c r="D416" s="298"/>
      <c r="E416" s="298"/>
      <c r="F416" s="298"/>
      <c r="G416" s="298"/>
      <c r="H416" s="298"/>
      <c r="I416" s="298"/>
      <c r="J416" s="298"/>
      <c r="K416" s="298"/>
      <c r="L416" s="298"/>
      <c r="M416" s="298"/>
      <c r="N416" s="298"/>
      <c r="O416" s="298"/>
      <c r="P416" s="298"/>
      <c r="Q416" s="298"/>
      <c r="R416" s="298"/>
      <c r="S416" s="298"/>
      <c r="T416" s="298"/>
      <c r="U416" s="298"/>
      <c r="V416" s="298"/>
      <c r="W416" s="298"/>
      <c r="X416" s="298"/>
      <c r="Y416" s="298"/>
      <c r="Z416" s="298"/>
      <c r="AA416" s="298"/>
      <c r="AB416" s="298"/>
      <c r="AC416" s="298"/>
      <c r="AD416" s="298"/>
      <c r="AE416" s="298"/>
      <c r="AF416" s="298"/>
      <c r="AG416" s="298"/>
      <c r="AH416" s="298"/>
      <c r="AI416" s="166">
        <f t="shared" si="12"/>
        <v>0</v>
      </c>
      <c r="AJ416" s="166">
        <f t="shared" si="13"/>
        <v>0</v>
      </c>
      <c r="AK416" s="166"/>
      <c r="AL416" s="230"/>
      <c r="AM416" s="172"/>
    </row>
    <row r="417" spans="1:39" x14ac:dyDescent="0.2">
      <c r="A417" s="170">
        <v>409</v>
      </c>
      <c r="B417" s="147" t="e">
        <f>CONCATENATE(IF($A417="","",VLOOKUP($A417,'İşçi Bilgileri'!$A$2:$D$700,2,FALSE))," ",IF($A417="","",VLOOKUP($A417,'İşçi Bilgileri'!$A$2:$D$700,3,FALSE)))</f>
        <v>#N/A</v>
      </c>
      <c r="C417" s="171" t="e">
        <f>IF($A417="","",VLOOKUP($A417,'İşçi Bilgileri'!$A$2:$D$700,4,FALSE))</f>
        <v>#N/A</v>
      </c>
      <c r="D417" s="298"/>
      <c r="E417" s="298"/>
      <c r="F417" s="298"/>
      <c r="G417" s="298"/>
      <c r="H417" s="298"/>
      <c r="I417" s="298"/>
      <c r="J417" s="298"/>
      <c r="K417" s="298"/>
      <c r="L417" s="298"/>
      <c r="M417" s="298"/>
      <c r="N417" s="298"/>
      <c r="O417" s="298"/>
      <c r="P417" s="298"/>
      <c r="Q417" s="298"/>
      <c r="R417" s="298"/>
      <c r="S417" s="298"/>
      <c r="T417" s="298"/>
      <c r="U417" s="298"/>
      <c r="V417" s="298"/>
      <c r="W417" s="298"/>
      <c r="X417" s="298"/>
      <c r="Y417" s="298"/>
      <c r="Z417" s="298"/>
      <c r="AA417" s="298"/>
      <c r="AB417" s="298"/>
      <c r="AC417" s="298"/>
      <c r="AD417" s="298"/>
      <c r="AE417" s="298"/>
      <c r="AF417" s="298"/>
      <c r="AG417" s="298"/>
      <c r="AH417" s="298"/>
      <c r="AI417" s="166">
        <f t="shared" si="12"/>
        <v>0</v>
      </c>
      <c r="AJ417" s="166">
        <f t="shared" si="13"/>
        <v>0</v>
      </c>
      <c r="AK417" s="166"/>
      <c r="AL417" s="230"/>
      <c r="AM417" s="172"/>
    </row>
    <row r="418" spans="1:39" x14ac:dyDescent="0.2">
      <c r="A418" s="170">
        <v>410</v>
      </c>
      <c r="B418" s="147" t="e">
        <f>CONCATENATE(IF($A418="","",VLOOKUP($A418,'İşçi Bilgileri'!$A$2:$D$700,2,FALSE))," ",IF($A418="","",VLOOKUP($A418,'İşçi Bilgileri'!$A$2:$D$700,3,FALSE)))</f>
        <v>#N/A</v>
      </c>
      <c r="C418" s="171" t="e">
        <f>IF($A418="","",VLOOKUP($A418,'İşçi Bilgileri'!$A$2:$D$700,4,FALSE))</f>
        <v>#N/A</v>
      </c>
      <c r="D418" s="298"/>
      <c r="E418" s="298"/>
      <c r="F418" s="298"/>
      <c r="G418" s="298"/>
      <c r="H418" s="298"/>
      <c r="I418" s="298"/>
      <c r="J418" s="298"/>
      <c r="K418" s="298"/>
      <c r="L418" s="298"/>
      <c r="M418" s="298"/>
      <c r="N418" s="298"/>
      <c r="O418" s="298"/>
      <c r="P418" s="298"/>
      <c r="Q418" s="298"/>
      <c r="R418" s="298"/>
      <c r="S418" s="298"/>
      <c r="T418" s="298"/>
      <c r="U418" s="298"/>
      <c r="V418" s="298"/>
      <c r="W418" s="298"/>
      <c r="X418" s="298"/>
      <c r="Y418" s="298"/>
      <c r="Z418" s="298"/>
      <c r="AA418" s="298"/>
      <c r="AB418" s="298"/>
      <c r="AC418" s="298"/>
      <c r="AD418" s="298"/>
      <c r="AE418" s="298"/>
      <c r="AF418" s="298"/>
      <c r="AG418" s="298"/>
      <c r="AH418" s="298"/>
      <c r="AI418" s="166">
        <f t="shared" si="12"/>
        <v>0</v>
      </c>
      <c r="AJ418" s="166">
        <f t="shared" si="13"/>
        <v>0</v>
      </c>
      <c r="AK418" s="166"/>
      <c r="AL418" s="230"/>
      <c r="AM418" s="172"/>
    </row>
    <row r="419" spans="1:39" x14ac:dyDescent="0.2">
      <c r="A419" s="170">
        <v>411</v>
      </c>
      <c r="B419" s="147" t="e">
        <f>CONCATENATE(IF($A419="","",VLOOKUP($A419,'İşçi Bilgileri'!$A$2:$D$700,2,FALSE))," ",IF($A419="","",VLOOKUP($A419,'İşçi Bilgileri'!$A$2:$D$700,3,FALSE)))</f>
        <v>#N/A</v>
      </c>
      <c r="C419" s="171" t="e">
        <f>IF($A419="","",VLOOKUP($A419,'İşçi Bilgileri'!$A$2:$D$700,4,FALSE))</f>
        <v>#N/A</v>
      </c>
      <c r="D419" s="298"/>
      <c r="E419" s="298"/>
      <c r="F419" s="298"/>
      <c r="G419" s="298"/>
      <c r="H419" s="298"/>
      <c r="I419" s="298"/>
      <c r="J419" s="298"/>
      <c r="K419" s="298"/>
      <c r="L419" s="298"/>
      <c r="M419" s="298"/>
      <c r="N419" s="298"/>
      <c r="O419" s="298"/>
      <c r="P419" s="298"/>
      <c r="Q419" s="298"/>
      <c r="R419" s="298"/>
      <c r="S419" s="298"/>
      <c r="T419" s="298"/>
      <c r="U419" s="298"/>
      <c r="V419" s="298"/>
      <c r="W419" s="298"/>
      <c r="X419" s="298"/>
      <c r="Y419" s="298"/>
      <c r="Z419" s="298"/>
      <c r="AA419" s="298"/>
      <c r="AB419" s="298"/>
      <c r="AC419" s="298"/>
      <c r="AD419" s="298"/>
      <c r="AE419" s="298"/>
      <c r="AF419" s="298"/>
      <c r="AG419" s="298"/>
      <c r="AH419" s="298"/>
      <c r="AI419" s="166">
        <f t="shared" si="12"/>
        <v>0</v>
      </c>
      <c r="AJ419" s="166">
        <f t="shared" si="13"/>
        <v>0</v>
      </c>
      <c r="AK419" s="166"/>
      <c r="AL419" s="230"/>
      <c r="AM419" s="172"/>
    </row>
    <row r="420" spans="1:39" x14ac:dyDescent="0.2">
      <c r="A420" s="170">
        <v>412</v>
      </c>
      <c r="B420" s="147" t="e">
        <f>CONCATENATE(IF($A420="","",VLOOKUP($A420,'İşçi Bilgileri'!$A$2:$D$700,2,FALSE))," ",IF($A420="","",VLOOKUP($A420,'İşçi Bilgileri'!$A$2:$D$700,3,FALSE)))</f>
        <v>#N/A</v>
      </c>
      <c r="C420" s="171" t="e">
        <f>IF($A420="","",VLOOKUP($A420,'İşçi Bilgileri'!$A$2:$D$700,4,FALSE))</f>
        <v>#N/A</v>
      </c>
      <c r="D420" s="298"/>
      <c r="E420" s="298"/>
      <c r="F420" s="298"/>
      <c r="G420" s="298"/>
      <c r="H420" s="298"/>
      <c r="I420" s="298"/>
      <c r="J420" s="298"/>
      <c r="K420" s="298"/>
      <c r="L420" s="298"/>
      <c r="M420" s="298"/>
      <c r="N420" s="298"/>
      <c r="O420" s="298"/>
      <c r="P420" s="298"/>
      <c r="Q420" s="298"/>
      <c r="R420" s="298"/>
      <c r="S420" s="298"/>
      <c r="T420" s="298"/>
      <c r="U420" s="298"/>
      <c r="V420" s="298"/>
      <c r="W420" s="298"/>
      <c r="X420" s="298"/>
      <c r="Y420" s="298"/>
      <c r="Z420" s="298"/>
      <c r="AA420" s="298"/>
      <c r="AB420" s="298"/>
      <c r="AC420" s="298"/>
      <c r="AD420" s="298"/>
      <c r="AE420" s="298"/>
      <c r="AF420" s="298"/>
      <c r="AG420" s="298"/>
      <c r="AH420" s="298"/>
      <c r="AI420" s="166">
        <f t="shared" si="12"/>
        <v>0</v>
      </c>
      <c r="AJ420" s="166">
        <f t="shared" si="13"/>
        <v>0</v>
      </c>
      <c r="AK420" s="166"/>
      <c r="AL420" s="230"/>
      <c r="AM420" s="172"/>
    </row>
    <row r="421" spans="1:39" x14ac:dyDescent="0.2">
      <c r="A421" s="170">
        <v>413</v>
      </c>
      <c r="B421" s="147" t="e">
        <f>CONCATENATE(IF($A421="","",VLOOKUP($A421,'İşçi Bilgileri'!$A$2:$D$700,2,FALSE))," ",IF($A421="","",VLOOKUP($A421,'İşçi Bilgileri'!$A$2:$D$700,3,FALSE)))</f>
        <v>#N/A</v>
      </c>
      <c r="C421" s="171" t="e">
        <f>IF($A421="","",VLOOKUP($A421,'İşçi Bilgileri'!$A$2:$D$700,4,FALSE))</f>
        <v>#N/A</v>
      </c>
      <c r="D421" s="298"/>
      <c r="E421" s="298"/>
      <c r="F421" s="298"/>
      <c r="G421" s="298"/>
      <c r="H421" s="298"/>
      <c r="I421" s="298"/>
      <c r="J421" s="298"/>
      <c r="K421" s="298"/>
      <c r="L421" s="298"/>
      <c r="M421" s="298"/>
      <c r="N421" s="298"/>
      <c r="O421" s="298"/>
      <c r="P421" s="298"/>
      <c r="Q421" s="298"/>
      <c r="R421" s="298"/>
      <c r="S421" s="298"/>
      <c r="T421" s="298"/>
      <c r="U421" s="298"/>
      <c r="V421" s="298"/>
      <c r="W421" s="298"/>
      <c r="X421" s="298"/>
      <c r="Y421" s="298"/>
      <c r="Z421" s="298"/>
      <c r="AA421" s="298"/>
      <c r="AB421" s="298"/>
      <c r="AC421" s="298"/>
      <c r="AD421" s="298"/>
      <c r="AE421" s="298"/>
      <c r="AF421" s="298"/>
      <c r="AG421" s="298"/>
      <c r="AH421" s="298"/>
      <c r="AI421" s="166">
        <f t="shared" si="12"/>
        <v>0</v>
      </c>
      <c r="AJ421" s="166">
        <f t="shared" si="13"/>
        <v>0</v>
      </c>
      <c r="AK421" s="166"/>
      <c r="AL421" s="230"/>
      <c r="AM421" s="172"/>
    </row>
    <row r="422" spans="1:39" x14ac:dyDescent="0.2">
      <c r="A422" s="170">
        <v>414</v>
      </c>
      <c r="B422" s="147" t="e">
        <f>CONCATENATE(IF($A422="","",VLOOKUP($A422,'İşçi Bilgileri'!$A$2:$D$700,2,FALSE))," ",IF($A422="","",VLOOKUP($A422,'İşçi Bilgileri'!$A$2:$D$700,3,FALSE)))</f>
        <v>#N/A</v>
      </c>
      <c r="C422" s="171" t="e">
        <f>IF($A422="","",VLOOKUP($A422,'İşçi Bilgileri'!$A$2:$D$700,4,FALSE))</f>
        <v>#N/A</v>
      </c>
      <c r="D422" s="298"/>
      <c r="E422" s="298"/>
      <c r="F422" s="298"/>
      <c r="G422" s="298"/>
      <c r="H422" s="298"/>
      <c r="I422" s="298"/>
      <c r="J422" s="298"/>
      <c r="K422" s="298"/>
      <c r="L422" s="298"/>
      <c r="M422" s="298"/>
      <c r="N422" s="298"/>
      <c r="O422" s="298"/>
      <c r="P422" s="298"/>
      <c r="Q422" s="298"/>
      <c r="R422" s="298"/>
      <c r="S422" s="298"/>
      <c r="T422" s="298"/>
      <c r="U422" s="298"/>
      <c r="V422" s="298"/>
      <c r="W422" s="298"/>
      <c r="X422" s="298"/>
      <c r="Y422" s="298"/>
      <c r="Z422" s="298"/>
      <c r="AA422" s="298"/>
      <c r="AB422" s="298"/>
      <c r="AC422" s="298"/>
      <c r="AD422" s="298"/>
      <c r="AE422" s="298"/>
      <c r="AF422" s="298"/>
      <c r="AG422" s="298"/>
      <c r="AH422" s="298"/>
      <c r="AI422" s="166">
        <f t="shared" si="12"/>
        <v>0</v>
      </c>
      <c r="AJ422" s="166">
        <f t="shared" si="13"/>
        <v>0</v>
      </c>
      <c r="AK422" s="166"/>
      <c r="AL422" s="230"/>
      <c r="AM422" s="172"/>
    </row>
    <row r="423" spans="1:39" x14ac:dyDescent="0.2">
      <c r="A423" s="170">
        <v>415</v>
      </c>
      <c r="B423" s="147" t="e">
        <f>CONCATENATE(IF($A423="","",VLOOKUP($A423,'İşçi Bilgileri'!$A$2:$D$700,2,FALSE))," ",IF($A423="","",VLOOKUP($A423,'İşçi Bilgileri'!$A$2:$D$700,3,FALSE)))</f>
        <v>#N/A</v>
      </c>
      <c r="C423" s="171" t="e">
        <f>IF($A423="","",VLOOKUP($A423,'İşçi Bilgileri'!$A$2:$D$700,4,FALSE))</f>
        <v>#N/A</v>
      </c>
      <c r="D423" s="298"/>
      <c r="E423" s="298"/>
      <c r="F423" s="298"/>
      <c r="G423" s="298"/>
      <c r="H423" s="298"/>
      <c r="I423" s="298"/>
      <c r="J423" s="298"/>
      <c r="K423" s="298"/>
      <c r="L423" s="298"/>
      <c r="M423" s="298"/>
      <c r="N423" s="298"/>
      <c r="O423" s="298"/>
      <c r="P423" s="298"/>
      <c r="Q423" s="298"/>
      <c r="R423" s="298"/>
      <c r="S423" s="298"/>
      <c r="T423" s="298"/>
      <c r="U423" s="298"/>
      <c r="V423" s="298"/>
      <c r="W423" s="298"/>
      <c r="X423" s="298"/>
      <c r="Y423" s="298"/>
      <c r="Z423" s="298"/>
      <c r="AA423" s="298"/>
      <c r="AB423" s="298"/>
      <c r="AC423" s="298"/>
      <c r="AD423" s="298"/>
      <c r="AE423" s="298"/>
      <c r="AF423" s="298"/>
      <c r="AG423" s="298"/>
      <c r="AH423" s="298"/>
      <c r="AI423" s="166">
        <f t="shared" si="12"/>
        <v>0</v>
      </c>
      <c r="AJ423" s="166">
        <f t="shared" si="13"/>
        <v>0</v>
      </c>
      <c r="AK423" s="166"/>
      <c r="AL423" s="230"/>
      <c r="AM423" s="172"/>
    </row>
    <row r="424" spans="1:39" x14ac:dyDescent="0.2">
      <c r="A424" s="170">
        <v>416</v>
      </c>
      <c r="B424" s="147" t="e">
        <f>CONCATENATE(IF($A424="","",VLOOKUP($A424,'İşçi Bilgileri'!$A$2:$D$700,2,FALSE))," ",IF($A424="","",VLOOKUP($A424,'İşçi Bilgileri'!$A$2:$D$700,3,FALSE)))</f>
        <v>#N/A</v>
      </c>
      <c r="C424" s="171" t="e">
        <f>IF($A424="","",VLOOKUP($A424,'İşçi Bilgileri'!$A$2:$D$700,4,FALSE))</f>
        <v>#N/A</v>
      </c>
      <c r="D424" s="298"/>
      <c r="E424" s="298"/>
      <c r="F424" s="298"/>
      <c r="G424" s="298"/>
      <c r="H424" s="298"/>
      <c r="I424" s="298"/>
      <c r="J424" s="298"/>
      <c r="K424" s="298"/>
      <c r="L424" s="298"/>
      <c r="M424" s="298"/>
      <c r="N424" s="298"/>
      <c r="O424" s="298"/>
      <c r="P424" s="298"/>
      <c r="Q424" s="298"/>
      <c r="R424" s="298"/>
      <c r="S424" s="298"/>
      <c r="T424" s="298"/>
      <c r="U424" s="298"/>
      <c r="V424" s="298"/>
      <c r="W424" s="298"/>
      <c r="X424" s="298"/>
      <c r="Y424" s="298"/>
      <c r="Z424" s="298"/>
      <c r="AA424" s="298"/>
      <c r="AB424" s="298"/>
      <c r="AC424" s="298"/>
      <c r="AD424" s="298"/>
      <c r="AE424" s="298"/>
      <c r="AF424" s="298"/>
      <c r="AG424" s="298"/>
      <c r="AH424" s="298"/>
      <c r="AI424" s="166">
        <f t="shared" si="12"/>
        <v>0</v>
      </c>
      <c r="AJ424" s="166">
        <f t="shared" si="13"/>
        <v>0</v>
      </c>
      <c r="AK424" s="166"/>
      <c r="AL424" s="230"/>
      <c r="AM424" s="172"/>
    </row>
    <row r="425" spans="1:39" x14ac:dyDescent="0.2">
      <c r="A425" s="170">
        <v>417</v>
      </c>
      <c r="B425" s="147" t="e">
        <f>CONCATENATE(IF($A425="","",VLOOKUP($A425,'İşçi Bilgileri'!$A$2:$D$700,2,FALSE))," ",IF($A425="","",VLOOKUP($A425,'İşçi Bilgileri'!$A$2:$D$700,3,FALSE)))</f>
        <v>#N/A</v>
      </c>
      <c r="C425" s="171" t="e">
        <f>IF($A425="","",VLOOKUP($A425,'İşçi Bilgileri'!$A$2:$D$700,4,FALSE))</f>
        <v>#N/A</v>
      </c>
      <c r="D425" s="298"/>
      <c r="E425" s="298"/>
      <c r="F425" s="298"/>
      <c r="G425" s="298"/>
      <c r="H425" s="298"/>
      <c r="I425" s="298"/>
      <c r="J425" s="298"/>
      <c r="K425" s="298"/>
      <c r="L425" s="298"/>
      <c r="M425" s="298"/>
      <c r="N425" s="298"/>
      <c r="O425" s="298"/>
      <c r="P425" s="298"/>
      <c r="Q425" s="298"/>
      <c r="R425" s="298"/>
      <c r="S425" s="298"/>
      <c r="T425" s="298"/>
      <c r="U425" s="298"/>
      <c r="V425" s="298"/>
      <c r="W425" s="298"/>
      <c r="X425" s="298"/>
      <c r="Y425" s="298"/>
      <c r="Z425" s="298"/>
      <c r="AA425" s="298"/>
      <c r="AB425" s="298"/>
      <c r="AC425" s="298"/>
      <c r="AD425" s="298"/>
      <c r="AE425" s="298"/>
      <c r="AF425" s="298"/>
      <c r="AG425" s="298"/>
      <c r="AH425" s="298"/>
      <c r="AI425" s="166">
        <f t="shared" si="12"/>
        <v>0</v>
      </c>
      <c r="AJ425" s="166">
        <f t="shared" si="13"/>
        <v>0</v>
      </c>
      <c r="AK425" s="166"/>
      <c r="AL425" s="230"/>
      <c r="AM425" s="172"/>
    </row>
    <row r="426" spans="1:39" x14ac:dyDescent="0.2">
      <c r="A426" s="170">
        <v>418</v>
      </c>
      <c r="B426" s="147" t="e">
        <f>CONCATENATE(IF($A426="","",VLOOKUP($A426,'İşçi Bilgileri'!$A$2:$D$700,2,FALSE))," ",IF($A426="","",VLOOKUP($A426,'İşçi Bilgileri'!$A$2:$D$700,3,FALSE)))</f>
        <v>#N/A</v>
      </c>
      <c r="C426" s="171" t="e">
        <f>IF($A426="","",VLOOKUP($A426,'İşçi Bilgileri'!$A$2:$D$700,4,FALSE))</f>
        <v>#N/A</v>
      </c>
      <c r="D426" s="298"/>
      <c r="E426" s="298"/>
      <c r="F426" s="298"/>
      <c r="G426" s="298"/>
      <c r="H426" s="298"/>
      <c r="I426" s="298"/>
      <c r="J426" s="298"/>
      <c r="K426" s="298"/>
      <c r="L426" s="298"/>
      <c r="M426" s="298"/>
      <c r="N426" s="298"/>
      <c r="O426" s="298"/>
      <c r="P426" s="298"/>
      <c r="Q426" s="298"/>
      <c r="R426" s="298"/>
      <c r="S426" s="298"/>
      <c r="T426" s="298"/>
      <c r="U426" s="298"/>
      <c r="V426" s="298"/>
      <c r="W426" s="298"/>
      <c r="X426" s="298"/>
      <c r="Y426" s="298"/>
      <c r="Z426" s="298"/>
      <c r="AA426" s="298"/>
      <c r="AB426" s="298"/>
      <c r="AC426" s="298"/>
      <c r="AD426" s="298"/>
      <c r="AE426" s="298"/>
      <c r="AF426" s="298"/>
      <c r="AG426" s="298"/>
      <c r="AH426" s="298"/>
      <c r="AI426" s="166">
        <f t="shared" si="12"/>
        <v>0</v>
      </c>
      <c r="AJ426" s="166">
        <f t="shared" si="13"/>
        <v>0</v>
      </c>
      <c r="AK426" s="166"/>
      <c r="AL426" s="230"/>
      <c r="AM426" s="172"/>
    </row>
    <row r="427" spans="1:39" x14ac:dyDescent="0.2">
      <c r="A427" s="170">
        <v>419</v>
      </c>
      <c r="B427" s="147" t="e">
        <f>CONCATENATE(IF($A427="","",VLOOKUP($A427,'İşçi Bilgileri'!$A$2:$D$700,2,FALSE))," ",IF($A427="","",VLOOKUP($A427,'İşçi Bilgileri'!$A$2:$D$700,3,FALSE)))</f>
        <v>#N/A</v>
      </c>
      <c r="C427" s="171" t="e">
        <f>IF($A427="","",VLOOKUP($A427,'İşçi Bilgileri'!$A$2:$D$700,4,FALSE))</f>
        <v>#N/A</v>
      </c>
      <c r="D427" s="298"/>
      <c r="E427" s="298"/>
      <c r="F427" s="298"/>
      <c r="G427" s="298"/>
      <c r="H427" s="298"/>
      <c r="I427" s="298"/>
      <c r="J427" s="298"/>
      <c r="K427" s="298"/>
      <c r="L427" s="298"/>
      <c r="M427" s="298"/>
      <c r="N427" s="298"/>
      <c r="O427" s="298"/>
      <c r="P427" s="298"/>
      <c r="Q427" s="298"/>
      <c r="R427" s="298"/>
      <c r="S427" s="298"/>
      <c r="T427" s="298"/>
      <c r="U427" s="298"/>
      <c r="V427" s="298"/>
      <c r="W427" s="298"/>
      <c r="X427" s="298"/>
      <c r="Y427" s="298"/>
      <c r="Z427" s="298"/>
      <c r="AA427" s="298"/>
      <c r="AB427" s="298"/>
      <c r="AC427" s="298"/>
      <c r="AD427" s="298"/>
      <c r="AE427" s="298"/>
      <c r="AF427" s="298"/>
      <c r="AG427" s="298"/>
      <c r="AH427" s="298"/>
      <c r="AI427" s="166">
        <f t="shared" si="12"/>
        <v>0</v>
      </c>
      <c r="AJ427" s="166">
        <f t="shared" si="13"/>
        <v>0</v>
      </c>
      <c r="AK427" s="166"/>
      <c r="AL427" s="230"/>
      <c r="AM427" s="172"/>
    </row>
    <row r="428" spans="1:39" x14ac:dyDescent="0.2">
      <c r="A428" s="170">
        <v>420</v>
      </c>
      <c r="B428" s="147" t="e">
        <f>CONCATENATE(IF($A428="","",VLOOKUP($A428,'İşçi Bilgileri'!$A$2:$D$700,2,FALSE))," ",IF($A428="","",VLOOKUP($A428,'İşçi Bilgileri'!$A$2:$D$700,3,FALSE)))</f>
        <v>#N/A</v>
      </c>
      <c r="C428" s="171" t="e">
        <f>IF($A428="","",VLOOKUP($A428,'İşçi Bilgileri'!$A$2:$D$700,4,FALSE))</f>
        <v>#N/A</v>
      </c>
      <c r="D428" s="298"/>
      <c r="E428" s="298"/>
      <c r="F428" s="298"/>
      <c r="G428" s="298"/>
      <c r="H428" s="298"/>
      <c r="I428" s="298"/>
      <c r="J428" s="298"/>
      <c r="K428" s="298"/>
      <c r="L428" s="298"/>
      <c r="M428" s="298"/>
      <c r="N428" s="298"/>
      <c r="O428" s="298"/>
      <c r="P428" s="298"/>
      <c r="Q428" s="298"/>
      <c r="R428" s="298"/>
      <c r="S428" s="298"/>
      <c r="T428" s="298"/>
      <c r="U428" s="298"/>
      <c r="V428" s="298"/>
      <c r="W428" s="298"/>
      <c r="X428" s="298"/>
      <c r="Y428" s="298"/>
      <c r="Z428" s="298"/>
      <c r="AA428" s="298"/>
      <c r="AB428" s="298"/>
      <c r="AC428" s="298"/>
      <c r="AD428" s="298"/>
      <c r="AE428" s="298"/>
      <c r="AF428" s="298"/>
      <c r="AG428" s="298"/>
      <c r="AH428" s="298"/>
      <c r="AI428" s="166">
        <f t="shared" si="12"/>
        <v>0</v>
      </c>
      <c r="AJ428" s="166">
        <f t="shared" si="13"/>
        <v>0</v>
      </c>
      <c r="AK428" s="166"/>
      <c r="AL428" s="230"/>
      <c r="AM428" s="172"/>
    </row>
    <row r="429" spans="1:39" x14ac:dyDescent="0.2">
      <c r="A429" s="170">
        <v>421</v>
      </c>
      <c r="B429" s="147" t="e">
        <f>CONCATENATE(IF($A429="","",VLOOKUP($A429,'İşçi Bilgileri'!$A$2:$D$700,2,FALSE))," ",IF($A429="","",VLOOKUP($A429,'İşçi Bilgileri'!$A$2:$D$700,3,FALSE)))</f>
        <v>#N/A</v>
      </c>
      <c r="C429" s="171" t="e">
        <f>IF($A429="","",VLOOKUP($A429,'İşçi Bilgileri'!$A$2:$D$700,4,FALSE))</f>
        <v>#N/A</v>
      </c>
      <c r="D429" s="298"/>
      <c r="E429" s="298"/>
      <c r="F429" s="298"/>
      <c r="G429" s="298"/>
      <c r="H429" s="298"/>
      <c r="I429" s="298"/>
      <c r="J429" s="298"/>
      <c r="K429" s="298"/>
      <c r="L429" s="298"/>
      <c r="M429" s="298"/>
      <c r="N429" s="298"/>
      <c r="O429" s="298"/>
      <c r="P429" s="298"/>
      <c r="Q429" s="298"/>
      <c r="R429" s="298"/>
      <c r="S429" s="298"/>
      <c r="T429" s="298"/>
      <c r="U429" s="298"/>
      <c r="V429" s="298"/>
      <c r="W429" s="298"/>
      <c r="X429" s="298"/>
      <c r="Y429" s="298"/>
      <c r="Z429" s="298"/>
      <c r="AA429" s="298"/>
      <c r="AB429" s="298"/>
      <c r="AC429" s="298"/>
      <c r="AD429" s="298"/>
      <c r="AE429" s="298"/>
      <c r="AF429" s="298"/>
      <c r="AG429" s="298"/>
      <c r="AH429" s="298"/>
      <c r="AI429" s="166">
        <f t="shared" si="12"/>
        <v>0</v>
      </c>
      <c r="AJ429" s="166">
        <f t="shared" si="13"/>
        <v>0</v>
      </c>
      <c r="AK429" s="166"/>
      <c r="AL429" s="230"/>
      <c r="AM429" s="172"/>
    </row>
    <row r="430" spans="1:39" x14ac:dyDescent="0.2">
      <c r="A430" s="170">
        <v>422</v>
      </c>
      <c r="B430" s="147" t="e">
        <f>CONCATENATE(IF($A430="","",VLOOKUP($A430,'İşçi Bilgileri'!$A$2:$D$700,2,FALSE))," ",IF($A430="","",VLOOKUP($A430,'İşçi Bilgileri'!$A$2:$D$700,3,FALSE)))</f>
        <v>#N/A</v>
      </c>
      <c r="C430" s="171" t="e">
        <f>IF($A430="","",VLOOKUP($A430,'İşçi Bilgileri'!$A$2:$D$700,4,FALSE))</f>
        <v>#N/A</v>
      </c>
      <c r="D430" s="298"/>
      <c r="E430" s="298"/>
      <c r="F430" s="298"/>
      <c r="G430" s="298"/>
      <c r="H430" s="298"/>
      <c r="I430" s="298"/>
      <c r="J430" s="298"/>
      <c r="K430" s="298"/>
      <c r="L430" s="298"/>
      <c r="M430" s="298"/>
      <c r="N430" s="298"/>
      <c r="O430" s="298"/>
      <c r="P430" s="298"/>
      <c r="Q430" s="298"/>
      <c r="R430" s="298"/>
      <c r="S430" s="298"/>
      <c r="T430" s="298"/>
      <c r="U430" s="298"/>
      <c r="V430" s="298"/>
      <c r="W430" s="298"/>
      <c r="X430" s="298"/>
      <c r="Y430" s="298"/>
      <c r="Z430" s="298"/>
      <c r="AA430" s="298"/>
      <c r="AB430" s="298"/>
      <c r="AC430" s="298"/>
      <c r="AD430" s="298"/>
      <c r="AE430" s="298"/>
      <c r="AF430" s="298"/>
      <c r="AG430" s="298"/>
      <c r="AH430" s="298"/>
      <c r="AI430" s="166">
        <f t="shared" si="12"/>
        <v>0</v>
      </c>
      <c r="AJ430" s="166">
        <f t="shared" si="13"/>
        <v>0</v>
      </c>
      <c r="AK430" s="166"/>
      <c r="AL430" s="230" t="e">
        <f>IF($A430="","",IF(VLOOKUP($A430,'İşçi Bilgileri'!$A$2:$J$700,9,FALSE)=0,"",VLOOKUP($A430,'İşçi Bilgileri'!$A$2:$J$700,9,FALSE)))</f>
        <v>#N/A</v>
      </c>
      <c r="AM430" s="172" t="e">
        <f>IF($A430="","",IF(VLOOKUP($A430,'İşçi Bilgileri'!$A$2:$J$700,10,FALSE)=0,"",VLOOKUP($A430,'İşçi Bilgileri'!$A$2:$J$700,10,FALSE)))</f>
        <v>#N/A</v>
      </c>
    </row>
    <row r="431" spans="1:39" x14ac:dyDescent="0.2">
      <c r="A431" s="170">
        <v>423</v>
      </c>
      <c r="B431" s="147" t="e">
        <f>CONCATENATE(IF($A431="","",VLOOKUP($A431,'İşçi Bilgileri'!$A$2:$D$700,2,FALSE))," ",IF($A431="","",VLOOKUP($A431,'İşçi Bilgileri'!$A$2:$D$700,3,FALSE)))</f>
        <v>#N/A</v>
      </c>
      <c r="C431" s="171" t="e">
        <f>IF($A431="","",VLOOKUP($A431,'İşçi Bilgileri'!$A$2:$D$700,4,FALSE))</f>
        <v>#N/A</v>
      </c>
      <c r="D431" s="298"/>
      <c r="E431" s="298"/>
      <c r="F431" s="298"/>
      <c r="G431" s="298"/>
      <c r="H431" s="298"/>
      <c r="I431" s="298"/>
      <c r="J431" s="298"/>
      <c r="K431" s="298"/>
      <c r="L431" s="298"/>
      <c r="M431" s="298"/>
      <c r="N431" s="298"/>
      <c r="O431" s="298"/>
      <c r="P431" s="298"/>
      <c r="Q431" s="298"/>
      <c r="R431" s="298"/>
      <c r="S431" s="298"/>
      <c r="T431" s="298"/>
      <c r="U431" s="298"/>
      <c r="V431" s="298"/>
      <c r="W431" s="298"/>
      <c r="X431" s="298"/>
      <c r="Y431" s="298"/>
      <c r="Z431" s="298"/>
      <c r="AA431" s="298"/>
      <c r="AB431" s="298"/>
      <c r="AC431" s="298"/>
      <c r="AD431" s="298"/>
      <c r="AE431" s="298"/>
      <c r="AF431" s="298"/>
      <c r="AG431" s="298"/>
      <c r="AH431" s="298"/>
      <c r="AI431" s="166">
        <f t="shared" si="12"/>
        <v>0</v>
      </c>
      <c r="AJ431" s="166">
        <f t="shared" si="13"/>
        <v>0</v>
      </c>
      <c r="AK431" s="166"/>
      <c r="AL431" s="230" t="e">
        <f>IF($A431="","",IF(VLOOKUP($A431,'İşçi Bilgileri'!$A$2:$J$700,9,FALSE)=0,"",VLOOKUP($A431,'İşçi Bilgileri'!$A$2:$J$700,9,FALSE)))</f>
        <v>#N/A</v>
      </c>
      <c r="AM431" s="172" t="e">
        <f>IF($A431="","",IF(VLOOKUP($A431,'İşçi Bilgileri'!$A$2:$J$700,10,FALSE)=0,"",VLOOKUP($A431,'İşçi Bilgileri'!$A$2:$J$700,10,FALSE)))</f>
        <v>#N/A</v>
      </c>
    </row>
    <row r="432" spans="1:39" x14ac:dyDescent="0.2">
      <c r="A432" s="170">
        <v>424</v>
      </c>
      <c r="B432" s="147" t="e">
        <f>CONCATENATE(IF($A432="","",VLOOKUP($A432,'İşçi Bilgileri'!$A$2:$D$700,2,FALSE))," ",IF($A432="","",VLOOKUP($A432,'İşçi Bilgileri'!$A$2:$D$700,3,FALSE)))</f>
        <v>#N/A</v>
      </c>
      <c r="C432" s="171" t="e">
        <f>IF($A432="","",VLOOKUP($A432,'İşçi Bilgileri'!$A$2:$D$700,4,FALSE))</f>
        <v>#N/A</v>
      </c>
      <c r="D432" s="298"/>
      <c r="E432" s="298"/>
      <c r="F432" s="298"/>
      <c r="G432" s="298"/>
      <c r="H432" s="298"/>
      <c r="I432" s="298"/>
      <c r="J432" s="298"/>
      <c r="K432" s="298"/>
      <c r="L432" s="298"/>
      <c r="M432" s="298"/>
      <c r="N432" s="298"/>
      <c r="O432" s="298"/>
      <c r="P432" s="298"/>
      <c r="Q432" s="298"/>
      <c r="R432" s="298"/>
      <c r="S432" s="298"/>
      <c r="T432" s="298"/>
      <c r="U432" s="298"/>
      <c r="V432" s="298"/>
      <c r="W432" s="298"/>
      <c r="X432" s="298"/>
      <c r="Y432" s="298"/>
      <c r="Z432" s="298"/>
      <c r="AA432" s="298"/>
      <c r="AB432" s="298"/>
      <c r="AC432" s="298"/>
      <c r="AD432" s="298"/>
      <c r="AE432" s="298"/>
      <c r="AF432" s="298"/>
      <c r="AG432" s="298"/>
      <c r="AH432" s="298"/>
      <c r="AI432" s="166">
        <f t="shared" si="12"/>
        <v>0</v>
      </c>
      <c r="AJ432" s="166">
        <f t="shared" si="13"/>
        <v>0</v>
      </c>
      <c r="AK432" s="166"/>
      <c r="AL432" s="230" t="e">
        <f>IF($A432="","",IF(VLOOKUP($A432,'İşçi Bilgileri'!$A$2:$J$700,9,FALSE)=0,"",VLOOKUP($A432,'İşçi Bilgileri'!$A$2:$J$700,9,FALSE)))</f>
        <v>#N/A</v>
      </c>
      <c r="AM432" s="172" t="e">
        <f>IF($A432="","",IF(VLOOKUP($A432,'İşçi Bilgileri'!$A$2:$J$700,10,FALSE)=0,"",VLOOKUP($A432,'İşçi Bilgileri'!$A$2:$J$700,10,FALSE)))</f>
        <v>#N/A</v>
      </c>
    </row>
    <row r="433" spans="1:39" x14ac:dyDescent="0.2">
      <c r="A433" s="170">
        <v>425</v>
      </c>
      <c r="B433" s="147" t="e">
        <f>CONCATENATE(IF($A433="","",VLOOKUP($A433,'İşçi Bilgileri'!$A$2:$D$700,2,FALSE))," ",IF($A433="","",VLOOKUP($A433,'İşçi Bilgileri'!$A$2:$D$700,3,FALSE)))</f>
        <v>#N/A</v>
      </c>
      <c r="C433" s="171" t="e">
        <f>IF($A433="","",VLOOKUP($A433,'İşçi Bilgileri'!$A$2:$D$700,4,FALSE))</f>
        <v>#N/A</v>
      </c>
      <c r="D433" s="298"/>
      <c r="E433" s="298"/>
      <c r="F433" s="298"/>
      <c r="G433" s="298"/>
      <c r="H433" s="298"/>
      <c r="I433" s="298"/>
      <c r="J433" s="298"/>
      <c r="K433" s="298"/>
      <c r="L433" s="298"/>
      <c r="M433" s="298"/>
      <c r="N433" s="298"/>
      <c r="O433" s="298"/>
      <c r="P433" s="298"/>
      <c r="Q433" s="298"/>
      <c r="R433" s="298"/>
      <c r="S433" s="298"/>
      <c r="T433" s="298"/>
      <c r="U433" s="298"/>
      <c r="V433" s="298"/>
      <c r="W433" s="298"/>
      <c r="X433" s="298"/>
      <c r="Y433" s="298"/>
      <c r="Z433" s="298"/>
      <c r="AA433" s="298"/>
      <c r="AB433" s="298"/>
      <c r="AC433" s="298"/>
      <c r="AD433" s="298"/>
      <c r="AE433" s="298"/>
      <c r="AF433" s="298"/>
      <c r="AG433" s="298"/>
      <c r="AH433" s="298"/>
      <c r="AI433" s="166">
        <f t="shared" si="12"/>
        <v>0</v>
      </c>
      <c r="AJ433" s="166">
        <f t="shared" si="13"/>
        <v>0</v>
      </c>
      <c r="AK433" s="166"/>
      <c r="AL433" s="230" t="e">
        <f>IF($A433="","",IF(VLOOKUP($A433,'İşçi Bilgileri'!$A$2:$J$700,9,FALSE)=0,"",VLOOKUP($A433,'İşçi Bilgileri'!$A$2:$J$700,9,FALSE)))</f>
        <v>#N/A</v>
      </c>
      <c r="AM433" s="172" t="e">
        <f>IF($A433="","",IF(VLOOKUP($A433,'İşçi Bilgileri'!$A$2:$J$700,10,FALSE)=0,"",VLOOKUP($A433,'İşçi Bilgileri'!$A$2:$J$700,10,FALSE)))</f>
        <v>#N/A</v>
      </c>
    </row>
    <row r="434" spans="1:39" x14ac:dyDescent="0.2">
      <c r="A434" s="170">
        <v>426</v>
      </c>
      <c r="B434" s="147" t="e">
        <f>CONCATENATE(IF($A434="","",VLOOKUP($A434,'İşçi Bilgileri'!$A$2:$D$700,2,FALSE))," ",IF($A434="","",VLOOKUP($A434,'İşçi Bilgileri'!$A$2:$D$700,3,FALSE)))</f>
        <v>#N/A</v>
      </c>
      <c r="C434" s="171" t="e">
        <f>IF($A434="","",VLOOKUP($A434,'İşçi Bilgileri'!$A$2:$D$700,4,FALSE))</f>
        <v>#N/A</v>
      </c>
      <c r="D434" s="298"/>
      <c r="E434" s="298"/>
      <c r="F434" s="298"/>
      <c r="G434" s="298"/>
      <c r="H434" s="298"/>
      <c r="I434" s="298"/>
      <c r="J434" s="298"/>
      <c r="K434" s="298"/>
      <c r="L434" s="298"/>
      <c r="M434" s="298"/>
      <c r="N434" s="298"/>
      <c r="O434" s="298"/>
      <c r="P434" s="298"/>
      <c r="Q434" s="298"/>
      <c r="R434" s="298"/>
      <c r="S434" s="298"/>
      <c r="T434" s="298"/>
      <c r="U434" s="298"/>
      <c r="V434" s="298"/>
      <c r="W434" s="298"/>
      <c r="X434" s="298"/>
      <c r="Y434" s="298"/>
      <c r="Z434" s="298"/>
      <c r="AA434" s="298"/>
      <c r="AB434" s="298"/>
      <c r="AC434" s="298"/>
      <c r="AD434" s="298"/>
      <c r="AE434" s="298"/>
      <c r="AF434" s="298"/>
      <c r="AG434" s="298"/>
      <c r="AH434" s="298"/>
      <c r="AI434" s="166">
        <f t="shared" si="12"/>
        <v>0</v>
      </c>
      <c r="AJ434" s="166">
        <f t="shared" si="13"/>
        <v>0</v>
      </c>
      <c r="AK434" s="166"/>
      <c r="AL434" s="230" t="e">
        <f>IF($A434="","",IF(VLOOKUP($A434,'İşçi Bilgileri'!$A$2:$J$700,9,FALSE)=0,"",VLOOKUP($A434,'İşçi Bilgileri'!$A$2:$J$700,9,FALSE)))</f>
        <v>#N/A</v>
      </c>
      <c r="AM434" s="172" t="e">
        <f>IF($A434="","",IF(VLOOKUP($A434,'İşçi Bilgileri'!$A$2:$J$700,10,FALSE)=0,"",VLOOKUP($A434,'İşçi Bilgileri'!$A$2:$J$700,10,FALSE)))</f>
        <v>#N/A</v>
      </c>
    </row>
    <row r="435" spans="1:39" x14ac:dyDescent="0.2">
      <c r="A435" s="170">
        <v>427</v>
      </c>
      <c r="B435" s="147" t="e">
        <f>CONCATENATE(IF($A435="","",VLOOKUP($A435,'İşçi Bilgileri'!$A$2:$D$700,2,FALSE))," ",IF($A435="","",VLOOKUP($A435,'İşçi Bilgileri'!$A$2:$D$700,3,FALSE)))</f>
        <v>#N/A</v>
      </c>
      <c r="C435" s="171" t="e">
        <f>IF($A435="","",VLOOKUP($A435,'İşçi Bilgileri'!$A$2:$D$700,4,FALSE))</f>
        <v>#N/A</v>
      </c>
      <c r="D435" s="298"/>
      <c r="E435" s="298"/>
      <c r="F435" s="298"/>
      <c r="G435" s="298"/>
      <c r="H435" s="298"/>
      <c r="I435" s="298"/>
      <c r="J435" s="298"/>
      <c r="K435" s="298"/>
      <c r="L435" s="298"/>
      <c r="M435" s="298"/>
      <c r="N435" s="298"/>
      <c r="O435" s="298"/>
      <c r="P435" s="298"/>
      <c r="Q435" s="298"/>
      <c r="R435" s="298"/>
      <c r="S435" s="298"/>
      <c r="T435" s="298"/>
      <c r="U435" s="298"/>
      <c r="V435" s="298"/>
      <c r="W435" s="298"/>
      <c r="X435" s="298"/>
      <c r="Y435" s="298"/>
      <c r="Z435" s="298"/>
      <c r="AA435" s="298"/>
      <c r="AB435" s="298"/>
      <c r="AC435" s="298"/>
      <c r="AD435" s="298"/>
      <c r="AE435" s="298"/>
      <c r="AF435" s="298"/>
      <c r="AG435" s="298"/>
      <c r="AH435" s="298"/>
      <c r="AI435" s="166">
        <f t="shared" si="12"/>
        <v>0</v>
      </c>
      <c r="AJ435" s="166">
        <f t="shared" si="13"/>
        <v>0</v>
      </c>
      <c r="AK435" s="166"/>
      <c r="AL435" s="230" t="e">
        <f>IF($A435="","",IF(VLOOKUP($A435,'İşçi Bilgileri'!$A$2:$J$700,9,FALSE)=0,"",VLOOKUP($A435,'İşçi Bilgileri'!$A$2:$J$700,9,FALSE)))</f>
        <v>#N/A</v>
      </c>
      <c r="AM435" s="172" t="e">
        <f>IF($A435="","",IF(VLOOKUP($A435,'İşçi Bilgileri'!$A$2:$J$700,10,FALSE)=0,"",VLOOKUP($A435,'İşçi Bilgileri'!$A$2:$J$700,10,FALSE)))</f>
        <v>#N/A</v>
      </c>
    </row>
    <row r="436" spans="1:39" x14ac:dyDescent="0.2">
      <c r="A436" s="170">
        <v>428</v>
      </c>
      <c r="B436" s="147" t="e">
        <f>CONCATENATE(IF($A436="","",VLOOKUP($A436,'İşçi Bilgileri'!$A$2:$D$700,2,FALSE))," ",IF($A436="","",VLOOKUP($A436,'İşçi Bilgileri'!$A$2:$D$700,3,FALSE)))</f>
        <v>#N/A</v>
      </c>
      <c r="C436" s="171" t="e">
        <f>IF($A436="","",VLOOKUP($A436,'İşçi Bilgileri'!$A$2:$D$700,4,FALSE))</f>
        <v>#N/A</v>
      </c>
      <c r="D436" s="298"/>
      <c r="E436" s="298"/>
      <c r="F436" s="298"/>
      <c r="G436" s="298"/>
      <c r="H436" s="298"/>
      <c r="I436" s="298"/>
      <c r="J436" s="298"/>
      <c r="K436" s="298"/>
      <c r="L436" s="298"/>
      <c r="M436" s="298"/>
      <c r="N436" s="298"/>
      <c r="O436" s="298"/>
      <c r="P436" s="298"/>
      <c r="Q436" s="298"/>
      <c r="R436" s="298"/>
      <c r="S436" s="298"/>
      <c r="T436" s="298"/>
      <c r="U436" s="298"/>
      <c r="V436" s="298"/>
      <c r="W436" s="298"/>
      <c r="X436" s="298"/>
      <c r="Y436" s="298"/>
      <c r="Z436" s="298"/>
      <c r="AA436" s="298"/>
      <c r="AB436" s="298"/>
      <c r="AC436" s="298"/>
      <c r="AD436" s="298"/>
      <c r="AE436" s="298"/>
      <c r="AF436" s="298"/>
      <c r="AG436" s="298"/>
      <c r="AH436" s="298"/>
      <c r="AI436" s="166">
        <f t="shared" si="12"/>
        <v>0</v>
      </c>
      <c r="AJ436" s="166">
        <f t="shared" si="13"/>
        <v>0</v>
      </c>
      <c r="AK436" s="166"/>
      <c r="AL436" s="230" t="e">
        <f>IF($A436="","",IF(VLOOKUP($A436,'İşçi Bilgileri'!$A$2:$J$700,9,FALSE)=0,"",VLOOKUP($A436,'İşçi Bilgileri'!$A$2:$J$700,9,FALSE)))</f>
        <v>#N/A</v>
      </c>
      <c r="AM436" s="172" t="e">
        <f>IF($A436="","",IF(VLOOKUP($A436,'İşçi Bilgileri'!$A$2:$J$700,10,FALSE)=0,"",VLOOKUP($A436,'İşçi Bilgileri'!$A$2:$J$700,10,FALSE)))</f>
        <v>#N/A</v>
      </c>
    </row>
    <row r="437" spans="1:39" x14ac:dyDescent="0.2">
      <c r="A437" s="170">
        <v>429</v>
      </c>
      <c r="B437" s="147" t="e">
        <f>CONCATENATE(IF($A437="","",VLOOKUP($A437,'İşçi Bilgileri'!$A$2:$D$700,2,FALSE))," ",IF($A437="","",VLOOKUP($A437,'İşçi Bilgileri'!$A$2:$D$700,3,FALSE)))</f>
        <v>#N/A</v>
      </c>
      <c r="C437" s="171" t="e">
        <f>IF($A437="","",VLOOKUP($A437,'İşçi Bilgileri'!$A$2:$D$700,4,FALSE))</f>
        <v>#N/A</v>
      </c>
      <c r="D437" s="298"/>
      <c r="E437" s="298"/>
      <c r="F437" s="298"/>
      <c r="G437" s="298"/>
      <c r="H437" s="298"/>
      <c r="I437" s="298"/>
      <c r="J437" s="298"/>
      <c r="K437" s="298"/>
      <c r="L437" s="298"/>
      <c r="M437" s="298"/>
      <c r="N437" s="298"/>
      <c r="O437" s="298"/>
      <c r="P437" s="298"/>
      <c r="Q437" s="298"/>
      <c r="R437" s="298"/>
      <c r="S437" s="298"/>
      <c r="T437" s="298"/>
      <c r="U437" s="298"/>
      <c r="V437" s="298"/>
      <c r="W437" s="298"/>
      <c r="X437" s="298"/>
      <c r="Y437" s="298"/>
      <c r="Z437" s="298"/>
      <c r="AA437" s="298"/>
      <c r="AB437" s="298"/>
      <c r="AC437" s="298"/>
      <c r="AD437" s="298"/>
      <c r="AE437" s="298"/>
      <c r="AF437" s="298"/>
      <c r="AG437" s="298"/>
      <c r="AH437" s="298"/>
      <c r="AI437" s="166">
        <f t="shared" si="12"/>
        <v>0</v>
      </c>
      <c r="AJ437" s="166">
        <f t="shared" si="13"/>
        <v>0</v>
      </c>
      <c r="AK437" s="166"/>
      <c r="AL437" s="230" t="e">
        <f>IF($A437="","",IF(VLOOKUP($A437,'İşçi Bilgileri'!$A$2:$J$700,9,FALSE)=0,"",VLOOKUP($A437,'İşçi Bilgileri'!$A$2:$J$700,9,FALSE)))</f>
        <v>#N/A</v>
      </c>
      <c r="AM437" s="172" t="e">
        <f>IF($A437="","",IF(VLOOKUP($A437,'İşçi Bilgileri'!$A$2:$J$700,10,FALSE)=0,"",VLOOKUP($A437,'İşçi Bilgileri'!$A$2:$J$700,10,FALSE)))</f>
        <v>#N/A</v>
      </c>
    </row>
    <row r="438" spans="1:39" x14ac:dyDescent="0.2">
      <c r="A438" s="170">
        <v>430</v>
      </c>
      <c r="B438" s="147" t="e">
        <f>CONCATENATE(IF($A438="","",VLOOKUP($A438,'İşçi Bilgileri'!$A$2:$D$700,2,FALSE))," ",IF($A438="","",VLOOKUP($A438,'İşçi Bilgileri'!$A$2:$D$700,3,FALSE)))</f>
        <v>#N/A</v>
      </c>
      <c r="C438" s="171" t="e">
        <f>IF($A438="","",VLOOKUP($A438,'İşçi Bilgileri'!$A$2:$D$700,4,FALSE))</f>
        <v>#N/A</v>
      </c>
      <c r="D438" s="298"/>
      <c r="E438" s="298"/>
      <c r="F438" s="298"/>
      <c r="G438" s="298"/>
      <c r="H438" s="298"/>
      <c r="I438" s="298"/>
      <c r="J438" s="298"/>
      <c r="K438" s="298"/>
      <c r="L438" s="298"/>
      <c r="M438" s="298"/>
      <c r="N438" s="298"/>
      <c r="O438" s="298"/>
      <c r="P438" s="298"/>
      <c r="Q438" s="298"/>
      <c r="R438" s="298"/>
      <c r="S438" s="298"/>
      <c r="T438" s="298"/>
      <c r="U438" s="298"/>
      <c r="V438" s="298"/>
      <c r="W438" s="298"/>
      <c r="X438" s="298"/>
      <c r="Y438" s="298"/>
      <c r="Z438" s="298"/>
      <c r="AA438" s="298"/>
      <c r="AB438" s="298"/>
      <c r="AC438" s="298"/>
      <c r="AD438" s="298"/>
      <c r="AE438" s="298"/>
      <c r="AF438" s="298"/>
      <c r="AG438" s="298"/>
      <c r="AH438" s="298"/>
      <c r="AI438" s="166">
        <f t="shared" si="12"/>
        <v>0</v>
      </c>
      <c r="AJ438" s="166">
        <f t="shared" si="13"/>
        <v>0</v>
      </c>
      <c r="AK438" s="166"/>
      <c r="AL438" s="230" t="e">
        <f>IF($A438="","",IF(VLOOKUP($A438,'İşçi Bilgileri'!$A$2:$J$700,9,FALSE)=0,"",VLOOKUP($A438,'İşçi Bilgileri'!$A$2:$J$700,9,FALSE)))</f>
        <v>#N/A</v>
      </c>
      <c r="AM438" s="172" t="e">
        <f>IF($A438="","",IF(VLOOKUP($A438,'İşçi Bilgileri'!$A$2:$J$700,10,FALSE)=0,"",VLOOKUP($A438,'İşçi Bilgileri'!$A$2:$J$700,10,FALSE)))</f>
        <v>#N/A</v>
      </c>
    </row>
    <row r="439" spans="1:39" x14ac:dyDescent="0.2">
      <c r="A439" s="170">
        <v>431</v>
      </c>
      <c r="B439" s="147" t="e">
        <f>CONCATENATE(IF($A439="","",VLOOKUP($A439,'İşçi Bilgileri'!$A$2:$D$700,2,FALSE))," ",IF($A439="","",VLOOKUP($A439,'İşçi Bilgileri'!$A$2:$D$700,3,FALSE)))</f>
        <v>#N/A</v>
      </c>
      <c r="C439" s="171" t="e">
        <f>IF($A439="","",VLOOKUP($A439,'İşçi Bilgileri'!$A$2:$D$700,4,FALSE))</f>
        <v>#N/A</v>
      </c>
      <c r="D439" s="298"/>
      <c r="E439" s="298"/>
      <c r="F439" s="298"/>
      <c r="G439" s="298"/>
      <c r="H439" s="298"/>
      <c r="I439" s="298"/>
      <c r="J439" s="298"/>
      <c r="K439" s="298"/>
      <c r="L439" s="298"/>
      <c r="M439" s="298"/>
      <c r="N439" s="298"/>
      <c r="O439" s="298"/>
      <c r="P439" s="298"/>
      <c r="Q439" s="298"/>
      <c r="R439" s="298"/>
      <c r="S439" s="298"/>
      <c r="T439" s="298"/>
      <c r="U439" s="298"/>
      <c r="V439" s="298"/>
      <c r="W439" s="298"/>
      <c r="X439" s="298"/>
      <c r="Y439" s="298"/>
      <c r="Z439" s="298"/>
      <c r="AA439" s="298"/>
      <c r="AB439" s="298"/>
      <c r="AC439" s="298"/>
      <c r="AD439" s="298"/>
      <c r="AE439" s="298"/>
      <c r="AF439" s="298"/>
      <c r="AG439" s="298"/>
      <c r="AH439" s="298"/>
      <c r="AI439" s="166">
        <f t="shared" si="12"/>
        <v>0</v>
      </c>
      <c r="AJ439" s="166">
        <f t="shared" si="13"/>
        <v>0</v>
      </c>
      <c r="AK439" s="166"/>
      <c r="AL439" s="230" t="e">
        <f>IF($A439="","",IF(VLOOKUP($A439,'İşçi Bilgileri'!$A$2:$J$700,9,FALSE)=0,"",VLOOKUP($A439,'İşçi Bilgileri'!$A$2:$J$700,9,FALSE)))</f>
        <v>#N/A</v>
      </c>
      <c r="AM439" s="172" t="e">
        <f>IF($A439="","",IF(VLOOKUP($A439,'İşçi Bilgileri'!$A$2:$J$700,10,FALSE)=0,"",VLOOKUP($A439,'İşçi Bilgileri'!$A$2:$J$700,10,FALSE)))</f>
        <v>#N/A</v>
      </c>
    </row>
    <row r="440" spans="1:39" x14ac:dyDescent="0.2">
      <c r="A440" s="170">
        <v>432</v>
      </c>
      <c r="B440" s="147" t="e">
        <f>CONCATENATE(IF($A440="","",VLOOKUP($A440,'İşçi Bilgileri'!$A$2:$D$700,2,FALSE))," ",IF($A440="","",VLOOKUP($A440,'İşçi Bilgileri'!$A$2:$D$700,3,FALSE)))</f>
        <v>#N/A</v>
      </c>
      <c r="C440" s="171" t="e">
        <f>IF($A440="","",VLOOKUP($A440,'İşçi Bilgileri'!$A$2:$D$700,4,FALSE))</f>
        <v>#N/A</v>
      </c>
      <c r="D440" s="298"/>
      <c r="E440" s="298"/>
      <c r="F440" s="298"/>
      <c r="G440" s="298"/>
      <c r="H440" s="298"/>
      <c r="I440" s="298"/>
      <c r="J440" s="298"/>
      <c r="K440" s="298"/>
      <c r="L440" s="298"/>
      <c r="M440" s="298"/>
      <c r="N440" s="298"/>
      <c r="O440" s="298"/>
      <c r="P440" s="298"/>
      <c r="Q440" s="298"/>
      <c r="R440" s="298"/>
      <c r="S440" s="298"/>
      <c r="T440" s="298"/>
      <c r="U440" s="298"/>
      <c r="V440" s="298"/>
      <c r="W440" s="298"/>
      <c r="X440" s="298"/>
      <c r="Y440" s="298"/>
      <c r="Z440" s="298"/>
      <c r="AA440" s="298"/>
      <c r="AB440" s="298"/>
      <c r="AC440" s="298"/>
      <c r="AD440" s="298"/>
      <c r="AE440" s="298"/>
      <c r="AF440" s="298"/>
      <c r="AG440" s="298"/>
      <c r="AH440" s="298"/>
      <c r="AI440" s="166">
        <f t="shared" si="12"/>
        <v>0</v>
      </c>
      <c r="AJ440" s="166">
        <f t="shared" si="13"/>
        <v>0</v>
      </c>
      <c r="AK440" s="166"/>
      <c r="AL440" s="230" t="e">
        <f>IF($A440="","",IF(VLOOKUP($A440,'İşçi Bilgileri'!$A$2:$J$700,9,FALSE)=0,"",VLOOKUP($A440,'İşçi Bilgileri'!$A$2:$J$700,9,FALSE)))</f>
        <v>#N/A</v>
      </c>
      <c r="AM440" s="172" t="e">
        <f>IF($A440="","",IF(VLOOKUP($A440,'İşçi Bilgileri'!$A$2:$J$700,10,FALSE)=0,"",VLOOKUP($A440,'İşçi Bilgileri'!$A$2:$J$700,10,FALSE)))</f>
        <v>#N/A</v>
      </c>
    </row>
    <row r="441" spans="1:39" x14ac:dyDescent="0.2">
      <c r="A441" s="170">
        <v>433</v>
      </c>
      <c r="B441" s="147" t="e">
        <f>CONCATENATE(IF($A441="","",VLOOKUP($A441,'İşçi Bilgileri'!$A$2:$D$700,2,FALSE))," ",IF($A441="","",VLOOKUP($A441,'İşçi Bilgileri'!$A$2:$D$700,3,FALSE)))</f>
        <v>#N/A</v>
      </c>
      <c r="C441" s="171" t="e">
        <f>IF($A441="","",VLOOKUP($A441,'İşçi Bilgileri'!$A$2:$D$700,4,FALSE))</f>
        <v>#N/A</v>
      </c>
      <c r="D441" s="298"/>
      <c r="E441" s="298"/>
      <c r="F441" s="298"/>
      <c r="G441" s="298"/>
      <c r="H441" s="298"/>
      <c r="I441" s="298"/>
      <c r="J441" s="298"/>
      <c r="K441" s="298"/>
      <c r="L441" s="298"/>
      <c r="M441" s="298"/>
      <c r="N441" s="298"/>
      <c r="O441" s="298"/>
      <c r="P441" s="298"/>
      <c r="Q441" s="298"/>
      <c r="R441" s="298"/>
      <c r="S441" s="298"/>
      <c r="T441" s="298"/>
      <c r="U441" s="298"/>
      <c r="V441" s="298"/>
      <c r="W441" s="298"/>
      <c r="X441" s="298"/>
      <c r="Y441" s="298"/>
      <c r="Z441" s="298"/>
      <c r="AA441" s="298"/>
      <c r="AB441" s="298"/>
      <c r="AC441" s="298"/>
      <c r="AD441" s="298"/>
      <c r="AE441" s="298"/>
      <c r="AF441" s="298"/>
      <c r="AG441" s="298"/>
      <c r="AH441" s="298"/>
      <c r="AI441" s="166">
        <f t="shared" si="12"/>
        <v>0</v>
      </c>
      <c r="AJ441" s="166">
        <f t="shared" si="13"/>
        <v>0</v>
      </c>
      <c r="AK441" s="166"/>
      <c r="AL441" s="230" t="e">
        <f>IF($A441="","",IF(VLOOKUP($A441,'İşçi Bilgileri'!$A$2:$J$700,9,FALSE)=0,"",VLOOKUP($A441,'İşçi Bilgileri'!$A$2:$J$700,9,FALSE)))</f>
        <v>#N/A</v>
      </c>
      <c r="AM441" s="172" t="e">
        <f>IF($A441="","",IF(VLOOKUP($A441,'İşçi Bilgileri'!$A$2:$J$700,10,FALSE)=0,"",VLOOKUP($A441,'İşçi Bilgileri'!$A$2:$J$700,10,FALSE)))</f>
        <v>#N/A</v>
      </c>
    </row>
    <row r="442" spans="1:39" x14ac:dyDescent="0.2">
      <c r="A442" s="170">
        <v>434</v>
      </c>
      <c r="B442" s="147" t="e">
        <f>CONCATENATE(IF($A442="","",VLOOKUP($A442,'İşçi Bilgileri'!$A$2:$D$700,2,FALSE))," ",IF($A442="","",VLOOKUP($A442,'İşçi Bilgileri'!$A$2:$D$700,3,FALSE)))</f>
        <v>#N/A</v>
      </c>
      <c r="C442" s="171" t="e">
        <f>IF($A442="","",VLOOKUP($A442,'İşçi Bilgileri'!$A$2:$D$700,4,FALSE))</f>
        <v>#N/A</v>
      </c>
      <c r="D442" s="298"/>
      <c r="E442" s="298"/>
      <c r="F442" s="298"/>
      <c r="G442" s="298"/>
      <c r="H442" s="298"/>
      <c r="I442" s="298"/>
      <c r="J442" s="298"/>
      <c r="K442" s="298"/>
      <c r="L442" s="298"/>
      <c r="M442" s="298"/>
      <c r="N442" s="298"/>
      <c r="O442" s="298"/>
      <c r="P442" s="298"/>
      <c r="Q442" s="298"/>
      <c r="R442" s="298"/>
      <c r="S442" s="298"/>
      <c r="T442" s="298"/>
      <c r="U442" s="298"/>
      <c r="V442" s="298"/>
      <c r="W442" s="298"/>
      <c r="X442" s="298"/>
      <c r="Y442" s="298"/>
      <c r="Z442" s="298"/>
      <c r="AA442" s="298"/>
      <c r="AB442" s="298"/>
      <c r="AC442" s="298"/>
      <c r="AD442" s="298"/>
      <c r="AE442" s="298"/>
      <c r="AF442" s="298"/>
      <c r="AG442" s="298"/>
      <c r="AH442" s="298"/>
      <c r="AI442" s="166">
        <f t="shared" si="12"/>
        <v>0</v>
      </c>
      <c r="AJ442" s="166">
        <f t="shared" si="13"/>
        <v>0</v>
      </c>
      <c r="AK442" s="166"/>
      <c r="AL442" s="230" t="e">
        <f>IF($A442="","",IF(VLOOKUP($A442,'İşçi Bilgileri'!$A$2:$J$700,9,FALSE)=0,"",VLOOKUP($A442,'İşçi Bilgileri'!$A$2:$J$700,9,FALSE)))</f>
        <v>#N/A</v>
      </c>
      <c r="AM442" s="172" t="e">
        <f>IF($A442="","",IF(VLOOKUP($A442,'İşçi Bilgileri'!$A$2:$J$700,10,FALSE)=0,"",VLOOKUP($A442,'İşçi Bilgileri'!$A$2:$J$700,10,FALSE)))</f>
        <v>#N/A</v>
      </c>
    </row>
    <row r="443" spans="1:39" x14ac:dyDescent="0.2">
      <c r="A443" s="170">
        <v>435</v>
      </c>
      <c r="B443" s="147" t="e">
        <f>CONCATENATE(IF($A443="","",VLOOKUP($A443,'İşçi Bilgileri'!$A$2:$D$700,2,FALSE))," ",IF($A443="","",VLOOKUP($A443,'İşçi Bilgileri'!$A$2:$D$700,3,FALSE)))</f>
        <v>#N/A</v>
      </c>
      <c r="C443" s="171" t="e">
        <f>IF($A443="","",VLOOKUP($A443,'İşçi Bilgileri'!$A$2:$D$700,4,FALSE))</f>
        <v>#N/A</v>
      </c>
      <c r="D443" s="298"/>
      <c r="E443" s="298"/>
      <c r="F443" s="298"/>
      <c r="G443" s="298"/>
      <c r="H443" s="298"/>
      <c r="I443" s="298"/>
      <c r="J443" s="298"/>
      <c r="K443" s="298"/>
      <c r="L443" s="298"/>
      <c r="M443" s="298"/>
      <c r="N443" s="298"/>
      <c r="O443" s="298"/>
      <c r="P443" s="298"/>
      <c r="Q443" s="298"/>
      <c r="R443" s="298"/>
      <c r="S443" s="298"/>
      <c r="T443" s="298"/>
      <c r="U443" s="298"/>
      <c r="V443" s="298"/>
      <c r="W443" s="298"/>
      <c r="X443" s="298"/>
      <c r="Y443" s="298"/>
      <c r="Z443" s="298"/>
      <c r="AA443" s="298"/>
      <c r="AB443" s="298"/>
      <c r="AC443" s="298"/>
      <c r="AD443" s="298"/>
      <c r="AE443" s="298"/>
      <c r="AF443" s="298"/>
      <c r="AG443" s="298"/>
      <c r="AH443" s="298"/>
      <c r="AI443" s="166">
        <f t="shared" si="12"/>
        <v>0</v>
      </c>
      <c r="AJ443" s="166">
        <f t="shared" si="13"/>
        <v>0</v>
      </c>
      <c r="AK443" s="166"/>
      <c r="AL443" s="230" t="e">
        <f>IF($A443="","",IF(VLOOKUP($A443,'İşçi Bilgileri'!$A$2:$J$700,9,FALSE)=0,"",VLOOKUP($A443,'İşçi Bilgileri'!$A$2:$J$700,9,FALSE)))</f>
        <v>#N/A</v>
      </c>
      <c r="AM443" s="172" t="e">
        <f>IF($A443="","",IF(VLOOKUP($A443,'İşçi Bilgileri'!$A$2:$J$700,10,FALSE)=0,"",VLOOKUP($A443,'İşçi Bilgileri'!$A$2:$J$700,10,FALSE)))</f>
        <v>#N/A</v>
      </c>
    </row>
    <row r="444" spans="1:39" x14ac:dyDescent="0.2">
      <c r="A444" s="170">
        <v>436</v>
      </c>
      <c r="B444" s="147" t="e">
        <f>CONCATENATE(IF($A444="","",VLOOKUP($A444,'İşçi Bilgileri'!$A$2:$D$700,2,FALSE))," ",IF($A444="","",VLOOKUP($A444,'İşçi Bilgileri'!$A$2:$D$700,3,FALSE)))</f>
        <v>#N/A</v>
      </c>
      <c r="C444" s="171" t="e">
        <f>IF($A444="","",VLOOKUP($A444,'İşçi Bilgileri'!$A$2:$D$700,4,FALSE))</f>
        <v>#N/A</v>
      </c>
      <c r="D444" s="298"/>
      <c r="E444" s="298"/>
      <c r="F444" s="298"/>
      <c r="G444" s="298"/>
      <c r="H444" s="298"/>
      <c r="I444" s="298"/>
      <c r="J444" s="298"/>
      <c r="K444" s="298"/>
      <c r="L444" s="298"/>
      <c r="M444" s="298"/>
      <c r="N444" s="298"/>
      <c r="O444" s="298"/>
      <c r="P444" s="298"/>
      <c r="Q444" s="298"/>
      <c r="R444" s="298"/>
      <c r="S444" s="298"/>
      <c r="T444" s="298"/>
      <c r="U444" s="298"/>
      <c r="V444" s="298"/>
      <c r="W444" s="298"/>
      <c r="X444" s="298"/>
      <c r="Y444" s="298"/>
      <c r="Z444" s="298"/>
      <c r="AA444" s="298"/>
      <c r="AB444" s="298"/>
      <c r="AC444" s="298"/>
      <c r="AD444" s="298"/>
      <c r="AE444" s="298"/>
      <c r="AF444" s="298"/>
      <c r="AG444" s="298"/>
      <c r="AH444" s="298"/>
      <c r="AI444" s="166">
        <f t="shared" si="12"/>
        <v>0</v>
      </c>
      <c r="AJ444" s="166">
        <f t="shared" si="13"/>
        <v>0</v>
      </c>
      <c r="AK444" s="166"/>
      <c r="AL444" s="230" t="e">
        <f>IF($A444="","",IF(VLOOKUP($A444,'İşçi Bilgileri'!$A$2:$J$700,9,FALSE)=0,"",VLOOKUP($A444,'İşçi Bilgileri'!$A$2:$J$700,9,FALSE)))</f>
        <v>#N/A</v>
      </c>
      <c r="AM444" s="172" t="e">
        <f>IF($A444="","",IF(VLOOKUP($A444,'İşçi Bilgileri'!$A$2:$J$700,10,FALSE)=0,"",VLOOKUP($A444,'İşçi Bilgileri'!$A$2:$J$700,10,FALSE)))</f>
        <v>#N/A</v>
      </c>
    </row>
    <row r="445" spans="1:39" x14ac:dyDescent="0.2">
      <c r="A445" s="170">
        <v>437</v>
      </c>
      <c r="B445" s="147" t="e">
        <f>CONCATENATE(IF($A445="","",VLOOKUP($A445,'İşçi Bilgileri'!$A$2:$D$700,2,FALSE))," ",IF($A445="","",VLOOKUP($A445,'İşçi Bilgileri'!$A$2:$D$700,3,FALSE)))</f>
        <v>#N/A</v>
      </c>
      <c r="C445" s="171" t="e">
        <f>IF($A445="","",VLOOKUP($A445,'İşçi Bilgileri'!$A$2:$D$700,4,FALSE))</f>
        <v>#N/A</v>
      </c>
      <c r="D445" s="298"/>
      <c r="E445" s="298"/>
      <c r="F445" s="298"/>
      <c r="G445" s="298"/>
      <c r="H445" s="298"/>
      <c r="I445" s="298"/>
      <c r="J445" s="298"/>
      <c r="K445" s="298"/>
      <c r="L445" s="298"/>
      <c r="M445" s="298"/>
      <c r="N445" s="298"/>
      <c r="O445" s="298"/>
      <c r="P445" s="298"/>
      <c r="Q445" s="298"/>
      <c r="R445" s="298"/>
      <c r="S445" s="298"/>
      <c r="T445" s="298"/>
      <c r="U445" s="298"/>
      <c r="V445" s="298"/>
      <c r="W445" s="298"/>
      <c r="X445" s="298"/>
      <c r="Y445" s="298"/>
      <c r="Z445" s="298"/>
      <c r="AA445" s="298"/>
      <c r="AB445" s="298"/>
      <c r="AC445" s="298"/>
      <c r="AD445" s="298"/>
      <c r="AE445" s="298"/>
      <c r="AF445" s="298"/>
      <c r="AG445" s="298"/>
      <c r="AH445" s="298"/>
      <c r="AI445" s="166">
        <f t="shared" si="12"/>
        <v>0</v>
      </c>
      <c r="AJ445" s="166">
        <f t="shared" si="13"/>
        <v>0</v>
      </c>
      <c r="AK445" s="166"/>
      <c r="AL445" s="230" t="e">
        <f>IF($A445="","",IF(VLOOKUP($A445,'İşçi Bilgileri'!$A$2:$J$700,9,FALSE)=0,"",VLOOKUP($A445,'İşçi Bilgileri'!$A$2:$J$700,9,FALSE)))</f>
        <v>#N/A</v>
      </c>
      <c r="AM445" s="172" t="e">
        <f>IF($A445="","",IF(VLOOKUP($A445,'İşçi Bilgileri'!$A$2:$J$700,10,FALSE)=0,"",VLOOKUP($A445,'İşçi Bilgileri'!$A$2:$J$700,10,FALSE)))</f>
        <v>#N/A</v>
      </c>
    </row>
    <row r="446" spans="1:39" x14ac:dyDescent="0.2">
      <c r="A446" s="170">
        <v>438</v>
      </c>
      <c r="B446" s="147" t="e">
        <f>CONCATENATE(IF($A446="","",VLOOKUP($A446,'İşçi Bilgileri'!$A$2:$D$700,2,FALSE))," ",IF($A446="","",VLOOKUP($A446,'İşçi Bilgileri'!$A$2:$D$700,3,FALSE)))</f>
        <v>#N/A</v>
      </c>
      <c r="C446" s="171" t="e">
        <f>IF($A446="","",VLOOKUP($A446,'İşçi Bilgileri'!$A$2:$D$700,4,FALSE))</f>
        <v>#N/A</v>
      </c>
      <c r="D446" s="298"/>
      <c r="E446" s="298"/>
      <c r="F446" s="298"/>
      <c r="G446" s="298"/>
      <c r="H446" s="298"/>
      <c r="I446" s="298"/>
      <c r="J446" s="298"/>
      <c r="K446" s="298"/>
      <c r="L446" s="298"/>
      <c r="M446" s="298"/>
      <c r="N446" s="298"/>
      <c r="O446" s="298"/>
      <c r="P446" s="298"/>
      <c r="Q446" s="298"/>
      <c r="R446" s="298"/>
      <c r="S446" s="298"/>
      <c r="T446" s="298"/>
      <c r="U446" s="298"/>
      <c r="V446" s="298"/>
      <c r="W446" s="298"/>
      <c r="X446" s="298"/>
      <c r="Y446" s="298"/>
      <c r="Z446" s="298"/>
      <c r="AA446" s="298"/>
      <c r="AB446" s="298"/>
      <c r="AC446" s="298"/>
      <c r="AD446" s="298"/>
      <c r="AE446" s="298"/>
      <c r="AF446" s="298"/>
      <c r="AG446" s="298"/>
      <c r="AH446" s="298"/>
      <c r="AI446" s="166">
        <f t="shared" si="12"/>
        <v>0</v>
      </c>
      <c r="AJ446" s="166">
        <f t="shared" si="13"/>
        <v>0</v>
      </c>
      <c r="AK446" s="166"/>
      <c r="AL446" s="230" t="e">
        <f>IF($A446="","",IF(VLOOKUP($A446,'İşçi Bilgileri'!$A$2:$J$700,9,FALSE)=0,"",VLOOKUP($A446,'İşçi Bilgileri'!$A$2:$J$700,9,FALSE)))</f>
        <v>#N/A</v>
      </c>
      <c r="AM446" s="172" t="e">
        <f>IF($A446="","",IF(VLOOKUP($A446,'İşçi Bilgileri'!$A$2:$J$700,10,FALSE)=0,"",VLOOKUP($A446,'İşçi Bilgileri'!$A$2:$J$700,10,FALSE)))</f>
        <v>#N/A</v>
      </c>
    </row>
    <row r="447" spans="1:39" x14ac:dyDescent="0.2">
      <c r="A447" s="170">
        <v>439</v>
      </c>
      <c r="B447" s="147" t="e">
        <f>CONCATENATE(IF($A447="","",VLOOKUP($A447,'İşçi Bilgileri'!$A$2:$D$700,2,FALSE))," ",IF($A447="","",VLOOKUP($A447,'İşçi Bilgileri'!$A$2:$D$700,3,FALSE)))</f>
        <v>#N/A</v>
      </c>
      <c r="C447" s="171" t="e">
        <f>IF($A447="","",VLOOKUP($A447,'İşçi Bilgileri'!$A$2:$D$700,4,FALSE))</f>
        <v>#N/A</v>
      </c>
      <c r="D447" s="298"/>
      <c r="E447" s="298"/>
      <c r="F447" s="298"/>
      <c r="G447" s="298"/>
      <c r="H447" s="298"/>
      <c r="I447" s="298"/>
      <c r="J447" s="298"/>
      <c r="K447" s="298"/>
      <c r="L447" s="298"/>
      <c r="M447" s="298"/>
      <c r="N447" s="298"/>
      <c r="O447" s="298"/>
      <c r="P447" s="298"/>
      <c r="Q447" s="298"/>
      <c r="R447" s="298"/>
      <c r="S447" s="298"/>
      <c r="T447" s="298"/>
      <c r="U447" s="298"/>
      <c r="V447" s="298"/>
      <c r="W447" s="298"/>
      <c r="X447" s="298"/>
      <c r="Y447" s="298"/>
      <c r="Z447" s="298"/>
      <c r="AA447" s="298"/>
      <c r="AB447" s="298"/>
      <c r="AC447" s="298"/>
      <c r="AD447" s="298"/>
      <c r="AE447" s="298"/>
      <c r="AF447" s="298"/>
      <c r="AG447" s="298"/>
      <c r="AH447" s="298"/>
      <c r="AI447" s="166">
        <f t="shared" si="12"/>
        <v>0</v>
      </c>
      <c r="AJ447" s="166">
        <f t="shared" si="13"/>
        <v>0</v>
      </c>
      <c r="AK447" s="166"/>
      <c r="AL447" s="230"/>
      <c r="AM447" s="172"/>
    </row>
    <row r="448" spans="1:39" x14ac:dyDescent="0.2">
      <c r="A448" s="170">
        <v>440</v>
      </c>
      <c r="B448" s="147" t="e">
        <f>CONCATENATE(IF($A448="","",VLOOKUP($A448,'İşçi Bilgileri'!$A$2:$D$700,2,FALSE))," ",IF($A448="","",VLOOKUP($A448,'İşçi Bilgileri'!$A$2:$D$700,3,FALSE)))</f>
        <v>#N/A</v>
      </c>
      <c r="C448" s="171" t="e">
        <f>IF($A448="","",VLOOKUP($A448,'İşçi Bilgileri'!$A$2:$D$700,4,FALSE))</f>
        <v>#N/A</v>
      </c>
      <c r="D448" s="298"/>
      <c r="E448" s="298"/>
      <c r="F448" s="298"/>
      <c r="G448" s="298"/>
      <c r="H448" s="298"/>
      <c r="I448" s="298"/>
      <c r="J448" s="298"/>
      <c r="K448" s="298"/>
      <c r="L448" s="298"/>
      <c r="M448" s="298"/>
      <c r="N448" s="298"/>
      <c r="O448" s="298"/>
      <c r="P448" s="298"/>
      <c r="Q448" s="298"/>
      <c r="R448" s="298"/>
      <c r="S448" s="298"/>
      <c r="T448" s="298"/>
      <c r="U448" s="298"/>
      <c r="V448" s="298"/>
      <c r="W448" s="298"/>
      <c r="X448" s="298"/>
      <c r="Y448" s="298"/>
      <c r="Z448" s="298"/>
      <c r="AA448" s="298"/>
      <c r="AB448" s="298"/>
      <c r="AC448" s="298"/>
      <c r="AD448" s="298"/>
      <c r="AE448" s="298"/>
      <c r="AF448" s="298"/>
      <c r="AG448" s="298"/>
      <c r="AH448" s="298"/>
      <c r="AI448" s="166">
        <f t="shared" si="12"/>
        <v>0</v>
      </c>
      <c r="AJ448" s="166">
        <f t="shared" si="13"/>
        <v>0</v>
      </c>
      <c r="AK448" s="166"/>
      <c r="AL448" s="230" t="e">
        <f>IF($A448="","",IF(VLOOKUP($A448,'İşçi Bilgileri'!$A$2:$J$700,9,FALSE)=0,"",VLOOKUP($A448,'İşçi Bilgileri'!$A$2:$J$700,9,FALSE)))</f>
        <v>#N/A</v>
      </c>
      <c r="AM448" s="172" t="e">
        <f>IF($A448="","",IF(VLOOKUP($A448,'İşçi Bilgileri'!$A$2:$J$700,10,FALSE)=0,"",VLOOKUP($A448,'İşçi Bilgileri'!$A$2:$J$700,10,FALSE)))</f>
        <v>#N/A</v>
      </c>
    </row>
    <row r="449" spans="1:39" x14ac:dyDescent="0.2">
      <c r="A449" s="170">
        <v>441</v>
      </c>
      <c r="B449" s="147" t="e">
        <f>CONCATENATE(IF($A449="","",VLOOKUP($A449,'İşçi Bilgileri'!$A$2:$D$700,2,FALSE))," ",IF($A449="","",VLOOKUP($A449,'İşçi Bilgileri'!$A$2:$D$700,3,FALSE)))</f>
        <v>#N/A</v>
      </c>
      <c r="C449" s="171" t="e">
        <f>IF($A449="","",VLOOKUP($A449,'İşçi Bilgileri'!$A$2:$D$700,4,FALSE))</f>
        <v>#N/A</v>
      </c>
      <c r="D449" s="298"/>
      <c r="E449" s="298"/>
      <c r="F449" s="298"/>
      <c r="G449" s="298"/>
      <c r="H449" s="298"/>
      <c r="I449" s="298"/>
      <c r="J449" s="298"/>
      <c r="K449" s="298"/>
      <c r="L449" s="298"/>
      <c r="M449" s="298"/>
      <c r="N449" s="298"/>
      <c r="O449" s="298"/>
      <c r="P449" s="298"/>
      <c r="Q449" s="298"/>
      <c r="R449" s="298"/>
      <c r="S449" s="298"/>
      <c r="T449" s="298"/>
      <c r="U449" s="298"/>
      <c r="V449" s="298"/>
      <c r="W449" s="298"/>
      <c r="X449" s="298"/>
      <c r="Y449" s="298"/>
      <c r="Z449" s="298"/>
      <c r="AA449" s="298"/>
      <c r="AB449" s="298"/>
      <c r="AC449" s="298"/>
      <c r="AD449" s="298"/>
      <c r="AE449" s="298"/>
      <c r="AF449" s="298"/>
      <c r="AG449" s="298"/>
      <c r="AH449" s="298"/>
      <c r="AI449" s="166">
        <f t="shared" si="12"/>
        <v>0</v>
      </c>
      <c r="AJ449" s="166">
        <f t="shared" si="13"/>
        <v>0</v>
      </c>
      <c r="AK449" s="166"/>
      <c r="AL449" s="230" t="e">
        <f>IF($A449="","",IF(VLOOKUP($A449,'İşçi Bilgileri'!$A$2:$J$700,9,FALSE)=0,"",VLOOKUP($A449,'İşçi Bilgileri'!$A$2:$J$700,9,FALSE)))</f>
        <v>#N/A</v>
      </c>
      <c r="AM449" s="172" t="e">
        <f>IF($A449="","",IF(VLOOKUP($A449,'İşçi Bilgileri'!$A$2:$J$700,10,FALSE)=0,"",VLOOKUP($A449,'İşçi Bilgileri'!$A$2:$J$700,10,FALSE)))</f>
        <v>#N/A</v>
      </c>
    </row>
    <row r="450" spans="1:39" x14ac:dyDescent="0.2">
      <c r="A450" s="170">
        <v>442</v>
      </c>
      <c r="B450" s="147" t="e">
        <f>CONCATENATE(IF($A450="","",VLOOKUP($A450,'İşçi Bilgileri'!$A$2:$D$700,2,FALSE))," ",IF($A450="","",VLOOKUP($A450,'İşçi Bilgileri'!$A$2:$D$700,3,FALSE)))</f>
        <v>#N/A</v>
      </c>
      <c r="C450" s="171" t="e">
        <f>IF($A450="","",VLOOKUP($A450,'İşçi Bilgileri'!$A$2:$D$700,4,FALSE))</f>
        <v>#N/A</v>
      </c>
      <c r="D450" s="298"/>
      <c r="E450" s="298"/>
      <c r="F450" s="298"/>
      <c r="G450" s="298"/>
      <c r="H450" s="298"/>
      <c r="I450" s="298"/>
      <c r="J450" s="298"/>
      <c r="K450" s="298"/>
      <c r="L450" s="298"/>
      <c r="M450" s="298"/>
      <c r="N450" s="298"/>
      <c r="O450" s="298"/>
      <c r="P450" s="298"/>
      <c r="Q450" s="298"/>
      <c r="R450" s="298"/>
      <c r="S450" s="298"/>
      <c r="T450" s="298"/>
      <c r="U450" s="298"/>
      <c r="V450" s="298"/>
      <c r="W450" s="298"/>
      <c r="X450" s="298"/>
      <c r="Y450" s="298"/>
      <c r="Z450" s="298"/>
      <c r="AA450" s="298"/>
      <c r="AB450" s="298"/>
      <c r="AC450" s="298"/>
      <c r="AD450" s="298"/>
      <c r="AE450" s="298"/>
      <c r="AF450" s="298"/>
      <c r="AG450" s="298"/>
      <c r="AH450" s="298"/>
      <c r="AI450" s="166">
        <f t="shared" si="12"/>
        <v>0</v>
      </c>
      <c r="AJ450" s="166">
        <f t="shared" si="13"/>
        <v>0</v>
      </c>
      <c r="AK450" s="166"/>
      <c r="AL450" s="230" t="e">
        <f>IF($A450="","",IF(VLOOKUP($A450,'İşçi Bilgileri'!$A$2:$J$700,9,FALSE)=0,"",VLOOKUP($A450,'İşçi Bilgileri'!$A$2:$J$700,9,FALSE)))</f>
        <v>#N/A</v>
      </c>
      <c r="AM450" s="172" t="e">
        <f>IF($A450="","",IF(VLOOKUP($A450,'İşçi Bilgileri'!$A$2:$J$700,10,FALSE)=0,"",VLOOKUP($A450,'İşçi Bilgileri'!$A$2:$J$700,10,FALSE)))</f>
        <v>#N/A</v>
      </c>
    </row>
    <row r="451" spans="1:39" x14ac:dyDescent="0.2">
      <c r="A451" s="170">
        <v>443</v>
      </c>
      <c r="B451" s="147" t="e">
        <f>CONCATENATE(IF($A451="","",VLOOKUP($A451,'İşçi Bilgileri'!$A$2:$D$700,2,FALSE))," ",IF($A451="","",VLOOKUP($A451,'İşçi Bilgileri'!$A$2:$D$700,3,FALSE)))</f>
        <v>#N/A</v>
      </c>
      <c r="C451" s="171" t="e">
        <f>IF($A451="","",VLOOKUP($A451,'İşçi Bilgileri'!$A$2:$D$700,4,FALSE))</f>
        <v>#N/A</v>
      </c>
      <c r="D451" s="298"/>
      <c r="E451" s="298"/>
      <c r="F451" s="298"/>
      <c r="G451" s="298"/>
      <c r="H451" s="298"/>
      <c r="I451" s="298"/>
      <c r="J451" s="298"/>
      <c r="K451" s="298"/>
      <c r="L451" s="298"/>
      <c r="M451" s="298"/>
      <c r="N451" s="298"/>
      <c r="O451" s="298"/>
      <c r="P451" s="298"/>
      <c r="Q451" s="298"/>
      <c r="R451" s="298"/>
      <c r="S451" s="298"/>
      <c r="T451" s="298"/>
      <c r="U451" s="298"/>
      <c r="V451" s="298"/>
      <c r="W451" s="298"/>
      <c r="X451" s="298"/>
      <c r="Y451" s="298"/>
      <c r="Z451" s="298"/>
      <c r="AA451" s="298"/>
      <c r="AB451" s="298"/>
      <c r="AC451" s="298"/>
      <c r="AD451" s="298"/>
      <c r="AE451" s="298"/>
      <c r="AF451" s="298"/>
      <c r="AG451" s="298"/>
      <c r="AH451" s="298"/>
      <c r="AI451" s="166">
        <f t="shared" si="12"/>
        <v>0</v>
      </c>
      <c r="AJ451" s="166">
        <f t="shared" si="13"/>
        <v>0</v>
      </c>
      <c r="AK451" s="166"/>
      <c r="AL451" s="230" t="e">
        <f>IF($A451="","",IF(VLOOKUP($A451,'İşçi Bilgileri'!$A$2:$J$700,9,FALSE)=0,"",VLOOKUP($A451,'İşçi Bilgileri'!$A$2:$J$700,9,FALSE)))</f>
        <v>#N/A</v>
      </c>
      <c r="AM451" s="172" t="e">
        <f>IF($A451="","",IF(VLOOKUP($A451,'İşçi Bilgileri'!$A$2:$J$700,10,FALSE)=0,"",VLOOKUP($A451,'İşçi Bilgileri'!$A$2:$J$700,10,FALSE)))</f>
        <v>#N/A</v>
      </c>
    </row>
    <row r="452" spans="1:39" x14ac:dyDescent="0.2">
      <c r="A452" s="218"/>
      <c r="B452" s="147" t="str">
        <f>CONCATENATE(IF($A452="","",VLOOKUP($A452,'İşçi Bilgileri'!$A$2:$D$700,2,FALSE))," ",IF($A452="","",VLOOKUP($A452,'İşçi Bilgileri'!$A$2:$D$700,3,FALSE)))</f>
        <v xml:space="preserve"> </v>
      </c>
      <c r="C452" s="171" t="str">
        <f>IF($A452="","",VLOOKUP($A452,'İşçi Bilgileri'!$A$2:$D$700,4,FALSE))</f>
        <v/>
      </c>
      <c r="D452" s="219"/>
      <c r="E452" s="219"/>
      <c r="F452" s="223"/>
      <c r="G452" s="224"/>
      <c r="H452" s="224"/>
      <c r="I452" s="224"/>
      <c r="J452" s="224"/>
      <c r="K452" s="224"/>
      <c r="L452" s="224"/>
      <c r="M452" s="225"/>
      <c r="N452" s="225"/>
      <c r="O452" s="225"/>
      <c r="P452" s="225"/>
      <c r="Q452" s="225"/>
      <c r="R452" s="225"/>
      <c r="S452" s="225"/>
      <c r="T452" s="225"/>
      <c r="U452" s="225"/>
      <c r="V452" s="225"/>
      <c r="W452" s="225"/>
      <c r="X452" s="225"/>
      <c r="Y452" s="225"/>
      <c r="Z452" s="225"/>
      <c r="AA452" s="225"/>
      <c r="AB452" s="225"/>
      <c r="AC452" s="225"/>
      <c r="AD452" s="225"/>
      <c r="AE452" s="225"/>
      <c r="AF452" s="220"/>
      <c r="AG452" s="220"/>
      <c r="AH452" s="221"/>
      <c r="AI452" s="169"/>
      <c r="AJ452" s="169"/>
      <c r="AK452" s="169"/>
      <c r="AL452" s="230"/>
      <c r="AM452" s="172"/>
    </row>
    <row r="453" spans="1:39" ht="16.5" customHeight="1" x14ac:dyDescent="0.2"/>
    <row r="455" spans="1:39" x14ac:dyDescent="0.2">
      <c r="C455" s="418" t="s">
        <v>150</v>
      </c>
      <c r="D455" s="419"/>
      <c r="E455" s="419"/>
      <c r="F455" s="419"/>
      <c r="G455" s="419"/>
      <c r="H455" s="419"/>
      <c r="I455" s="419"/>
      <c r="S455" s="418" t="s">
        <v>151</v>
      </c>
      <c r="T455" s="419"/>
      <c r="U455" s="419"/>
      <c r="V455" s="419"/>
      <c r="W455" s="419"/>
      <c r="X455" s="419"/>
      <c r="Y455" s="419"/>
      <c r="AI455" s="418" t="s">
        <v>121</v>
      </c>
      <c r="AJ455" s="418"/>
      <c r="AK455" s="418"/>
    </row>
    <row r="456" spans="1:39" x14ac:dyDescent="0.2">
      <c r="C456" s="418"/>
      <c r="D456" s="419"/>
      <c r="E456" s="419"/>
      <c r="F456" s="419"/>
      <c r="G456" s="419"/>
      <c r="H456" s="419"/>
      <c r="I456" s="419"/>
      <c r="S456" s="418"/>
      <c r="T456" s="419"/>
      <c r="U456" s="419"/>
      <c r="V456" s="419"/>
      <c r="W456" s="419"/>
      <c r="X456" s="419"/>
      <c r="Y456" s="419"/>
      <c r="AI456" s="418"/>
      <c r="AJ456" s="418"/>
      <c r="AK456" s="418"/>
    </row>
    <row r="457" spans="1:39" x14ac:dyDescent="0.2">
      <c r="C457" s="418"/>
      <c r="D457" s="419"/>
      <c r="E457" s="419"/>
      <c r="F457" s="419"/>
      <c r="G457" s="419"/>
      <c r="H457" s="419"/>
      <c r="I457" s="419"/>
      <c r="S457" s="418"/>
      <c r="T457" s="419"/>
      <c r="U457" s="419"/>
      <c r="V457" s="419"/>
      <c r="W457" s="419"/>
      <c r="X457" s="419"/>
      <c r="Y457" s="419"/>
      <c r="AI457" s="418"/>
      <c r="AJ457" s="418"/>
      <c r="AK457" s="418"/>
    </row>
    <row r="458" spans="1:39" x14ac:dyDescent="0.2">
      <c r="C458" s="433" t="s">
        <v>169</v>
      </c>
      <c r="D458" s="419"/>
      <c r="E458" s="419"/>
      <c r="F458" s="419"/>
      <c r="G458" s="419"/>
      <c r="H458" s="419"/>
      <c r="I458" s="419"/>
      <c r="S458" s="433" t="s">
        <v>165</v>
      </c>
      <c r="T458" s="419"/>
      <c r="U458" s="419"/>
      <c r="V458" s="419"/>
      <c r="W458" s="419"/>
      <c r="X458" s="419"/>
      <c r="Y458" s="419"/>
      <c r="AI458" s="433" t="s">
        <v>174</v>
      </c>
      <c r="AJ458" s="418"/>
      <c r="AK458" s="418"/>
    </row>
    <row r="459" spans="1:39" x14ac:dyDescent="0.2">
      <c r="C459" s="564" t="s">
        <v>170</v>
      </c>
      <c r="D459" s="419"/>
      <c r="E459" s="419"/>
      <c r="F459" s="419"/>
      <c r="G459" s="419"/>
      <c r="H459" s="419"/>
      <c r="I459" s="419"/>
      <c r="S459" s="433" t="s">
        <v>178</v>
      </c>
      <c r="T459" s="419"/>
      <c r="U459" s="419"/>
      <c r="V459" s="419"/>
      <c r="W459" s="419"/>
      <c r="X459" s="419"/>
      <c r="Y459" s="419"/>
      <c r="AI459" s="433" t="s">
        <v>168</v>
      </c>
      <c r="AJ459" s="418"/>
      <c r="AK459" s="418"/>
    </row>
  </sheetData>
  <autoFilter ref="A8:AM277"/>
  <sortState ref="B9:AM354">
    <sortCondition ref="B354"/>
  </sortState>
  <mergeCells count="34">
    <mergeCell ref="C459:I459"/>
    <mergeCell ref="S459:Y459"/>
    <mergeCell ref="AI459:AK459"/>
    <mergeCell ref="C457:I457"/>
    <mergeCell ref="S457:Y457"/>
    <mergeCell ref="AI457:AK457"/>
    <mergeCell ref="C458:I458"/>
    <mergeCell ref="S458:Y458"/>
    <mergeCell ref="AI458:AK458"/>
    <mergeCell ref="C455:I455"/>
    <mergeCell ref="S455:Y455"/>
    <mergeCell ref="AI455:AK455"/>
    <mergeCell ref="C456:I456"/>
    <mergeCell ref="S456:Y456"/>
    <mergeCell ref="AI456:AK456"/>
    <mergeCell ref="H1:AJ1"/>
    <mergeCell ref="H2:AJ2"/>
    <mergeCell ref="A3:B3"/>
    <mergeCell ref="C3:D3"/>
    <mergeCell ref="E3:J3"/>
    <mergeCell ref="K3:P3"/>
    <mergeCell ref="Q3:Y6"/>
    <mergeCell ref="A4:B4"/>
    <mergeCell ref="C4:D4"/>
    <mergeCell ref="C6:P6"/>
    <mergeCell ref="Z3:AJ6"/>
    <mergeCell ref="A7:AJ7"/>
    <mergeCell ref="E4:J4"/>
    <mergeCell ref="K4:P4"/>
    <mergeCell ref="A5:B5"/>
    <mergeCell ref="C5:D5"/>
    <mergeCell ref="E5:J5"/>
    <mergeCell ref="K5:P5"/>
    <mergeCell ref="A6:B6"/>
  </mergeCells>
  <conditionalFormatting sqref="D8:AH8 AI9:AI452">
    <cfRule type="expression" dxfId="20" priority="1142">
      <formula>WEEKDAY(CONCATENATE(D$8,$K$3))=1</formula>
    </cfRule>
    <cfRule type="expression" dxfId="19" priority="1143">
      <formula>WEEKDAY(CONCATENATE(D$8,$K$3))=7</formula>
    </cfRule>
  </conditionalFormatting>
  <conditionalFormatting sqref="AI9:AI452">
    <cfRule type="expression" dxfId="18" priority="1141">
      <formula>AI9="İ"</formula>
    </cfRule>
    <cfRule type="expression" dxfId="17" priority="1146">
      <formula>AI9="R"</formula>
    </cfRule>
  </conditionalFormatting>
  <conditionalFormatting sqref="AI8">
    <cfRule type="expression" dxfId="16" priority="1139">
      <formula>WEEKDAY(CONCATENATE(AI$8,$K$3))=1</formula>
    </cfRule>
    <cfRule type="expression" dxfId="15" priority="1140">
      <formula>WEEKDAY(CONCATENATE(AI$8,$K$3))=7</formula>
    </cfRule>
  </conditionalFormatting>
  <conditionalFormatting sqref="D452:E452">
    <cfRule type="expression" dxfId="14" priority="1128">
      <formula>D452="C"</formula>
    </cfRule>
  </conditionalFormatting>
  <conditionalFormatting sqref="D452:E452">
    <cfRule type="expression" dxfId="13" priority="1130">
      <formula>WEEKDAY(CONCATENATE(D$8,$L$3))=1</formula>
    </cfRule>
    <cfRule type="expression" dxfId="12" priority="1131">
      <formula>WEEKDAY(CONCATENATE(D$8,$L$3))=7</formula>
    </cfRule>
  </conditionalFormatting>
  <conditionalFormatting sqref="D452:E452">
    <cfRule type="expression" dxfId="11" priority="1129">
      <formula>D452="İ"</formula>
    </cfRule>
    <cfRule type="expression" dxfId="10" priority="1132">
      <formula>D452="R"</formula>
    </cfRule>
  </conditionalFormatting>
  <conditionalFormatting sqref="E9:J451 V9:V451">
    <cfRule type="expression" dxfId="9" priority="24">
      <formula>E9="C"</formula>
    </cfRule>
  </conditionalFormatting>
  <conditionalFormatting sqref="E9:J451 V9:V451">
    <cfRule type="expression" dxfId="8" priority="25">
      <formula>E9="İ"</formula>
    </cfRule>
    <cfRule type="expression" dxfId="7" priority="26">
      <formula>E9="R"</formula>
    </cfRule>
  </conditionalFormatting>
  <conditionalFormatting sqref="L9:L451 AG9:AH451">
    <cfRule type="expression" dxfId="6" priority="27">
      <formula>L9="C"</formula>
    </cfRule>
    <cfRule type="expression" dxfId="5" priority="28">
      <formula>L9="İ"</formula>
    </cfRule>
    <cfRule type="expression" dxfId="4" priority="29">
      <formula>WEEKDAY(CONCATENATE(L$8,$L$3))=1</formula>
    </cfRule>
    <cfRule type="expression" dxfId="3" priority="30">
      <formula>WEEKDAY(CONCATENATE(L$8,$L$3))=7</formula>
    </cfRule>
    <cfRule type="expression" dxfId="2" priority="31">
      <formula>L9="R"</formula>
    </cfRule>
  </conditionalFormatting>
  <conditionalFormatting sqref="E9:J451 V9:V451">
    <cfRule type="expression" dxfId="1" priority="32">
      <formula>WEEKDAY(CONCATENATE(E$10,$H$3))=1</formula>
    </cfRule>
    <cfRule type="expression" dxfId="0" priority="33">
      <formula>WEEKDAY(CONCATENATE(E$10,$H$3))=7</formula>
    </cfRule>
  </conditionalFormatting>
  <pageMargins left="0.35433070866141736" right="0.19685039370078741" top="0.27559055118110237" bottom="0.31496062992125984" header="0.19685039370078741" footer="0.15748031496062992"/>
  <pageSetup paperSize="9" scale="55" orientation="landscape" r:id="rId1"/>
  <rowBreaks count="3" manualBreakCount="3">
    <brk id="229" max="36" man="1"/>
    <brk id="448" max="36" man="1"/>
    <brk id="453" max="36"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2">
    <tabColor indexed="12"/>
    <pageSetUpPr fitToPage="1"/>
  </sheetPr>
  <dimension ref="A1:Z462"/>
  <sheetViews>
    <sheetView showGridLines="0" tabSelected="1" view="pageBreakPreview" zoomScale="85" zoomScaleNormal="85" zoomScaleSheetLayoutView="85" workbookViewId="0">
      <pane ySplit="3" topLeftCell="A4" activePane="bottomLeft" state="frozen"/>
      <selection pane="bottomLeft" activeCell="I417" sqref="I417"/>
    </sheetView>
  </sheetViews>
  <sheetFormatPr defaultColWidth="11.7109375" defaultRowHeight="12" x14ac:dyDescent="0.2"/>
  <cols>
    <col min="1" max="1" width="5.5703125" style="106" customWidth="1"/>
    <col min="2" max="2" width="11.42578125" style="116" bestFit="1" customWidth="1"/>
    <col min="3" max="3" width="24.28515625" style="104" bestFit="1" customWidth="1"/>
    <col min="4" max="4" width="11.42578125" style="104" bestFit="1" customWidth="1"/>
    <col min="5" max="5" width="9.42578125" style="104" bestFit="1" customWidth="1"/>
    <col min="6" max="6" width="11.42578125" style="104" bestFit="1" customWidth="1"/>
    <col min="7" max="7" width="9.28515625" style="104" bestFit="1" customWidth="1"/>
    <col min="8" max="8" width="11.28515625" style="104" bestFit="1" customWidth="1"/>
    <col min="9" max="9" width="18.140625" style="104" bestFit="1" customWidth="1"/>
    <col min="10" max="10" width="15" style="104" bestFit="1" customWidth="1"/>
    <col min="11" max="11" width="13.42578125" style="104" bestFit="1" customWidth="1"/>
    <col min="12" max="12" width="15.28515625" style="354" bestFit="1" customWidth="1"/>
    <col min="13" max="14" width="12.7109375" style="104" bestFit="1" customWidth="1"/>
    <col min="15" max="15" width="12.7109375" style="354" customWidth="1"/>
    <col min="16" max="16" width="16.42578125" style="104" bestFit="1" customWidth="1"/>
    <col min="17" max="17" width="8.5703125" style="104" customWidth="1"/>
    <col min="18" max="18" width="9.42578125" style="104" customWidth="1"/>
    <col min="19" max="19" width="11.140625" style="104" customWidth="1"/>
    <col min="20" max="20" width="11.5703125" style="104" customWidth="1"/>
    <col min="21" max="21" width="9" style="104" customWidth="1"/>
    <col min="22" max="22" width="13.140625" style="105" customWidth="1"/>
    <col min="23" max="25" width="11.7109375" style="104" customWidth="1"/>
    <col min="26" max="16384" width="11.7109375" style="106"/>
  </cols>
  <sheetData>
    <row r="1" spans="1:26" ht="15" customHeight="1" x14ac:dyDescent="0.2">
      <c r="A1" s="438" t="s">
        <v>20</v>
      </c>
      <c r="B1" s="438"/>
      <c r="C1" s="443" t="s">
        <v>136</v>
      </c>
      <c r="D1" s="443"/>
      <c r="E1" s="443"/>
      <c r="F1" s="443"/>
      <c r="G1" s="103"/>
      <c r="H1" s="103"/>
      <c r="I1" s="439" t="s">
        <v>45</v>
      </c>
      <c r="J1" s="439"/>
      <c r="K1" s="439"/>
      <c r="L1" s="439"/>
      <c r="M1" s="439"/>
      <c r="N1" s="439"/>
      <c r="O1" s="353"/>
      <c r="T1" s="434"/>
      <c r="U1" s="435"/>
    </row>
    <row r="2" spans="1:26" ht="15" customHeight="1" thickBot="1" x14ac:dyDescent="0.25">
      <c r="A2" s="107" t="s">
        <v>19</v>
      </c>
      <c r="B2" s="204">
        <f>Puantaj!K3</f>
        <v>0</v>
      </c>
      <c r="C2" s="441" t="s">
        <v>187</v>
      </c>
      <c r="D2" s="442"/>
      <c r="E2" s="442"/>
      <c r="F2" s="442"/>
      <c r="G2" s="108"/>
      <c r="I2" s="441"/>
      <c r="J2" s="441"/>
      <c r="K2" s="441"/>
      <c r="L2" s="358"/>
      <c r="M2" s="108"/>
      <c r="N2" s="440"/>
      <c r="O2" s="440"/>
      <c r="P2" s="440"/>
      <c r="Q2" s="440"/>
      <c r="R2" s="440"/>
      <c r="S2" s="108"/>
      <c r="T2" s="436"/>
      <c r="U2" s="437"/>
    </row>
    <row r="3" spans="1:26" s="135" customFormat="1" ht="27.75" customHeight="1" x14ac:dyDescent="0.2">
      <c r="A3" s="109" t="s">
        <v>11</v>
      </c>
      <c r="B3" s="110" t="s">
        <v>17</v>
      </c>
      <c r="C3" s="111" t="s">
        <v>48</v>
      </c>
      <c r="D3" s="111" t="s">
        <v>12</v>
      </c>
      <c r="E3" s="111" t="s">
        <v>13</v>
      </c>
      <c r="F3" s="111" t="s">
        <v>44</v>
      </c>
      <c r="G3" s="111" t="s">
        <v>14</v>
      </c>
      <c r="H3" s="111" t="s">
        <v>131</v>
      </c>
      <c r="I3" s="111" t="s">
        <v>130</v>
      </c>
      <c r="J3" s="111" t="s">
        <v>55</v>
      </c>
      <c r="K3" s="111" t="s">
        <v>10</v>
      </c>
      <c r="L3" s="111" t="s">
        <v>181</v>
      </c>
      <c r="M3" s="111" t="s">
        <v>6</v>
      </c>
      <c r="N3" s="111" t="s">
        <v>33</v>
      </c>
      <c r="O3" s="111" t="s">
        <v>182</v>
      </c>
      <c r="P3" s="111" t="s">
        <v>183</v>
      </c>
      <c r="Q3" s="111" t="s">
        <v>51</v>
      </c>
      <c r="R3" s="111" t="s">
        <v>18</v>
      </c>
      <c r="S3" s="111" t="s">
        <v>56</v>
      </c>
      <c r="T3" s="111" t="s">
        <v>0</v>
      </c>
      <c r="U3" s="111" t="s">
        <v>39</v>
      </c>
      <c r="V3" s="112" t="s">
        <v>15</v>
      </c>
      <c r="Z3" s="113"/>
    </row>
    <row r="4" spans="1:26" s="143" customFormat="1" ht="15" customHeight="1" x14ac:dyDescent="0.2">
      <c r="A4" s="299">
        <f>IF('İşçi Bilgileri'!A2="","",'İşçi Bilgileri'!A2)</f>
        <v>1</v>
      </c>
      <c r="B4" s="300">
        <f>IF($A4="","",VLOOKUP($A4,'İşçi Bilgileri'!$A$2:$D$700,4,FALSE))</f>
        <v>0</v>
      </c>
      <c r="C4" s="301" t="str">
        <f>CONCATENATE(IF($A4="","",VLOOKUP($A4,'İşçi Bilgileri'!$A$2:$D$700,2,FALSE))," ",IF($A4="","",VLOOKUP($A4,'İşçi Bilgileri'!$A$2:$D$700,3,FALSE)))</f>
        <v xml:space="preserve"> </v>
      </c>
      <c r="D4" s="137">
        <f>IF($A4="","",VERİLER!$C$5)</f>
        <v>1375</v>
      </c>
      <c r="E4" s="138">
        <f>IF($A4="","",Puantaj!AJ9)</f>
        <v>0</v>
      </c>
      <c r="F4" s="137">
        <f>IFERROR(ROUND(D4*E4,2),0)</f>
        <v>0</v>
      </c>
      <c r="G4" s="137"/>
      <c r="H4" s="137">
        <f>ROUND(T4*0.045,3)</f>
        <v>0</v>
      </c>
      <c r="I4" s="137">
        <f t="shared" ref="I4" si="0">ROUND(F4*0.01,2)</f>
        <v>0</v>
      </c>
      <c r="J4" s="137">
        <f>IF(F4&gt;VERİLER!$C$7,'İşçi Bilgileri'!M2+(F4-VERİLER!$C$7),0)</f>
        <v>0</v>
      </c>
      <c r="K4" s="137">
        <f>IF(VERİLER!$C$11&gt;0,ROUND(J4*0.15,2),0)</f>
        <v>0</v>
      </c>
      <c r="L4" s="359">
        <f>K4</f>
        <v>0</v>
      </c>
      <c r="M4" s="139">
        <f>K4-L4</f>
        <v>0</v>
      </c>
      <c r="N4" s="137">
        <f>F4*0.00759</f>
        <v>0</v>
      </c>
      <c r="O4" s="359">
        <f>N4</f>
        <v>0</v>
      </c>
      <c r="P4" s="140">
        <f>N4-O4</f>
        <v>0</v>
      </c>
      <c r="Q4" s="140">
        <v>0</v>
      </c>
      <c r="R4" s="137">
        <f>ROUND(H4+I4,2)</f>
        <v>0</v>
      </c>
      <c r="S4" s="141">
        <f>ROUND(F4,3)</f>
        <v>0</v>
      </c>
      <c r="T4" s="137">
        <f>F4</f>
        <v>0</v>
      </c>
      <c r="U4" s="137">
        <f>ROUND(VERİLER!$F$9*T4,3)</f>
        <v>0</v>
      </c>
      <c r="V4" s="142">
        <f>T4+U4+H4+I4</f>
        <v>0</v>
      </c>
      <c r="W4" s="113"/>
      <c r="X4" s="113"/>
      <c r="Y4" s="113"/>
    </row>
    <row r="5" spans="1:26" s="143" customFormat="1" ht="15" customHeight="1" x14ac:dyDescent="0.2">
      <c r="A5" s="299" t="str">
        <f>IF('İşçi Bilgileri'!A3="","",'İşçi Bilgileri'!A3)</f>
        <v/>
      </c>
      <c r="B5" s="300" t="str">
        <f>IF($A5="","",VLOOKUP($A5,'İşçi Bilgileri'!$A$2:$D$700,4,FALSE))</f>
        <v/>
      </c>
      <c r="C5" s="301" t="str">
        <f>CONCATENATE(IF($A5="","",VLOOKUP($A5,'İşçi Bilgileri'!$A$2:$D$700,2,FALSE))," ",IF($A5="","",VLOOKUP($A5,'İşçi Bilgileri'!$A$2:$D$700,3,FALSE)))</f>
        <v xml:space="preserve"> </v>
      </c>
      <c r="D5" s="137" t="str">
        <f>IF($A5="","",VERİLER!$C$5)</f>
        <v/>
      </c>
      <c r="E5" s="138" t="str">
        <f>IF($A5="","",Puantaj!AJ10)</f>
        <v/>
      </c>
      <c r="F5" s="137">
        <f t="shared" ref="F5:F68" si="1">IFERROR(ROUND(D5*E5,2),0)</f>
        <v>0</v>
      </c>
      <c r="G5" s="137"/>
      <c r="H5" s="137">
        <f t="shared" ref="H5:H68" si="2">ROUND(T5*0.045,3)</f>
        <v>0</v>
      </c>
      <c r="I5" s="137">
        <f t="shared" ref="I5:I68" si="3">ROUND(F5*0.01,2)</f>
        <v>0</v>
      </c>
      <c r="J5" s="137">
        <f>IF(F5&gt;VERİLER!$C$7,'İşçi Bilgileri'!M3+(F5-VERİLER!$C$7),0)</f>
        <v>0</v>
      </c>
      <c r="K5" s="137">
        <f>IF(VERİLER!$C$11&gt;0,ROUND(J5*0.15,2),0)</f>
        <v>0</v>
      </c>
      <c r="L5" s="359">
        <f t="shared" ref="L5:L68" si="4">K5</f>
        <v>0</v>
      </c>
      <c r="M5" s="139">
        <f t="shared" ref="M5:M68" si="5">K5-L5</f>
        <v>0</v>
      </c>
      <c r="N5" s="137">
        <f t="shared" ref="N5:N68" si="6">F5*0.00759</f>
        <v>0</v>
      </c>
      <c r="O5" s="359">
        <f t="shared" ref="O5:O68" si="7">N5</f>
        <v>0</v>
      </c>
      <c r="P5" s="140">
        <f t="shared" ref="P5:P68" si="8">N5-O5</f>
        <v>0</v>
      </c>
      <c r="Q5" s="140">
        <v>0</v>
      </c>
      <c r="R5" s="137">
        <f t="shared" ref="R5:R68" si="9">ROUND(H5+I5,2)</f>
        <v>0</v>
      </c>
      <c r="S5" s="141">
        <f t="shared" ref="S5:S68" si="10">ROUND(F5,3)</f>
        <v>0</v>
      </c>
      <c r="T5" s="137">
        <f t="shared" ref="T5:T68" si="11">F5</f>
        <v>0</v>
      </c>
      <c r="U5" s="137">
        <f>ROUND(VERİLER!$F$9*T5,3)</f>
        <v>0</v>
      </c>
      <c r="V5" s="336">
        <f t="shared" ref="V5:V68" si="12">T5+U5+H5+I5</f>
        <v>0</v>
      </c>
      <c r="W5" s="113"/>
      <c r="X5" s="113"/>
      <c r="Y5" s="113"/>
    </row>
    <row r="6" spans="1:26" s="143" customFormat="1" ht="15" customHeight="1" x14ac:dyDescent="0.2">
      <c r="A6" s="299" t="str">
        <f>IF('İşçi Bilgileri'!A4="","",'İşçi Bilgileri'!A4)</f>
        <v/>
      </c>
      <c r="B6" s="300" t="str">
        <f>IF($A6="","",VLOOKUP($A6,'İşçi Bilgileri'!$A$2:$D$700,4,FALSE))</f>
        <v/>
      </c>
      <c r="C6" s="301" t="str">
        <f>CONCATENATE(IF($A6="","",VLOOKUP($A6,'İşçi Bilgileri'!$A$2:$D$700,2,FALSE))," ",IF($A6="","",VLOOKUP($A6,'İşçi Bilgileri'!$A$2:$D$700,3,FALSE)))</f>
        <v xml:space="preserve"> </v>
      </c>
      <c r="D6" s="137" t="str">
        <f>IF($A6="","",VERİLER!$C$5)</f>
        <v/>
      </c>
      <c r="E6" s="138" t="str">
        <f>IF($A6="","",Puantaj!AJ11)</f>
        <v/>
      </c>
      <c r="F6" s="137">
        <f t="shared" si="1"/>
        <v>0</v>
      </c>
      <c r="G6" s="137"/>
      <c r="H6" s="137">
        <f t="shared" si="2"/>
        <v>0</v>
      </c>
      <c r="I6" s="137">
        <f t="shared" si="3"/>
        <v>0</v>
      </c>
      <c r="J6" s="137">
        <f>IF(F6&gt;VERİLER!$C$7,'İşçi Bilgileri'!M4+(F6-VERİLER!$C$7),0)</f>
        <v>0</v>
      </c>
      <c r="K6" s="137">
        <f>IF(VERİLER!$C$11&gt;0,ROUND(J6*0.15,2),0)</f>
        <v>0</v>
      </c>
      <c r="L6" s="359">
        <f t="shared" si="4"/>
        <v>0</v>
      </c>
      <c r="M6" s="139">
        <f t="shared" si="5"/>
        <v>0</v>
      </c>
      <c r="N6" s="137">
        <f t="shared" si="6"/>
        <v>0</v>
      </c>
      <c r="O6" s="359">
        <f t="shared" si="7"/>
        <v>0</v>
      </c>
      <c r="P6" s="140">
        <f t="shared" si="8"/>
        <v>0</v>
      </c>
      <c r="Q6" s="140">
        <v>0</v>
      </c>
      <c r="R6" s="137">
        <f t="shared" si="9"/>
        <v>0</v>
      </c>
      <c r="S6" s="141">
        <f t="shared" si="10"/>
        <v>0</v>
      </c>
      <c r="T6" s="137">
        <f t="shared" si="11"/>
        <v>0</v>
      </c>
      <c r="U6" s="137">
        <f>ROUND(VERİLER!$F$9*T6,3)</f>
        <v>0</v>
      </c>
      <c r="V6" s="336">
        <f t="shared" si="12"/>
        <v>0</v>
      </c>
      <c r="W6" s="113"/>
      <c r="X6" s="113"/>
      <c r="Y6" s="113"/>
    </row>
    <row r="7" spans="1:26" s="143" customFormat="1" ht="15" customHeight="1" x14ac:dyDescent="0.2">
      <c r="A7" s="299" t="str">
        <f>IF('İşçi Bilgileri'!A5="","",'İşçi Bilgileri'!A5)</f>
        <v/>
      </c>
      <c r="B7" s="300" t="str">
        <f>IF($A7="","",VLOOKUP($A7,'İşçi Bilgileri'!$A$2:$D$700,4,FALSE))</f>
        <v/>
      </c>
      <c r="C7" s="301" t="str">
        <f>CONCATENATE(IF($A7="","",VLOOKUP($A7,'İşçi Bilgileri'!$A$2:$D$700,2,FALSE))," ",IF($A7="","",VLOOKUP($A7,'İşçi Bilgileri'!$A$2:$D$700,3,FALSE)))</f>
        <v xml:space="preserve"> </v>
      </c>
      <c r="D7" s="137" t="str">
        <f>IF($A7="","",VERİLER!$C$5)</f>
        <v/>
      </c>
      <c r="E7" s="138" t="str">
        <f>IF($A7="","",Puantaj!AJ12)</f>
        <v/>
      </c>
      <c r="F7" s="137">
        <f t="shared" si="1"/>
        <v>0</v>
      </c>
      <c r="G7" s="137"/>
      <c r="H7" s="137">
        <f t="shared" si="2"/>
        <v>0</v>
      </c>
      <c r="I7" s="137">
        <f t="shared" si="3"/>
        <v>0</v>
      </c>
      <c r="J7" s="137">
        <f>IF(F7&gt;VERİLER!$C$7,'İşçi Bilgileri'!M5+(F7-VERİLER!$C$7),0)</f>
        <v>0</v>
      </c>
      <c r="K7" s="137">
        <f>IF(VERİLER!$C$11&gt;0,ROUND(J7*0.15,2),0)</f>
        <v>0</v>
      </c>
      <c r="L7" s="359">
        <f t="shared" si="4"/>
        <v>0</v>
      </c>
      <c r="M7" s="139">
        <f t="shared" si="5"/>
        <v>0</v>
      </c>
      <c r="N7" s="137">
        <f t="shared" si="6"/>
        <v>0</v>
      </c>
      <c r="O7" s="359">
        <f t="shared" si="7"/>
        <v>0</v>
      </c>
      <c r="P7" s="140">
        <f t="shared" si="8"/>
        <v>0</v>
      </c>
      <c r="Q7" s="140">
        <v>0</v>
      </c>
      <c r="R7" s="137">
        <f t="shared" si="9"/>
        <v>0</v>
      </c>
      <c r="S7" s="141">
        <f t="shared" si="10"/>
        <v>0</v>
      </c>
      <c r="T7" s="137">
        <f t="shared" si="11"/>
        <v>0</v>
      </c>
      <c r="U7" s="137">
        <f>ROUND(VERİLER!$F$9*T7,3)</f>
        <v>0</v>
      </c>
      <c r="V7" s="336">
        <f t="shared" si="12"/>
        <v>0</v>
      </c>
      <c r="W7" s="113"/>
      <c r="X7" s="113"/>
      <c r="Y7" s="113"/>
    </row>
    <row r="8" spans="1:26" s="143" customFormat="1" ht="15" customHeight="1" x14ac:dyDescent="0.2">
      <c r="A8" s="299" t="str">
        <f>IF('İşçi Bilgileri'!A6="","",'İşçi Bilgileri'!A6)</f>
        <v/>
      </c>
      <c r="B8" s="300" t="str">
        <f>IF($A8="","",VLOOKUP($A8,'İşçi Bilgileri'!$A$2:$D$700,4,FALSE))</f>
        <v/>
      </c>
      <c r="C8" s="301" t="str">
        <f>CONCATENATE(IF($A8="","",VLOOKUP($A8,'İşçi Bilgileri'!$A$2:$D$700,2,FALSE))," ",IF($A8="","",VLOOKUP($A8,'İşçi Bilgileri'!$A$2:$D$700,3,FALSE)))</f>
        <v xml:space="preserve"> </v>
      </c>
      <c r="D8" s="137" t="str">
        <f>IF($A8="","",VERİLER!$C$5)</f>
        <v/>
      </c>
      <c r="E8" s="138" t="str">
        <f>IF($A8="","",Puantaj!AJ13)</f>
        <v/>
      </c>
      <c r="F8" s="137">
        <f t="shared" si="1"/>
        <v>0</v>
      </c>
      <c r="G8" s="137"/>
      <c r="H8" s="137">
        <f t="shared" si="2"/>
        <v>0</v>
      </c>
      <c r="I8" s="137">
        <f t="shared" si="3"/>
        <v>0</v>
      </c>
      <c r="J8" s="137">
        <f>IF(F8&gt;VERİLER!$C$7,'İşçi Bilgileri'!M6+(F8-VERİLER!$C$7),0)</f>
        <v>0</v>
      </c>
      <c r="K8" s="137">
        <f>IF(VERİLER!$C$11&gt;0,ROUND(J8*0.15,2),0)</f>
        <v>0</v>
      </c>
      <c r="L8" s="359">
        <f t="shared" si="4"/>
        <v>0</v>
      </c>
      <c r="M8" s="139">
        <f t="shared" si="5"/>
        <v>0</v>
      </c>
      <c r="N8" s="137">
        <f t="shared" si="6"/>
        <v>0</v>
      </c>
      <c r="O8" s="359">
        <f t="shared" si="7"/>
        <v>0</v>
      </c>
      <c r="P8" s="140">
        <f t="shared" si="8"/>
        <v>0</v>
      </c>
      <c r="Q8" s="140">
        <v>0</v>
      </c>
      <c r="R8" s="137">
        <f t="shared" si="9"/>
        <v>0</v>
      </c>
      <c r="S8" s="141">
        <f t="shared" si="10"/>
        <v>0</v>
      </c>
      <c r="T8" s="137">
        <f t="shared" si="11"/>
        <v>0</v>
      </c>
      <c r="U8" s="137">
        <f>ROUND(VERİLER!$F$9*T8,3)</f>
        <v>0</v>
      </c>
      <c r="V8" s="336">
        <f t="shared" si="12"/>
        <v>0</v>
      </c>
      <c r="W8" s="113"/>
      <c r="X8" s="113"/>
      <c r="Y8" s="113"/>
    </row>
    <row r="9" spans="1:26" s="143" customFormat="1" ht="15" customHeight="1" x14ac:dyDescent="0.2">
      <c r="A9" s="299" t="str">
        <f>IF('İşçi Bilgileri'!A7="","",'İşçi Bilgileri'!A7)</f>
        <v/>
      </c>
      <c r="B9" s="300" t="str">
        <f>IF($A9="","",VLOOKUP($A9,'İşçi Bilgileri'!$A$2:$D$700,4,FALSE))</f>
        <v/>
      </c>
      <c r="C9" s="301" t="str">
        <f>CONCATENATE(IF($A9="","",VLOOKUP($A9,'İşçi Bilgileri'!$A$2:$D$700,2,FALSE))," ",IF($A9="","",VLOOKUP($A9,'İşçi Bilgileri'!$A$2:$D$700,3,FALSE)))</f>
        <v xml:space="preserve"> </v>
      </c>
      <c r="D9" s="137" t="str">
        <f>IF($A9="","",VERİLER!$C$5)</f>
        <v/>
      </c>
      <c r="E9" s="138" t="str">
        <f>IF($A9="","",Puantaj!AJ14)</f>
        <v/>
      </c>
      <c r="F9" s="137">
        <f t="shared" si="1"/>
        <v>0</v>
      </c>
      <c r="G9" s="137"/>
      <c r="H9" s="137">
        <f t="shared" si="2"/>
        <v>0</v>
      </c>
      <c r="I9" s="137">
        <f t="shared" si="3"/>
        <v>0</v>
      </c>
      <c r="J9" s="137">
        <f>IF(F9&gt;VERİLER!$C$7,'İşçi Bilgileri'!M7+(F9-VERİLER!$C$7),0)</f>
        <v>0</v>
      </c>
      <c r="K9" s="137">
        <f>IF(VERİLER!$C$11&gt;0,ROUND(J9*0.15,2),0)</f>
        <v>0</v>
      </c>
      <c r="L9" s="359">
        <f t="shared" si="4"/>
        <v>0</v>
      </c>
      <c r="M9" s="139">
        <f t="shared" si="5"/>
        <v>0</v>
      </c>
      <c r="N9" s="137">
        <f t="shared" si="6"/>
        <v>0</v>
      </c>
      <c r="O9" s="359">
        <f t="shared" si="7"/>
        <v>0</v>
      </c>
      <c r="P9" s="140">
        <f t="shared" si="8"/>
        <v>0</v>
      </c>
      <c r="Q9" s="140">
        <v>0</v>
      </c>
      <c r="R9" s="137">
        <f t="shared" si="9"/>
        <v>0</v>
      </c>
      <c r="S9" s="141">
        <f t="shared" si="10"/>
        <v>0</v>
      </c>
      <c r="T9" s="137">
        <f t="shared" si="11"/>
        <v>0</v>
      </c>
      <c r="U9" s="137">
        <f>ROUND(VERİLER!$F$9*T9,3)</f>
        <v>0</v>
      </c>
      <c r="V9" s="336">
        <f t="shared" si="12"/>
        <v>0</v>
      </c>
      <c r="W9" s="113"/>
      <c r="X9" s="113"/>
      <c r="Y9" s="113"/>
    </row>
    <row r="10" spans="1:26" s="143" customFormat="1" ht="15" customHeight="1" x14ac:dyDescent="0.2">
      <c r="A10" s="299" t="str">
        <f>IF('İşçi Bilgileri'!A8="","",'İşçi Bilgileri'!A8)</f>
        <v/>
      </c>
      <c r="B10" s="300" t="str">
        <f>IF($A10="","",VLOOKUP($A10,'İşçi Bilgileri'!$A$2:$D$700,4,FALSE))</f>
        <v/>
      </c>
      <c r="C10" s="301" t="str">
        <f>CONCATENATE(IF($A10="","",VLOOKUP($A10,'İşçi Bilgileri'!$A$2:$D$700,2,FALSE))," ",IF($A10="","",VLOOKUP($A10,'İşçi Bilgileri'!$A$2:$D$700,3,FALSE)))</f>
        <v xml:space="preserve"> </v>
      </c>
      <c r="D10" s="137" t="str">
        <f>IF($A10="","",VERİLER!$C$5)</f>
        <v/>
      </c>
      <c r="E10" s="138" t="str">
        <f>IF($A10="","",Puantaj!AJ15)</f>
        <v/>
      </c>
      <c r="F10" s="137">
        <f t="shared" si="1"/>
        <v>0</v>
      </c>
      <c r="G10" s="137"/>
      <c r="H10" s="137">
        <f t="shared" si="2"/>
        <v>0</v>
      </c>
      <c r="I10" s="137">
        <f t="shared" si="3"/>
        <v>0</v>
      </c>
      <c r="J10" s="137">
        <f>IF(F10&gt;VERİLER!$C$7,'İşçi Bilgileri'!M8+(F10-VERİLER!$C$7),0)</f>
        <v>0</v>
      </c>
      <c r="K10" s="137">
        <f>IF(VERİLER!$C$11&gt;0,ROUND(J10*0.15,2),0)</f>
        <v>0</v>
      </c>
      <c r="L10" s="359">
        <f t="shared" si="4"/>
        <v>0</v>
      </c>
      <c r="M10" s="139">
        <f t="shared" si="5"/>
        <v>0</v>
      </c>
      <c r="N10" s="137">
        <f t="shared" si="6"/>
        <v>0</v>
      </c>
      <c r="O10" s="359">
        <f t="shared" si="7"/>
        <v>0</v>
      </c>
      <c r="P10" s="140">
        <f t="shared" si="8"/>
        <v>0</v>
      </c>
      <c r="Q10" s="140">
        <v>0</v>
      </c>
      <c r="R10" s="137">
        <f t="shared" si="9"/>
        <v>0</v>
      </c>
      <c r="S10" s="141">
        <f t="shared" si="10"/>
        <v>0</v>
      </c>
      <c r="T10" s="137">
        <f t="shared" si="11"/>
        <v>0</v>
      </c>
      <c r="U10" s="137">
        <f>ROUND(VERİLER!$F$9*T10,3)</f>
        <v>0</v>
      </c>
      <c r="V10" s="336">
        <f t="shared" si="12"/>
        <v>0</v>
      </c>
      <c r="W10" s="113"/>
      <c r="X10" s="113"/>
      <c r="Y10" s="113"/>
    </row>
    <row r="11" spans="1:26" s="143" customFormat="1" ht="15" customHeight="1" x14ac:dyDescent="0.2">
      <c r="A11" s="299" t="str">
        <f>IF('İşçi Bilgileri'!A9="","",'İşçi Bilgileri'!A9)</f>
        <v/>
      </c>
      <c r="B11" s="300" t="str">
        <f>IF($A11="","",VLOOKUP($A11,'İşçi Bilgileri'!$A$2:$D$700,4,FALSE))</f>
        <v/>
      </c>
      <c r="C11" s="301" t="str">
        <f>CONCATENATE(IF($A11="","",VLOOKUP($A11,'İşçi Bilgileri'!$A$2:$D$700,2,FALSE))," ",IF($A11="","",VLOOKUP($A11,'İşçi Bilgileri'!$A$2:$D$700,3,FALSE)))</f>
        <v xml:space="preserve"> </v>
      </c>
      <c r="D11" s="137" t="str">
        <f>IF($A11="","",VERİLER!$C$5)</f>
        <v/>
      </c>
      <c r="E11" s="138" t="str">
        <f>IF($A11="","",Puantaj!AJ16)</f>
        <v/>
      </c>
      <c r="F11" s="137">
        <f t="shared" si="1"/>
        <v>0</v>
      </c>
      <c r="G11" s="137"/>
      <c r="H11" s="137">
        <f t="shared" si="2"/>
        <v>0</v>
      </c>
      <c r="I11" s="137">
        <f t="shared" si="3"/>
        <v>0</v>
      </c>
      <c r="J11" s="137">
        <f>IF(F11&gt;VERİLER!$C$7,'İşçi Bilgileri'!M9+(F11-VERİLER!$C$7),0)</f>
        <v>0</v>
      </c>
      <c r="K11" s="137">
        <f>IF(VERİLER!$C$11&gt;0,ROUND(J11*0.15,2),0)</f>
        <v>0</v>
      </c>
      <c r="L11" s="359">
        <f t="shared" si="4"/>
        <v>0</v>
      </c>
      <c r="M11" s="139">
        <f t="shared" si="5"/>
        <v>0</v>
      </c>
      <c r="N11" s="137">
        <f t="shared" si="6"/>
        <v>0</v>
      </c>
      <c r="O11" s="359">
        <f t="shared" si="7"/>
        <v>0</v>
      </c>
      <c r="P11" s="140">
        <f t="shared" si="8"/>
        <v>0</v>
      </c>
      <c r="Q11" s="140">
        <v>0</v>
      </c>
      <c r="R11" s="137">
        <f t="shared" si="9"/>
        <v>0</v>
      </c>
      <c r="S11" s="141">
        <f t="shared" si="10"/>
        <v>0</v>
      </c>
      <c r="T11" s="137">
        <f t="shared" si="11"/>
        <v>0</v>
      </c>
      <c r="U11" s="137">
        <f>ROUND(VERİLER!$F$9*T11,3)</f>
        <v>0</v>
      </c>
      <c r="V11" s="336">
        <f t="shared" si="12"/>
        <v>0</v>
      </c>
      <c r="W11" s="113"/>
      <c r="X11" s="113"/>
      <c r="Y11" s="113"/>
    </row>
    <row r="12" spans="1:26" s="143" customFormat="1" ht="15" customHeight="1" x14ac:dyDescent="0.2">
      <c r="A12" s="299" t="str">
        <f>IF('İşçi Bilgileri'!A10="","",'İşçi Bilgileri'!A10)</f>
        <v/>
      </c>
      <c r="B12" s="300" t="str">
        <f>IF($A12="","",VLOOKUP($A12,'İşçi Bilgileri'!$A$2:$D$700,4,FALSE))</f>
        <v/>
      </c>
      <c r="C12" s="301" t="str">
        <f>CONCATENATE(IF($A12="","",VLOOKUP($A12,'İşçi Bilgileri'!$A$2:$D$700,2,FALSE))," ",IF($A12="","",VLOOKUP($A12,'İşçi Bilgileri'!$A$2:$D$700,3,FALSE)))</f>
        <v xml:space="preserve"> </v>
      </c>
      <c r="D12" s="137" t="str">
        <f>IF($A12="","",VERİLER!$C$5)</f>
        <v/>
      </c>
      <c r="E12" s="138" t="str">
        <f>IF($A12="","",Puantaj!AJ17)</f>
        <v/>
      </c>
      <c r="F12" s="137">
        <f t="shared" si="1"/>
        <v>0</v>
      </c>
      <c r="G12" s="137"/>
      <c r="H12" s="137">
        <f t="shared" si="2"/>
        <v>0</v>
      </c>
      <c r="I12" s="137">
        <f t="shared" si="3"/>
        <v>0</v>
      </c>
      <c r="J12" s="137">
        <f>IF(F12&gt;VERİLER!$C$7,'İşçi Bilgileri'!M10+(F12-VERİLER!$C$7),0)</f>
        <v>0</v>
      </c>
      <c r="K12" s="137">
        <f>IF(VERİLER!$C$11&gt;0,ROUND(J12*0.15,2),0)</f>
        <v>0</v>
      </c>
      <c r="L12" s="359">
        <f t="shared" si="4"/>
        <v>0</v>
      </c>
      <c r="M12" s="139">
        <f t="shared" si="5"/>
        <v>0</v>
      </c>
      <c r="N12" s="137">
        <f t="shared" si="6"/>
        <v>0</v>
      </c>
      <c r="O12" s="359">
        <f t="shared" si="7"/>
        <v>0</v>
      </c>
      <c r="P12" s="140">
        <f t="shared" si="8"/>
        <v>0</v>
      </c>
      <c r="Q12" s="140">
        <v>0</v>
      </c>
      <c r="R12" s="137">
        <f t="shared" si="9"/>
        <v>0</v>
      </c>
      <c r="S12" s="141">
        <f t="shared" si="10"/>
        <v>0</v>
      </c>
      <c r="T12" s="137">
        <f t="shared" si="11"/>
        <v>0</v>
      </c>
      <c r="U12" s="137">
        <f>ROUND(VERİLER!$F$9*T12,3)</f>
        <v>0</v>
      </c>
      <c r="V12" s="336">
        <f t="shared" si="12"/>
        <v>0</v>
      </c>
      <c r="W12" s="113"/>
      <c r="X12" s="113"/>
    </row>
    <row r="13" spans="1:26" s="143" customFormat="1" ht="15" customHeight="1" x14ac:dyDescent="0.2">
      <c r="A13" s="299" t="str">
        <f>IF('İşçi Bilgileri'!A11="","",'İşçi Bilgileri'!A11)</f>
        <v/>
      </c>
      <c r="B13" s="300" t="str">
        <f>IF($A13="","",VLOOKUP($A13,'İşçi Bilgileri'!$A$2:$D$700,4,FALSE))</f>
        <v/>
      </c>
      <c r="C13" s="301" t="str">
        <f>CONCATENATE(IF($A13="","",VLOOKUP($A13,'İşçi Bilgileri'!$A$2:$D$700,2,FALSE))," ",IF($A13="","",VLOOKUP($A13,'İşçi Bilgileri'!$A$2:$D$700,3,FALSE)))</f>
        <v xml:space="preserve"> </v>
      </c>
      <c r="D13" s="137" t="str">
        <f>IF($A13="","",VERİLER!$C$5)</f>
        <v/>
      </c>
      <c r="E13" s="138" t="str">
        <f>IF($A13="","",Puantaj!AJ18)</f>
        <v/>
      </c>
      <c r="F13" s="137">
        <f t="shared" si="1"/>
        <v>0</v>
      </c>
      <c r="G13" s="137"/>
      <c r="H13" s="137">
        <f t="shared" si="2"/>
        <v>0</v>
      </c>
      <c r="I13" s="137">
        <f t="shared" si="3"/>
        <v>0</v>
      </c>
      <c r="J13" s="137">
        <f>IF(F13&gt;VERİLER!$C$7,'İşçi Bilgileri'!M11+(F13-VERİLER!$C$7),0)</f>
        <v>0</v>
      </c>
      <c r="K13" s="137">
        <f>IF(VERİLER!$C$11&gt;0,ROUND(J13*0.15,2),0)</f>
        <v>0</v>
      </c>
      <c r="L13" s="359">
        <f t="shared" si="4"/>
        <v>0</v>
      </c>
      <c r="M13" s="139">
        <f t="shared" si="5"/>
        <v>0</v>
      </c>
      <c r="N13" s="137">
        <f t="shared" si="6"/>
        <v>0</v>
      </c>
      <c r="O13" s="359">
        <f t="shared" si="7"/>
        <v>0</v>
      </c>
      <c r="P13" s="140">
        <f t="shared" si="8"/>
        <v>0</v>
      </c>
      <c r="Q13" s="140">
        <v>0</v>
      </c>
      <c r="R13" s="137">
        <f t="shared" si="9"/>
        <v>0</v>
      </c>
      <c r="S13" s="141">
        <f t="shared" si="10"/>
        <v>0</v>
      </c>
      <c r="T13" s="137">
        <f t="shared" si="11"/>
        <v>0</v>
      </c>
      <c r="U13" s="137">
        <f>ROUND(VERİLER!$F$9*T13,3)</f>
        <v>0</v>
      </c>
      <c r="V13" s="336">
        <f t="shared" si="12"/>
        <v>0</v>
      </c>
      <c r="W13" s="113"/>
      <c r="X13" s="113"/>
      <c r="Y13" s="113"/>
    </row>
    <row r="14" spans="1:26" s="143" customFormat="1" ht="15" customHeight="1" x14ac:dyDescent="0.2">
      <c r="A14" s="299" t="str">
        <f>IF('İşçi Bilgileri'!A12="","",'İşçi Bilgileri'!A12)</f>
        <v/>
      </c>
      <c r="B14" s="300" t="str">
        <f>IF($A14="","",VLOOKUP($A14,'İşçi Bilgileri'!$A$2:$D$700,4,FALSE))</f>
        <v/>
      </c>
      <c r="C14" s="301" t="str">
        <f>CONCATENATE(IF($A14="","",VLOOKUP($A14,'İşçi Bilgileri'!$A$2:$D$700,2,FALSE))," ",IF($A14="","",VLOOKUP($A14,'İşçi Bilgileri'!$A$2:$D$700,3,FALSE)))</f>
        <v xml:space="preserve"> </v>
      </c>
      <c r="D14" s="137" t="str">
        <f>IF($A14="","",VERİLER!$C$5)</f>
        <v/>
      </c>
      <c r="E14" s="138" t="str">
        <f>IF($A14="","",Puantaj!AJ19)</f>
        <v/>
      </c>
      <c r="F14" s="137">
        <f t="shared" si="1"/>
        <v>0</v>
      </c>
      <c r="G14" s="137"/>
      <c r="H14" s="137">
        <f t="shared" si="2"/>
        <v>0</v>
      </c>
      <c r="I14" s="137">
        <f t="shared" si="3"/>
        <v>0</v>
      </c>
      <c r="J14" s="137">
        <f>IF(F14&gt;VERİLER!$C$7,'İşçi Bilgileri'!M12+(F14-VERİLER!$C$7),0)</f>
        <v>0</v>
      </c>
      <c r="K14" s="137">
        <f>IF(VERİLER!$C$11&gt;0,ROUND(J14*0.15,2),0)</f>
        <v>0</v>
      </c>
      <c r="L14" s="359">
        <f t="shared" si="4"/>
        <v>0</v>
      </c>
      <c r="M14" s="139">
        <f t="shared" si="5"/>
        <v>0</v>
      </c>
      <c r="N14" s="137">
        <f t="shared" si="6"/>
        <v>0</v>
      </c>
      <c r="O14" s="359">
        <f t="shared" si="7"/>
        <v>0</v>
      </c>
      <c r="P14" s="140">
        <f t="shared" si="8"/>
        <v>0</v>
      </c>
      <c r="Q14" s="140">
        <v>0</v>
      </c>
      <c r="R14" s="137">
        <f t="shared" si="9"/>
        <v>0</v>
      </c>
      <c r="S14" s="141">
        <f t="shared" si="10"/>
        <v>0</v>
      </c>
      <c r="T14" s="137">
        <f t="shared" si="11"/>
        <v>0</v>
      </c>
      <c r="U14" s="137">
        <f>ROUND(VERİLER!$F$9*T14,3)</f>
        <v>0</v>
      </c>
      <c r="V14" s="336">
        <f t="shared" si="12"/>
        <v>0</v>
      </c>
      <c r="W14" s="113"/>
      <c r="X14" s="113"/>
      <c r="Y14" s="113"/>
    </row>
    <row r="15" spans="1:26" s="143" customFormat="1" ht="15" customHeight="1" x14ac:dyDescent="0.2">
      <c r="A15" s="299" t="str">
        <f>IF('İşçi Bilgileri'!A13="","",'İşçi Bilgileri'!A13)</f>
        <v/>
      </c>
      <c r="B15" s="300" t="str">
        <f>IF($A15="","",VLOOKUP($A15,'İşçi Bilgileri'!$A$2:$D$700,4,FALSE))</f>
        <v/>
      </c>
      <c r="C15" s="301" t="str">
        <f>CONCATENATE(IF($A15="","",VLOOKUP($A15,'İşçi Bilgileri'!$A$2:$D$700,2,FALSE))," ",IF($A15="","",VLOOKUP($A15,'İşçi Bilgileri'!$A$2:$D$700,3,FALSE)))</f>
        <v xml:space="preserve"> </v>
      </c>
      <c r="D15" s="137" t="str">
        <f>IF($A15="","",VERİLER!$C$5)</f>
        <v/>
      </c>
      <c r="E15" s="138" t="str">
        <f>IF($A15="","",Puantaj!AJ20)</f>
        <v/>
      </c>
      <c r="F15" s="137">
        <f t="shared" si="1"/>
        <v>0</v>
      </c>
      <c r="G15" s="137"/>
      <c r="H15" s="137">
        <f t="shared" si="2"/>
        <v>0</v>
      </c>
      <c r="I15" s="137">
        <f t="shared" si="3"/>
        <v>0</v>
      </c>
      <c r="J15" s="137">
        <f>IF(F15&gt;VERİLER!$C$7,'İşçi Bilgileri'!M13+(F15-VERİLER!$C$7),0)</f>
        <v>0</v>
      </c>
      <c r="K15" s="137">
        <f>IF(VERİLER!$C$11&gt;0,ROUND(J15*0.15,2),0)</f>
        <v>0</v>
      </c>
      <c r="L15" s="359">
        <f t="shared" si="4"/>
        <v>0</v>
      </c>
      <c r="M15" s="139">
        <f t="shared" si="5"/>
        <v>0</v>
      </c>
      <c r="N15" s="137">
        <f t="shared" si="6"/>
        <v>0</v>
      </c>
      <c r="O15" s="359">
        <f t="shared" si="7"/>
        <v>0</v>
      </c>
      <c r="P15" s="140">
        <f t="shared" si="8"/>
        <v>0</v>
      </c>
      <c r="Q15" s="140">
        <v>0</v>
      </c>
      <c r="R15" s="137">
        <f t="shared" si="9"/>
        <v>0</v>
      </c>
      <c r="S15" s="141">
        <f t="shared" si="10"/>
        <v>0</v>
      </c>
      <c r="T15" s="137">
        <f t="shared" si="11"/>
        <v>0</v>
      </c>
      <c r="U15" s="137">
        <f>ROUND(VERİLER!$F$9*T15,3)</f>
        <v>0</v>
      </c>
      <c r="V15" s="336">
        <f t="shared" si="12"/>
        <v>0</v>
      </c>
      <c r="W15" s="113"/>
      <c r="X15" s="113"/>
      <c r="Y15" s="113"/>
    </row>
    <row r="16" spans="1:26" s="143" customFormat="1" ht="15" customHeight="1" x14ac:dyDescent="0.2">
      <c r="A16" s="299" t="str">
        <f>IF('İşçi Bilgileri'!A14="","",'İşçi Bilgileri'!A14)</f>
        <v/>
      </c>
      <c r="B16" s="300" t="str">
        <f>IF($A16="","",VLOOKUP($A16,'İşçi Bilgileri'!$A$2:$D$700,4,FALSE))</f>
        <v/>
      </c>
      <c r="C16" s="301" t="str">
        <f>CONCATENATE(IF($A16="","",VLOOKUP($A16,'İşçi Bilgileri'!$A$2:$D$700,2,FALSE))," ",IF($A16="","",VLOOKUP($A16,'İşçi Bilgileri'!$A$2:$D$700,3,FALSE)))</f>
        <v xml:space="preserve"> </v>
      </c>
      <c r="D16" s="137" t="str">
        <f>IF($A16="","",VERİLER!$C$5)</f>
        <v/>
      </c>
      <c r="E16" s="138" t="str">
        <f>IF($A16="","",Puantaj!AJ21)</f>
        <v/>
      </c>
      <c r="F16" s="137">
        <f t="shared" si="1"/>
        <v>0</v>
      </c>
      <c r="G16" s="137"/>
      <c r="H16" s="137">
        <f t="shared" si="2"/>
        <v>0</v>
      </c>
      <c r="I16" s="137">
        <f t="shared" si="3"/>
        <v>0</v>
      </c>
      <c r="J16" s="137">
        <f>IF(F16&gt;VERİLER!$C$7,'İşçi Bilgileri'!M14+(F16-VERİLER!$C$7),0)</f>
        <v>0</v>
      </c>
      <c r="K16" s="137">
        <f>IF(VERİLER!$C$11&gt;0,ROUND(J16*0.15,2),0)</f>
        <v>0</v>
      </c>
      <c r="L16" s="359">
        <f t="shared" si="4"/>
        <v>0</v>
      </c>
      <c r="M16" s="139">
        <f t="shared" si="5"/>
        <v>0</v>
      </c>
      <c r="N16" s="137">
        <f t="shared" si="6"/>
        <v>0</v>
      </c>
      <c r="O16" s="359">
        <f t="shared" si="7"/>
        <v>0</v>
      </c>
      <c r="P16" s="140">
        <f t="shared" si="8"/>
        <v>0</v>
      </c>
      <c r="Q16" s="140">
        <v>0</v>
      </c>
      <c r="R16" s="137">
        <f t="shared" si="9"/>
        <v>0</v>
      </c>
      <c r="S16" s="141">
        <f t="shared" si="10"/>
        <v>0</v>
      </c>
      <c r="T16" s="137">
        <f t="shared" si="11"/>
        <v>0</v>
      </c>
      <c r="U16" s="137">
        <f>ROUND(VERİLER!$F$9*T16,3)</f>
        <v>0</v>
      </c>
      <c r="V16" s="336">
        <f t="shared" si="12"/>
        <v>0</v>
      </c>
      <c r="W16" s="113"/>
      <c r="X16" s="113"/>
      <c r="Y16" s="113"/>
    </row>
    <row r="17" spans="1:25" s="143" customFormat="1" ht="15" customHeight="1" x14ac:dyDescent="0.2">
      <c r="A17" s="299" t="str">
        <f>IF('İşçi Bilgileri'!A15="","",'İşçi Bilgileri'!A15)</f>
        <v/>
      </c>
      <c r="B17" s="300" t="str">
        <f>IF($A17="","",VLOOKUP($A17,'İşçi Bilgileri'!$A$2:$D$700,4,FALSE))</f>
        <v/>
      </c>
      <c r="C17" s="301" t="str">
        <f>CONCATENATE(IF($A17="","",VLOOKUP($A17,'İşçi Bilgileri'!$A$2:$D$700,2,FALSE))," ",IF($A17="","",VLOOKUP($A17,'İşçi Bilgileri'!$A$2:$D$700,3,FALSE)))</f>
        <v xml:space="preserve"> </v>
      </c>
      <c r="D17" s="137" t="str">
        <f>IF($A17="","",VERİLER!$C$5)</f>
        <v/>
      </c>
      <c r="E17" s="138" t="str">
        <f>IF($A17="","",Puantaj!AJ22)</f>
        <v/>
      </c>
      <c r="F17" s="137">
        <f t="shared" si="1"/>
        <v>0</v>
      </c>
      <c r="G17" s="137"/>
      <c r="H17" s="137">
        <f t="shared" si="2"/>
        <v>0</v>
      </c>
      <c r="I17" s="137">
        <f t="shared" si="3"/>
        <v>0</v>
      </c>
      <c r="J17" s="137">
        <f>IF(F17&gt;VERİLER!$C$7,'İşçi Bilgileri'!M15+(F17-VERİLER!$C$7),0)</f>
        <v>0</v>
      </c>
      <c r="K17" s="137">
        <f>IF(VERİLER!$C$11&gt;0,ROUND(J17*0.15,2),0)</f>
        <v>0</v>
      </c>
      <c r="L17" s="359">
        <f t="shared" si="4"/>
        <v>0</v>
      </c>
      <c r="M17" s="139">
        <f t="shared" si="5"/>
        <v>0</v>
      </c>
      <c r="N17" s="137">
        <f t="shared" si="6"/>
        <v>0</v>
      </c>
      <c r="O17" s="359">
        <f t="shared" si="7"/>
        <v>0</v>
      </c>
      <c r="P17" s="140">
        <f t="shared" si="8"/>
        <v>0</v>
      </c>
      <c r="Q17" s="140">
        <v>0</v>
      </c>
      <c r="R17" s="137">
        <f t="shared" si="9"/>
        <v>0</v>
      </c>
      <c r="S17" s="141">
        <f t="shared" si="10"/>
        <v>0</v>
      </c>
      <c r="T17" s="137">
        <f t="shared" si="11"/>
        <v>0</v>
      </c>
      <c r="U17" s="137">
        <f>ROUND(VERİLER!$F$9*T17,3)</f>
        <v>0</v>
      </c>
      <c r="V17" s="336">
        <f t="shared" si="12"/>
        <v>0</v>
      </c>
      <c r="W17" s="113"/>
      <c r="X17" s="113"/>
      <c r="Y17" s="113"/>
    </row>
    <row r="18" spans="1:25" s="143" customFormat="1" ht="15" customHeight="1" x14ac:dyDescent="0.2">
      <c r="A18" s="299" t="str">
        <f>IF('İşçi Bilgileri'!A16="","",'İşçi Bilgileri'!A16)</f>
        <v/>
      </c>
      <c r="B18" s="300" t="str">
        <f>IF($A18="","",VLOOKUP($A18,'İşçi Bilgileri'!$A$2:$D$700,4,FALSE))</f>
        <v/>
      </c>
      <c r="C18" s="301" t="str">
        <f>CONCATENATE(IF($A18="","",VLOOKUP($A18,'İşçi Bilgileri'!$A$2:$D$700,2,FALSE))," ",IF($A18="","",VLOOKUP($A18,'İşçi Bilgileri'!$A$2:$D$700,3,FALSE)))</f>
        <v xml:space="preserve"> </v>
      </c>
      <c r="D18" s="137" t="str">
        <f>IF($A18="","",VERİLER!$C$5)</f>
        <v/>
      </c>
      <c r="E18" s="138" t="str">
        <f>IF($A18="","",Puantaj!AJ23)</f>
        <v/>
      </c>
      <c r="F18" s="137">
        <f t="shared" si="1"/>
        <v>0</v>
      </c>
      <c r="G18" s="137"/>
      <c r="H18" s="137">
        <f t="shared" si="2"/>
        <v>0</v>
      </c>
      <c r="I18" s="137">
        <f t="shared" si="3"/>
        <v>0</v>
      </c>
      <c r="J18" s="137">
        <f>IF(F18&gt;VERİLER!$C$7,'İşçi Bilgileri'!M16+(F18-VERİLER!$C$7),0)</f>
        <v>0</v>
      </c>
      <c r="K18" s="137">
        <f>IF(VERİLER!$C$11&gt;0,ROUND(J18*0.15,2),0)</f>
        <v>0</v>
      </c>
      <c r="L18" s="359">
        <f t="shared" si="4"/>
        <v>0</v>
      </c>
      <c r="M18" s="139">
        <f t="shared" si="5"/>
        <v>0</v>
      </c>
      <c r="N18" s="137">
        <f t="shared" si="6"/>
        <v>0</v>
      </c>
      <c r="O18" s="359">
        <f t="shared" si="7"/>
        <v>0</v>
      </c>
      <c r="P18" s="140">
        <f t="shared" si="8"/>
        <v>0</v>
      </c>
      <c r="Q18" s="140">
        <v>0</v>
      </c>
      <c r="R18" s="137">
        <f t="shared" si="9"/>
        <v>0</v>
      </c>
      <c r="S18" s="141">
        <f t="shared" si="10"/>
        <v>0</v>
      </c>
      <c r="T18" s="137">
        <f t="shared" si="11"/>
        <v>0</v>
      </c>
      <c r="U18" s="137">
        <f>ROUND(VERİLER!$F$9*T18,3)</f>
        <v>0</v>
      </c>
      <c r="V18" s="336">
        <f t="shared" si="12"/>
        <v>0</v>
      </c>
      <c r="W18" s="113"/>
      <c r="X18" s="113"/>
      <c r="Y18" s="113"/>
    </row>
    <row r="19" spans="1:25" s="143" customFormat="1" ht="15" customHeight="1" x14ac:dyDescent="0.2">
      <c r="A19" s="299" t="str">
        <f>IF('İşçi Bilgileri'!A17="","",'İşçi Bilgileri'!A17)</f>
        <v/>
      </c>
      <c r="B19" s="300" t="str">
        <f>IF($A19="","",VLOOKUP($A19,'İşçi Bilgileri'!$A$2:$D$700,4,FALSE))</f>
        <v/>
      </c>
      <c r="C19" s="301" t="str">
        <f>CONCATENATE(IF($A19="","",VLOOKUP($A19,'İşçi Bilgileri'!$A$2:$D$700,2,FALSE))," ",IF($A19="","",VLOOKUP($A19,'İşçi Bilgileri'!$A$2:$D$700,3,FALSE)))</f>
        <v xml:space="preserve"> </v>
      </c>
      <c r="D19" s="137" t="str">
        <f>IF($A19="","",VERİLER!$C$5)</f>
        <v/>
      </c>
      <c r="E19" s="138" t="str">
        <f>IF($A19="","",Puantaj!AJ24)</f>
        <v/>
      </c>
      <c r="F19" s="137">
        <f t="shared" si="1"/>
        <v>0</v>
      </c>
      <c r="G19" s="137"/>
      <c r="H19" s="137">
        <f t="shared" si="2"/>
        <v>0</v>
      </c>
      <c r="I19" s="137">
        <f t="shared" si="3"/>
        <v>0</v>
      </c>
      <c r="J19" s="137">
        <f>IF(F19&gt;VERİLER!$C$7,'İşçi Bilgileri'!M17+(F19-VERİLER!$C$7),0)</f>
        <v>0</v>
      </c>
      <c r="K19" s="137">
        <f>IF(VERİLER!$C$11&gt;0,ROUND(J19*0.15,2),0)</f>
        <v>0</v>
      </c>
      <c r="L19" s="359">
        <f t="shared" si="4"/>
        <v>0</v>
      </c>
      <c r="M19" s="139">
        <f t="shared" si="5"/>
        <v>0</v>
      </c>
      <c r="N19" s="137">
        <f t="shared" si="6"/>
        <v>0</v>
      </c>
      <c r="O19" s="359">
        <f t="shared" si="7"/>
        <v>0</v>
      </c>
      <c r="P19" s="140">
        <f t="shared" si="8"/>
        <v>0</v>
      </c>
      <c r="Q19" s="140">
        <v>0</v>
      </c>
      <c r="R19" s="137">
        <f t="shared" si="9"/>
        <v>0</v>
      </c>
      <c r="S19" s="141">
        <f t="shared" si="10"/>
        <v>0</v>
      </c>
      <c r="T19" s="137">
        <f t="shared" si="11"/>
        <v>0</v>
      </c>
      <c r="U19" s="137">
        <f>ROUND(VERİLER!$F$9*T19,3)</f>
        <v>0</v>
      </c>
      <c r="V19" s="336">
        <f t="shared" si="12"/>
        <v>0</v>
      </c>
      <c r="W19" s="113"/>
      <c r="X19" s="113"/>
      <c r="Y19" s="113"/>
    </row>
    <row r="20" spans="1:25" s="143" customFormat="1" ht="15" customHeight="1" x14ac:dyDescent="0.2">
      <c r="A20" s="299" t="str">
        <f>IF('İşçi Bilgileri'!A18="","",'İşçi Bilgileri'!A18)</f>
        <v/>
      </c>
      <c r="B20" s="300" t="str">
        <f>IF($A20="","",VLOOKUP($A20,'İşçi Bilgileri'!$A$2:$D$700,4,FALSE))</f>
        <v/>
      </c>
      <c r="C20" s="301" t="str">
        <f>CONCATENATE(IF($A20="","",VLOOKUP($A20,'İşçi Bilgileri'!$A$2:$D$700,2,FALSE))," ",IF($A20="","",VLOOKUP($A20,'İşçi Bilgileri'!$A$2:$D$700,3,FALSE)))</f>
        <v xml:space="preserve"> </v>
      </c>
      <c r="D20" s="137" t="str">
        <f>IF($A20="","",VERİLER!$C$5)</f>
        <v/>
      </c>
      <c r="E20" s="138" t="str">
        <f>IF($A20="","",Puantaj!AJ25)</f>
        <v/>
      </c>
      <c r="F20" s="137">
        <f t="shared" si="1"/>
        <v>0</v>
      </c>
      <c r="G20" s="137"/>
      <c r="H20" s="137">
        <f t="shared" si="2"/>
        <v>0</v>
      </c>
      <c r="I20" s="137">
        <f t="shared" si="3"/>
        <v>0</v>
      </c>
      <c r="J20" s="137">
        <f>IF(F20&gt;VERİLER!$C$7,'İşçi Bilgileri'!M18+(F20-VERİLER!$C$7),0)</f>
        <v>0</v>
      </c>
      <c r="K20" s="137">
        <f>IF(VERİLER!$C$11&gt;0,ROUND(J20*0.15,2),0)</f>
        <v>0</v>
      </c>
      <c r="L20" s="359">
        <f t="shared" si="4"/>
        <v>0</v>
      </c>
      <c r="M20" s="139">
        <f t="shared" si="5"/>
        <v>0</v>
      </c>
      <c r="N20" s="137">
        <f t="shared" si="6"/>
        <v>0</v>
      </c>
      <c r="O20" s="359">
        <f t="shared" si="7"/>
        <v>0</v>
      </c>
      <c r="P20" s="140">
        <f t="shared" si="8"/>
        <v>0</v>
      </c>
      <c r="Q20" s="140">
        <v>0</v>
      </c>
      <c r="R20" s="137">
        <f t="shared" si="9"/>
        <v>0</v>
      </c>
      <c r="S20" s="141">
        <f t="shared" si="10"/>
        <v>0</v>
      </c>
      <c r="T20" s="137">
        <f t="shared" si="11"/>
        <v>0</v>
      </c>
      <c r="U20" s="137">
        <f>ROUND(VERİLER!$F$9*T20,3)</f>
        <v>0</v>
      </c>
      <c r="V20" s="336">
        <f t="shared" si="12"/>
        <v>0</v>
      </c>
      <c r="W20" s="113"/>
      <c r="X20" s="113"/>
      <c r="Y20" s="113"/>
    </row>
    <row r="21" spans="1:25" s="143" customFormat="1" ht="15" customHeight="1" x14ac:dyDescent="0.2">
      <c r="A21" s="299" t="str">
        <f>IF('İşçi Bilgileri'!A19="","",'İşçi Bilgileri'!A19)</f>
        <v/>
      </c>
      <c r="B21" s="300" t="str">
        <f>IF($A21="","",VLOOKUP($A21,'İşçi Bilgileri'!$A$2:$D$700,4,FALSE))</f>
        <v/>
      </c>
      <c r="C21" s="301" t="str">
        <f>CONCATENATE(IF($A21="","",VLOOKUP($A21,'İşçi Bilgileri'!$A$2:$D$700,2,FALSE))," ",IF($A21="","",VLOOKUP($A21,'İşçi Bilgileri'!$A$2:$D$700,3,FALSE)))</f>
        <v xml:space="preserve"> </v>
      </c>
      <c r="D21" s="137" t="str">
        <f>IF($A21="","",VERİLER!$C$5)</f>
        <v/>
      </c>
      <c r="E21" s="138" t="str">
        <f>IF($A21="","",Puantaj!AJ26)</f>
        <v/>
      </c>
      <c r="F21" s="137">
        <f t="shared" si="1"/>
        <v>0</v>
      </c>
      <c r="G21" s="137"/>
      <c r="H21" s="137">
        <f t="shared" si="2"/>
        <v>0</v>
      </c>
      <c r="I21" s="137">
        <f t="shared" si="3"/>
        <v>0</v>
      </c>
      <c r="J21" s="137">
        <f>IF(F21&gt;VERİLER!$C$7,'İşçi Bilgileri'!M19+(F21-VERİLER!$C$7),0)</f>
        <v>0</v>
      </c>
      <c r="K21" s="137">
        <f>IF(VERİLER!$C$11&gt;0,ROUND(J21*0.15,2),0)</f>
        <v>0</v>
      </c>
      <c r="L21" s="359">
        <f t="shared" si="4"/>
        <v>0</v>
      </c>
      <c r="M21" s="139">
        <f t="shared" si="5"/>
        <v>0</v>
      </c>
      <c r="N21" s="137">
        <f t="shared" si="6"/>
        <v>0</v>
      </c>
      <c r="O21" s="359">
        <f t="shared" si="7"/>
        <v>0</v>
      </c>
      <c r="P21" s="140">
        <f t="shared" si="8"/>
        <v>0</v>
      </c>
      <c r="Q21" s="140">
        <v>0</v>
      </c>
      <c r="R21" s="137">
        <f t="shared" si="9"/>
        <v>0</v>
      </c>
      <c r="S21" s="141">
        <f t="shared" si="10"/>
        <v>0</v>
      </c>
      <c r="T21" s="137">
        <f t="shared" si="11"/>
        <v>0</v>
      </c>
      <c r="U21" s="137">
        <f>ROUND(VERİLER!$F$9*T21,3)</f>
        <v>0</v>
      </c>
      <c r="V21" s="336">
        <f t="shared" si="12"/>
        <v>0</v>
      </c>
      <c r="W21" s="113"/>
      <c r="X21" s="113"/>
      <c r="Y21" s="113"/>
    </row>
    <row r="22" spans="1:25" s="143" customFormat="1" ht="15" customHeight="1" x14ac:dyDescent="0.2">
      <c r="A22" s="299" t="str">
        <f>IF('İşçi Bilgileri'!A20="","",'İşçi Bilgileri'!A20)</f>
        <v/>
      </c>
      <c r="B22" s="300" t="str">
        <f>IF($A22="","",VLOOKUP($A22,'İşçi Bilgileri'!$A$2:$D$700,4,FALSE))</f>
        <v/>
      </c>
      <c r="C22" s="301" t="str">
        <f>CONCATENATE(IF($A22="","",VLOOKUP($A22,'İşçi Bilgileri'!$A$2:$D$700,2,FALSE))," ",IF($A22="","",VLOOKUP($A22,'İşçi Bilgileri'!$A$2:$D$700,3,FALSE)))</f>
        <v xml:space="preserve"> </v>
      </c>
      <c r="D22" s="137" t="str">
        <f>IF($A22="","",VERİLER!$C$5)</f>
        <v/>
      </c>
      <c r="E22" s="138" t="str">
        <f>IF($A22="","",Puantaj!AJ27)</f>
        <v/>
      </c>
      <c r="F22" s="137">
        <f t="shared" si="1"/>
        <v>0</v>
      </c>
      <c r="G22" s="137"/>
      <c r="H22" s="137">
        <f t="shared" si="2"/>
        <v>0</v>
      </c>
      <c r="I22" s="137">
        <f t="shared" si="3"/>
        <v>0</v>
      </c>
      <c r="J22" s="137">
        <f>IF(F22&gt;VERİLER!$C$7,'İşçi Bilgileri'!M20+(F22-VERİLER!$C$7),0)</f>
        <v>0</v>
      </c>
      <c r="K22" s="137">
        <f>IF(VERİLER!$C$11&gt;0,ROUND(J22*0.15,2),0)</f>
        <v>0</v>
      </c>
      <c r="L22" s="359">
        <f t="shared" si="4"/>
        <v>0</v>
      </c>
      <c r="M22" s="139">
        <f t="shared" si="5"/>
        <v>0</v>
      </c>
      <c r="N22" s="137">
        <f t="shared" si="6"/>
        <v>0</v>
      </c>
      <c r="O22" s="359">
        <f t="shared" si="7"/>
        <v>0</v>
      </c>
      <c r="P22" s="140">
        <f t="shared" si="8"/>
        <v>0</v>
      </c>
      <c r="Q22" s="140">
        <v>0</v>
      </c>
      <c r="R22" s="137">
        <f t="shared" si="9"/>
        <v>0</v>
      </c>
      <c r="S22" s="141">
        <f t="shared" si="10"/>
        <v>0</v>
      </c>
      <c r="T22" s="137">
        <f t="shared" si="11"/>
        <v>0</v>
      </c>
      <c r="U22" s="137">
        <f>ROUND(VERİLER!$F$9*T22,3)</f>
        <v>0</v>
      </c>
      <c r="V22" s="336">
        <f t="shared" si="12"/>
        <v>0</v>
      </c>
      <c r="W22" s="113"/>
      <c r="X22" s="113"/>
      <c r="Y22" s="113"/>
    </row>
    <row r="23" spans="1:25" s="143" customFormat="1" ht="15" customHeight="1" x14ac:dyDescent="0.2">
      <c r="A23" s="299" t="str">
        <f>IF('İşçi Bilgileri'!A21="","",'İşçi Bilgileri'!A21)</f>
        <v/>
      </c>
      <c r="B23" s="300" t="str">
        <f>IF($A23="","",VLOOKUP($A23,'İşçi Bilgileri'!$A$2:$D$700,4,FALSE))</f>
        <v/>
      </c>
      <c r="C23" s="301" t="str">
        <f>CONCATENATE(IF($A23="","",VLOOKUP($A23,'İşçi Bilgileri'!$A$2:$D$700,2,FALSE))," ",IF($A23="","",VLOOKUP($A23,'İşçi Bilgileri'!$A$2:$D$700,3,FALSE)))</f>
        <v xml:space="preserve"> </v>
      </c>
      <c r="D23" s="137" t="str">
        <f>IF($A23="","",VERİLER!$C$5)</f>
        <v/>
      </c>
      <c r="E23" s="138" t="str">
        <f>IF($A23="","",Puantaj!AJ28)</f>
        <v/>
      </c>
      <c r="F23" s="137">
        <f t="shared" si="1"/>
        <v>0</v>
      </c>
      <c r="G23" s="137"/>
      <c r="H23" s="137">
        <f t="shared" si="2"/>
        <v>0</v>
      </c>
      <c r="I23" s="137">
        <f t="shared" si="3"/>
        <v>0</v>
      </c>
      <c r="J23" s="137">
        <f>IF(F23&gt;VERİLER!$C$7,'İşçi Bilgileri'!M21+(F23-VERİLER!$C$7),0)</f>
        <v>0</v>
      </c>
      <c r="K23" s="137">
        <f>IF(VERİLER!$C$11&gt;0,ROUND(J23*0.15,2),0)</f>
        <v>0</v>
      </c>
      <c r="L23" s="359">
        <f t="shared" si="4"/>
        <v>0</v>
      </c>
      <c r="M23" s="139">
        <f t="shared" si="5"/>
        <v>0</v>
      </c>
      <c r="N23" s="137">
        <f t="shared" si="6"/>
        <v>0</v>
      </c>
      <c r="O23" s="359">
        <f t="shared" si="7"/>
        <v>0</v>
      </c>
      <c r="P23" s="140">
        <f t="shared" si="8"/>
        <v>0</v>
      </c>
      <c r="Q23" s="140">
        <v>0</v>
      </c>
      <c r="R23" s="137">
        <f t="shared" si="9"/>
        <v>0</v>
      </c>
      <c r="S23" s="141">
        <f t="shared" si="10"/>
        <v>0</v>
      </c>
      <c r="T23" s="137">
        <f t="shared" si="11"/>
        <v>0</v>
      </c>
      <c r="U23" s="137">
        <f>ROUND(VERİLER!$F$9*T23,3)</f>
        <v>0</v>
      </c>
      <c r="V23" s="336">
        <f t="shared" si="12"/>
        <v>0</v>
      </c>
      <c r="W23" s="113"/>
      <c r="X23" s="113"/>
      <c r="Y23" s="113"/>
    </row>
    <row r="24" spans="1:25" s="143" customFormat="1" ht="15" customHeight="1" x14ac:dyDescent="0.2">
      <c r="A24" s="299" t="str">
        <f>IF('İşçi Bilgileri'!A22="","",'İşçi Bilgileri'!A22)</f>
        <v/>
      </c>
      <c r="B24" s="300" t="str">
        <f>IF($A24="","",VLOOKUP($A24,'İşçi Bilgileri'!$A$2:$D$700,4,FALSE))</f>
        <v/>
      </c>
      <c r="C24" s="301" t="str">
        <f>CONCATENATE(IF($A24="","",VLOOKUP($A24,'İşçi Bilgileri'!$A$2:$D$700,2,FALSE))," ",IF($A24="","",VLOOKUP($A24,'İşçi Bilgileri'!$A$2:$D$700,3,FALSE)))</f>
        <v xml:space="preserve"> </v>
      </c>
      <c r="D24" s="137" t="str">
        <f>IF($A24="","",VERİLER!$C$5)</f>
        <v/>
      </c>
      <c r="E24" s="138" t="str">
        <f>IF($A24="","",Puantaj!AJ29)</f>
        <v/>
      </c>
      <c r="F24" s="137">
        <f t="shared" si="1"/>
        <v>0</v>
      </c>
      <c r="G24" s="137"/>
      <c r="H24" s="137">
        <f t="shared" si="2"/>
        <v>0</v>
      </c>
      <c r="I24" s="137">
        <f t="shared" si="3"/>
        <v>0</v>
      </c>
      <c r="J24" s="137">
        <f>IF(F24&gt;VERİLER!$C$7,'İşçi Bilgileri'!M22+(F24-VERİLER!$C$7),0)</f>
        <v>0</v>
      </c>
      <c r="K24" s="137">
        <f>IF(VERİLER!$C$11&gt;0,ROUND(J24*0.15,2),0)</f>
        <v>0</v>
      </c>
      <c r="L24" s="359">
        <f t="shared" si="4"/>
        <v>0</v>
      </c>
      <c r="M24" s="139">
        <f t="shared" si="5"/>
        <v>0</v>
      </c>
      <c r="N24" s="137">
        <f t="shared" si="6"/>
        <v>0</v>
      </c>
      <c r="O24" s="359">
        <f t="shared" si="7"/>
        <v>0</v>
      </c>
      <c r="P24" s="140">
        <f t="shared" si="8"/>
        <v>0</v>
      </c>
      <c r="Q24" s="140">
        <v>0</v>
      </c>
      <c r="R24" s="137">
        <f t="shared" si="9"/>
        <v>0</v>
      </c>
      <c r="S24" s="141">
        <f t="shared" si="10"/>
        <v>0</v>
      </c>
      <c r="T24" s="137">
        <f t="shared" si="11"/>
        <v>0</v>
      </c>
      <c r="U24" s="137">
        <f>ROUND(VERİLER!$F$9*T24,3)</f>
        <v>0</v>
      </c>
      <c r="V24" s="336">
        <f t="shared" si="12"/>
        <v>0</v>
      </c>
      <c r="W24" s="113"/>
      <c r="X24" s="113"/>
      <c r="Y24" s="113"/>
    </row>
    <row r="25" spans="1:25" s="143" customFormat="1" ht="15" customHeight="1" x14ac:dyDescent="0.2">
      <c r="A25" s="299" t="str">
        <f>IF('İşçi Bilgileri'!A23="","",'İşçi Bilgileri'!A23)</f>
        <v/>
      </c>
      <c r="B25" s="300" t="str">
        <f>IF($A25="","",VLOOKUP($A25,'İşçi Bilgileri'!$A$2:$D$700,4,FALSE))</f>
        <v/>
      </c>
      <c r="C25" s="301" t="str">
        <f>CONCATENATE(IF($A25="","",VLOOKUP($A25,'İşçi Bilgileri'!$A$2:$D$700,2,FALSE))," ",IF($A25="","",VLOOKUP($A25,'İşçi Bilgileri'!$A$2:$D$700,3,FALSE)))</f>
        <v xml:space="preserve"> </v>
      </c>
      <c r="D25" s="137" t="str">
        <f>IF($A25="","",VERİLER!$C$5)</f>
        <v/>
      </c>
      <c r="E25" s="138" t="str">
        <f>IF($A25="","",Puantaj!AJ30)</f>
        <v/>
      </c>
      <c r="F25" s="137">
        <f t="shared" si="1"/>
        <v>0</v>
      </c>
      <c r="G25" s="137"/>
      <c r="H25" s="137">
        <f t="shared" si="2"/>
        <v>0</v>
      </c>
      <c r="I25" s="137">
        <f t="shared" si="3"/>
        <v>0</v>
      </c>
      <c r="J25" s="137">
        <f>IF(F25&gt;VERİLER!$C$7,'İşçi Bilgileri'!M23+(F25-VERİLER!$C$7),0)</f>
        <v>0</v>
      </c>
      <c r="K25" s="137">
        <f>IF(VERİLER!$C$11&gt;0,ROUND(J25*0.15,2),0)</f>
        <v>0</v>
      </c>
      <c r="L25" s="359">
        <f t="shared" si="4"/>
        <v>0</v>
      </c>
      <c r="M25" s="139">
        <f t="shared" si="5"/>
        <v>0</v>
      </c>
      <c r="N25" s="137">
        <f t="shared" si="6"/>
        <v>0</v>
      </c>
      <c r="O25" s="359">
        <f t="shared" si="7"/>
        <v>0</v>
      </c>
      <c r="P25" s="140">
        <f t="shared" si="8"/>
        <v>0</v>
      </c>
      <c r="Q25" s="140">
        <v>0</v>
      </c>
      <c r="R25" s="137">
        <f t="shared" si="9"/>
        <v>0</v>
      </c>
      <c r="S25" s="141">
        <f t="shared" si="10"/>
        <v>0</v>
      </c>
      <c r="T25" s="137">
        <f t="shared" si="11"/>
        <v>0</v>
      </c>
      <c r="U25" s="137">
        <f>ROUND(VERİLER!$F$9*T25,3)</f>
        <v>0</v>
      </c>
      <c r="V25" s="336">
        <f t="shared" si="12"/>
        <v>0</v>
      </c>
      <c r="W25" s="113"/>
      <c r="X25" s="113"/>
      <c r="Y25" s="113"/>
    </row>
    <row r="26" spans="1:25" s="143" customFormat="1" ht="15" customHeight="1" x14ac:dyDescent="0.2">
      <c r="A26" s="299" t="str">
        <f>IF('İşçi Bilgileri'!A24="","",'İşçi Bilgileri'!A24)</f>
        <v/>
      </c>
      <c r="B26" s="300" t="str">
        <f>IF($A26="","",VLOOKUP($A26,'İşçi Bilgileri'!$A$2:$D$700,4,FALSE))</f>
        <v/>
      </c>
      <c r="C26" s="301" t="str">
        <f>CONCATENATE(IF($A26="","",VLOOKUP($A26,'İşçi Bilgileri'!$A$2:$D$700,2,FALSE))," ",IF($A26="","",VLOOKUP($A26,'İşçi Bilgileri'!$A$2:$D$700,3,FALSE)))</f>
        <v xml:space="preserve"> </v>
      </c>
      <c r="D26" s="137" t="str">
        <f>IF($A26="","",VERİLER!$C$5)</f>
        <v/>
      </c>
      <c r="E26" s="138" t="str">
        <f>IF($A26="","",Puantaj!AJ31)</f>
        <v/>
      </c>
      <c r="F26" s="137">
        <f t="shared" si="1"/>
        <v>0</v>
      </c>
      <c r="G26" s="137"/>
      <c r="H26" s="137">
        <f t="shared" si="2"/>
        <v>0</v>
      </c>
      <c r="I26" s="137">
        <f t="shared" si="3"/>
        <v>0</v>
      </c>
      <c r="J26" s="137">
        <f>IF(F26&gt;VERİLER!$C$7,'İşçi Bilgileri'!M24+(F26-VERİLER!$C$7),0)</f>
        <v>0</v>
      </c>
      <c r="K26" s="137">
        <f>IF(VERİLER!$C$11&gt;0,ROUND(J26*0.15,2),0)</f>
        <v>0</v>
      </c>
      <c r="L26" s="359">
        <f t="shared" si="4"/>
        <v>0</v>
      </c>
      <c r="M26" s="139">
        <f t="shared" si="5"/>
        <v>0</v>
      </c>
      <c r="N26" s="137">
        <f t="shared" si="6"/>
        <v>0</v>
      </c>
      <c r="O26" s="359">
        <f t="shared" si="7"/>
        <v>0</v>
      </c>
      <c r="P26" s="140">
        <f t="shared" si="8"/>
        <v>0</v>
      </c>
      <c r="Q26" s="140">
        <v>0</v>
      </c>
      <c r="R26" s="137">
        <f t="shared" si="9"/>
        <v>0</v>
      </c>
      <c r="S26" s="141">
        <f t="shared" si="10"/>
        <v>0</v>
      </c>
      <c r="T26" s="137">
        <f t="shared" si="11"/>
        <v>0</v>
      </c>
      <c r="U26" s="137">
        <f>ROUND(VERİLER!$F$9*T26,3)</f>
        <v>0</v>
      </c>
      <c r="V26" s="336">
        <f t="shared" si="12"/>
        <v>0</v>
      </c>
      <c r="W26" s="113"/>
      <c r="X26" s="113"/>
      <c r="Y26" s="113"/>
    </row>
    <row r="27" spans="1:25" s="143" customFormat="1" ht="15" customHeight="1" x14ac:dyDescent="0.2">
      <c r="A27" s="299" t="str">
        <f>IF('İşçi Bilgileri'!A25="","",'İşçi Bilgileri'!A25)</f>
        <v/>
      </c>
      <c r="B27" s="300" t="str">
        <f>IF($A27="","",VLOOKUP($A27,'İşçi Bilgileri'!$A$2:$D$700,4,FALSE))</f>
        <v/>
      </c>
      <c r="C27" s="301" t="str">
        <f>CONCATENATE(IF($A27="","",VLOOKUP($A27,'İşçi Bilgileri'!$A$2:$D$700,2,FALSE))," ",IF($A27="","",VLOOKUP($A27,'İşçi Bilgileri'!$A$2:$D$700,3,FALSE)))</f>
        <v xml:space="preserve"> </v>
      </c>
      <c r="D27" s="137" t="str">
        <f>IF($A27="","",VERİLER!$C$5)</f>
        <v/>
      </c>
      <c r="E27" s="138" t="str">
        <f>IF($A27="","",Puantaj!AJ32)</f>
        <v/>
      </c>
      <c r="F27" s="137">
        <f t="shared" si="1"/>
        <v>0</v>
      </c>
      <c r="G27" s="137"/>
      <c r="H27" s="137">
        <f t="shared" si="2"/>
        <v>0</v>
      </c>
      <c r="I27" s="137">
        <f t="shared" si="3"/>
        <v>0</v>
      </c>
      <c r="J27" s="137">
        <f>IF(F27&gt;VERİLER!$C$7,'İşçi Bilgileri'!M25+(F27-VERİLER!$C$7),0)</f>
        <v>0</v>
      </c>
      <c r="K27" s="137">
        <f>IF(VERİLER!$C$11&gt;0,ROUND(J27*0.15,2),0)</f>
        <v>0</v>
      </c>
      <c r="L27" s="359">
        <f t="shared" si="4"/>
        <v>0</v>
      </c>
      <c r="M27" s="139">
        <f t="shared" si="5"/>
        <v>0</v>
      </c>
      <c r="N27" s="137">
        <f t="shared" si="6"/>
        <v>0</v>
      </c>
      <c r="O27" s="359">
        <f t="shared" si="7"/>
        <v>0</v>
      </c>
      <c r="P27" s="140">
        <f t="shared" si="8"/>
        <v>0</v>
      </c>
      <c r="Q27" s="140">
        <v>0</v>
      </c>
      <c r="R27" s="137">
        <f t="shared" si="9"/>
        <v>0</v>
      </c>
      <c r="S27" s="141">
        <f t="shared" si="10"/>
        <v>0</v>
      </c>
      <c r="T27" s="137">
        <f t="shared" si="11"/>
        <v>0</v>
      </c>
      <c r="U27" s="137">
        <f>ROUND(VERİLER!$F$9*T27,3)</f>
        <v>0</v>
      </c>
      <c r="V27" s="336">
        <f t="shared" si="12"/>
        <v>0</v>
      </c>
      <c r="W27" s="113"/>
      <c r="X27" s="113"/>
      <c r="Y27" s="113"/>
    </row>
    <row r="28" spans="1:25" s="143" customFormat="1" ht="15" customHeight="1" x14ac:dyDescent="0.2">
      <c r="A28" s="299" t="str">
        <f>IF('İşçi Bilgileri'!A26="","",'İşçi Bilgileri'!A26)</f>
        <v/>
      </c>
      <c r="B28" s="300" t="str">
        <f>IF($A28="","",VLOOKUP($A28,'İşçi Bilgileri'!$A$2:$D$700,4,FALSE))</f>
        <v/>
      </c>
      <c r="C28" s="301" t="str">
        <f>CONCATENATE(IF($A28="","",VLOOKUP($A28,'İşçi Bilgileri'!$A$2:$D$700,2,FALSE))," ",IF($A28="","",VLOOKUP($A28,'İşçi Bilgileri'!$A$2:$D$700,3,FALSE)))</f>
        <v xml:space="preserve"> </v>
      </c>
      <c r="D28" s="137" t="str">
        <f>IF($A28="","",VERİLER!$C$5)</f>
        <v/>
      </c>
      <c r="E28" s="138" t="str">
        <f>IF($A28="","",Puantaj!AJ33)</f>
        <v/>
      </c>
      <c r="F28" s="137">
        <f t="shared" si="1"/>
        <v>0</v>
      </c>
      <c r="G28" s="137"/>
      <c r="H28" s="137">
        <f t="shared" si="2"/>
        <v>0</v>
      </c>
      <c r="I28" s="137">
        <f t="shared" si="3"/>
        <v>0</v>
      </c>
      <c r="J28" s="137">
        <f>IF(F28&gt;VERİLER!$C$7,'İşçi Bilgileri'!M26+(F28-VERİLER!$C$7),0)</f>
        <v>0</v>
      </c>
      <c r="K28" s="137">
        <f>IF(VERİLER!$C$11&gt;0,ROUND(J28*0.15,2),0)</f>
        <v>0</v>
      </c>
      <c r="L28" s="359">
        <f t="shared" si="4"/>
        <v>0</v>
      </c>
      <c r="M28" s="139">
        <f t="shared" si="5"/>
        <v>0</v>
      </c>
      <c r="N28" s="137">
        <f t="shared" si="6"/>
        <v>0</v>
      </c>
      <c r="O28" s="359">
        <f t="shared" si="7"/>
        <v>0</v>
      </c>
      <c r="P28" s="140">
        <f t="shared" si="8"/>
        <v>0</v>
      </c>
      <c r="Q28" s="140">
        <v>0</v>
      </c>
      <c r="R28" s="137">
        <f t="shared" si="9"/>
        <v>0</v>
      </c>
      <c r="S28" s="141">
        <f t="shared" si="10"/>
        <v>0</v>
      </c>
      <c r="T28" s="137">
        <f t="shared" si="11"/>
        <v>0</v>
      </c>
      <c r="U28" s="137">
        <f>ROUND(VERİLER!$F$9*T28,3)</f>
        <v>0</v>
      </c>
      <c r="V28" s="336">
        <f t="shared" si="12"/>
        <v>0</v>
      </c>
      <c r="W28" s="113"/>
      <c r="X28" s="113"/>
      <c r="Y28" s="113"/>
    </row>
    <row r="29" spans="1:25" s="143" customFormat="1" ht="15" customHeight="1" x14ac:dyDescent="0.2">
      <c r="A29" s="299" t="str">
        <f>IF('İşçi Bilgileri'!A27="","",'İşçi Bilgileri'!A27)</f>
        <v/>
      </c>
      <c r="B29" s="300" t="str">
        <f>IF($A29="","",VLOOKUP($A29,'İşçi Bilgileri'!$A$2:$D$700,4,FALSE))</f>
        <v/>
      </c>
      <c r="C29" s="301" t="str">
        <f>CONCATENATE(IF($A29="","",VLOOKUP($A29,'İşçi Bilgileri'!$A$2:$D$700,2,FALSE))," ",IF($A29="","",VLOOKUP($A29,'İşçi Bilgileri'!$A$2:$D$700,3,FALSE)))</f>
        <v xml:space="preserve"> </v>
      </c>
      <c r="D29" s="137" t="str">
        <f>IF($A29="","",VERİLER!$C$5)</f>
        <v/>
      </c>
      <c r="E29" s="138" t="str">
        <f>IF($A29="","",Puantaj!AJ34)</f>
        <v/>
      </c>
      <c r="F29" s="137">
        <f t="shared" si="1"/>
        <v>0</v>
      </c>
      <c r="G29" s="137"/>
      <c r="H29" s="137">
        <f t="shared" si="2"/>
        <v>0</v>
      </c>
      <c r="I29" s="137">
        <f t="shared" si="3"/>
        <v>0</v>
      </c>
      <c r="J29" s="137">
        <f>IF(F29&gt;VERİLER!$C$7,'İşçi Bilgileri'!M27+(F29-VERİLER!$C$7),0)</f>
        <v>0</v>
      </c>
      <c r="K29" s="137">
        <f>IF(VERİLER!$C$11&gt;0,ROUND(J29*0.15,2),0)</f>
        <v>0</v>
      </c>
      <c r="L29" s="359">
        <f t="shared" si="4"/>
        <v>0</v>
      </c>
      <c r="M29" s="139">
        <f t="shared" si="5"/>
        <v>0</v>
      </c>
      <c r="N29" s="137">
        <f t="shared" si="6"/>
        <v>0</v>
      </c>
      <c r="O29" s="359">
        <f t="shared" si="7"/>
        <v>0</v>
      </c>
      <c r="P29" s="140">
        <f t="shared" si="8"/>
        <v>0</v>
      </c>
      <c r="Q29" s="140">
        <v>0</v>
      </c>
      <c r="R29" s="137">
        <f t="shared" si="9"/>
        <v>0</v>
      </c>
      <c r="S29" s="141">
        <f t="shared" si="10"/>
        <v>0</v>
      </c>
      <c r="T29" s="137">
        <f t="shared" si="11"/>
        <v>0</v>
      </c>
      <c r="U29" s="137">
        <f>ROUND(VERİLER!$F$9*T29,3)</f>
        <v>0</v>
      </c>
      <c r="V29" s="336">
        <f t="shared" si="12"/>
        <v>0</v>
      </c>
      <c r="W29" s="113"/>
      <c r="X29" s="113"/>
      <c r="Y29" s="113"/>
    </row>
    <row r="30" spans="1:25" s="143" customFormat="1" ht="14.25" customHeight="1" x14ac:dyDescent="0.2">
      <c r="A30" s="299" t="str">
        <f>IF('İşçi Bilgileri'!A28="","",'İşçi Bilgileri'!A28)</f>
        <v/>
      </c>
      <c r="B30" s="300" t="str">
        <f>IF($A30="","",VLOOKUP($A30,'İşçi Bilgileri'!$A$2:$D$700,4,FALSE))</f>
        <v/>
      </c>
      <c r="C30" s="301" t="str">
        <f>CONCATENATE(IF($A30="","",VLOOKUP($A30,'İşçi Bilgileri'!$A$2:$D$700,2,FALSE))," ",IF($A30="","",VLOOKUP($A30,'İşçi Bilgileri'!$A$2:$D$700,3,FALSE)))</f>
        <v xml:space="preserve"> </v>
      </c>
      <c r="D30" s="137" t="str">
        <f>IF($A30="","",VERİLER!$C$5)</f>
        <v/>
      </c>
      <c r="E30" s="138" t="str">
        <f>IF($A30="","",Puantaj!AJ35)</f>
        <v/>
      </c>
      <c r="F30" s="137">
        <f t="shared" si="1"/>
        <v>0</v>
      </c>
      <c r="G30" s="137"/>
      <c r="H30" s="137">
        <f t="shared" si="2"/>
        <v>0</v>
      </c>
      <c r="I30" s="137">
        <f t="shared" si="3"/>
        <v>0</v>
      </c>
      <c r="J30" s="137">
        <f>IF(F30&gt;VERİLER!$C$7,'İşçi Bilgileri'!M28+(F30-VERİLER!$C$7),0)</f>
        <v>0</v>
      </c>
      <c r="K30" s="137">
        <f>IF(VERİLER!$C$11&gt;0,ROUND(J30*0.15,2),0)</f>
        <v>0</v>
      </c>
      <c r="L30" s="359">
        <f t="shared" si="4"/>
        <v>0</v>
      </c>
      <c r="M30" s="139">
        <f t="shared" si="5"/>
        <v>0</v>
      </c>
      <c r="N30" s="137">
        <f t="shared" si="6"/>
        <v>0</v>
      </c>
      <c r="O30" s="359">
        <f t="shared" si="7"/>
        <v>0</v>
      </c>
      <c r="P30" s="140">
        <f t="shared" si="8"/>
        <v>0</v>
      </c>
      <c r="Q30" s="140">
        <v>0</v>
      </c>
      <c r="R30" s="137">
        <f t="shared" si="9"/>
        <v>0</v>
      </c>
      <c r="S30" s="141">
        <f t="shared" si="10"/>
        <v>0</v>
      </c>
      <c r="T30" s="137">
        <f t="shared" si="11"/>
        <v>0</v>
      </c>
      <c r="U30" s="137">
        <f>ROUND(VERİLER!$F$9*T30,3)</f>
        <v>0</v>
      </c>
      <c r="V30" s="336">
        <f t="shared" si="12"/>
        <v>0</v>
      </c>
      <c r="W30" s="113"/>
      <c r="X30" s="113"/>
      <c r="Y30" s="113"/>
    </row>
    <row r="31" spans="1:25" s="143" customFormat="1" ht="15" customHeight="1" x14ac:dyDescent="0.2">
      <c r="A31" s="299" t="str">
        <f>IF('İşçi Bilgileri'!A29="","",'İşçi Bilgileri'!A29)</f>
        <v/>
      </c>
      <c r="B31" s="300" t="str">
        <f>IF($A31="","",VLOOKUP($A31,'İşçi Bilgileri'!$A$2:$D$700,4,FALSE))</f>
        <v/>
      </c>
      <c r="C31" s="301" t="str">
        <f>CONCATENATE(IF($A31="","",VLOOKUP($A31,'İşçi Bilgileri'!$A$2:$D$700,2,FALSE))," ",IF($A31="","",VLOOKUP($A31,'İşçi Bilgileri'!$A$2:$D$700,3,FALSE)))</f>
        <v xml:space="preserve"> </v>
      </c>
      <c r="D31" s="137" t="str">
        <f>IF($A31="","",VERİLER!$C$5)</f>
        <v/>
      </c>
      <c r="E31" s="138" t="str">
        <f>IF($A31="","",Puantaj!AJ36)</f>
        <v/>
      </c>
      <c r="F31" s="137">
        <f t="shared" si="1"/>
        <v>0</v>
      </c>
      <c r="G31" s="137"/>
      <c r="H31" s="137">
        <f t="shared" si="2"/>
        <v>0</v>
      </c>
      <c r="I31" s="137">
        <f t="shared" si="3"/>
        <v>0</v>
      </c>
      <c r="J31" s="137">
        <f>IF(F31&gt;VERİLER!$C$7,'İşçi Bilgileri'!M29+(F31-VERİLER!$C$7),0)</f>
        <v>0</v>
      </c>
      <c r="K31" s="137">
        <f>IF(VERİLER!$C$11&gt;0,ROUND(J31*0.15,2),0)</f>
        <v>0</v>
      </c>
      <c r="L31" s="359">
        <f t="shared" si="4"/>
        <v>0</v>
      </c>
      <c r="M31" s="139">
        <f t="shared" si="5"/>
        <v>0</v>
      </c>
      <c r="N31" s="137">
        <f t="shared" si="6"/>
        <v>0</v>
      </c>
      <c r="O31" s="359">
        <f t="shared" si="7"/>
        <v>0</v>
      </c>
      <c r="P31" s="140">
        <f t="shared" si="8"/>
        <v>0</v>
      </c>
      <c r="Q31" s="140">
        <v>0</v>
      </c>
      <c r="R31" s="137">
        <f t="shared" si="9"/>
        <v>0</v>
      </c>
      <c r="S31" s="141">
        <f t="shared" si="10"/>
        <v>0</v>
      </c>
      <c r="T31" s="137">
        <f t="shared" si="11"/>
        <v>0</v>
      </c>
      <c r="U31" s="137">
        <f>ROUND(VERİLER!$F$9*T31,3)</f>
        <v>0</v>
      </c>
      <c r="V31" s="336">
        <f t="shared" si="12"/>
        <v>0</v>
      </c>
      <c r="W31" s="113"/>
      <c r="X31" s="113"/>
      <c r="Y31" s="113"/>
    </row>
    <row r="32" spans="1:25" s="143" customFormat="1" ht="15" customHeight="1" x14ac:dyDescent="0.2">
      <c r="A32" s="299" t="str">
        <f>IF('İşçi Bilgileri'!A30="","",'İşçi Bilgileri'!A30)</f>
        <v/>
      </c>
      <c r="B32" s="300" t="str">
        <f>IF($A32="","",VLOOKUP($A32,'İşçi Bilgileri'!$A$2:$D$700,4,FALSE))</f>
        <v/>
      </c>
      <c r="C32" s="301" t="str">
        <f>CONCATENATE(IF($A32="","",VLOOKUP($A32,'İşçi Bilgileri'!$A$2:$D$700,2,FALSE))," ",IF($A32="","",VLOOKUP($A32,'İşçi Bilgileri'!$A$2:$D$700,3,FALSE)))</f>
        <v xml:space="preserve"> </v>
      </c>
      <c r="D32" s="137" t="str">
        <f>IF($A32="","",VERİLER!$C$5)</f>
        <v/>
      </c>
      <c r="E32" s="138" t="str">
        <f>IF($A32="","",Puantaj!AJ37)</f>
        <v/>
      </c>
      <c r="F32" s="137">
        <f t="shared" si="1"/>
        <v>0</v>
      </c>
      <c r="G32" s="137"/>
      <c r="H32" s="137">
        <f t="shared" si="2"/>
        <v>0</v>
      </c>
      <c r="I32" s="137">
        <f t="shared" si="3"/>
        <v>0</v>
      </c>
      <c r="J32" s="137">
        <f>IF(F32&gt;VERİLER!$C$7,'İşçi Bilgileri'!M30+(F32-VERİLER!$C$7),0)</f>
        <v>0</v>
      </c>
      <c r="K32" s="137">
        <f>IF(VERİLER!$C$11&gt;0,ROUND(J32*0.15,2),0)</f>
        <v>0</v>
      </c>
      <c r="L32" s="359">
        <f t="shared" si="4"/>
        <v>0</v>
      </c>
      <c r="M32" s="139">
        <f t="shared" si="5"/>
        <v>0</v>
      </c>
      <c r="N32" s="137">
        <f t="shared" si="6"/>
        <v>0</v>
      </c>
      <c r="O32" s="359">
        <f t="shared" si="7"/>
        <v>0</v>
      </c>
      <c r="P32" s="140">
        <f t="shared" si="8"/>
        <v>0</v>
      </c>
      <c r="Q32" s="140">
        <v>0</v>
      </c>
      <c r="R32" s="137">
        <f t="shared" si="9"/>
        <v>0</v>
      </c>
      <c r="S32" s="141">
        <f t="shared" si="10"/>
        <v>0</v>
      </c>
      <c r="T32" s="137">
        <f t="shared" si="11"/>
        <v>0</v>
      </c>
      <c r="U32" s="137">
        <f>ROUND(VERİLER!$F$9*T32,3)</f>
        <v>0</v>
      </c>
      <c r="V32" s="336">
        <f t="shared" si="12"/>
        <v>0</v>
      </c>
      <c r="W32" s="113"/>
      <c r="X32" s="113"/>
      <c r="Y32" s="113"/>
    </row>
    <row r="33" spans="1:25" s="143" customFormat="1" ht="15" customHeight="1" x14ac:dyDescent="0.2">
      <c r="A33" s="299" t="str">
        <f>IF('İşçi Bilgileri'!A31="","",'İşçi Bilgileri'!A31)</f>
        <v/>
      </c>
      <c r="B33" s="300" t="str">
        <f>IF($A33="","",VLOOKUP($A33,'İşçi Bilgileri'!$A$2:$D$700,4,FALSE))</f>
        <v/>
      </c>
      <c r="C33" s="301" t="str">
        <f>CONCATENATE(IF($A33="","",VLOOKUP($A33,'İşçi Bilgileri'!$A$2:$D$700,2,FALSE))," ",IF($A33="","",VLOOKUP($A33,'İşçi Bilgileri'!$A$2:$D$700,3,FALSE)))</f>
        <v xml:space="preserve"> </v>
      </c>
      <c r="D33" s="137" t="str">
        <f>IF($A33="","",VERİLER!$C$5)</f>
        <v/>
      </c>
      <c r="E33" s="138" t="str">
        <f>IF($A33="","",Puantaj!AJ38)</f>
        <v/>
      </c>
      <c r="F33" s="137">
        <f t="shared" si="1"/>
        <v>0</v>
      </c>
      <c r="G33" s="137"/>
      <c r="H33" s="137">
        <f t="shared" si="2"/>
        <v>0</v>
      </c>
      <c r="I33" s="137">
        <f t="shared" si="3"/>
        <v>0</v>
      </c>
      <c r="J33" s="137">
        <f>IF(F33&gt;VERİLER!$C$7,'İşçi Bilgileri'!M31+(F33-VERİLER!$C$7),0)</f>
        <v>0</v>
      </c>
      <c r="K33" s="137">
        <f>IF(VERİLER!$C$11&gt;0,ROUND(J33*0.15,2),0)</f>
        <v>0</v>
      </c>
      <c r="L33" s="359">
        <f t="shared" si="4"/>
        <v>0</v>
      </c>
      <c r="M33" s="139">
        <f t="shared" si="5"/>
        <v>0</v>
      </c>
      <c r="N33" s="137">
        <f t="shared" si="6"/>
        <v>0</v>
      </c>
      <c r="O33" s="359">
        <f t="shared" si="7"/>
        <v>0</v>
      </c>
      <c r="P33" s="140">
        <f t="shared" si="8"/>
        <v>0</v>
      </c>
      <c r="Q33" s="140">
        <v>0</v>
      </c>
      <c r="R33" s="137">
        <f t="shared" si="9"/>
        <v>0</v>
      </c>
      <c r="S33" s="141">
        <f t="shared" si="10"/>
        <v>0</v>
      </c>
      <c r="T33" s="137">
        <f t="shared" si="11"/>
        <v>0</v>
      </c>
      <c r="U33" s="137">
        <f>ROUND(VERİLER!$F$9*T33,3)</f>
        <v>0</v>
      </c>
      <c r="V33" s="336">
        <f t="shared" si="12"/>
        <v>0</v>
      </c>
      <c r="W33" s="113"/>
      <c r="X33" s="113"/>
      <c r="Y33" s="113"/>
    </row>
    <row r="34" spans="1:25" s="143" customFormat="1" x14ac:dyDescent="0.2">
      <c r="A34" s="299" t="str">
        <f>IF('İşçi Bilgileri'!A32="","",'İşçi Bilgileri'!A32)</f>
        <v/>
      </c>
      <c r="B34" s="300" t="str">
        <f>IF($A34="","",VLOOKUP($A34,'İşçi Bilgileri'!$A$2:$D$700,4,FALSE))</f>
        <v/>
      </c>
      <c r="C34" s="301" t="str">
        <f>CONCATENATE(IF($A34="","",VLOOKUP($A34,'İşçi Bilgileri'!$A$2:$D$700,2,FALSE))," ",IF($A34="","",VLOOKUP($A34,'İşçi Bilgileri'!$A$2:$D$700,3,FALSE)))</f>
        <v xml:space="preserve"> </v>
      </c>
      <c r="D34" s="137" t="str">
        <f>IF($A34="","",VERİLER!$C$5)</f>
        <v/>
      </c>
      <c r="E34" s="138" t="str">
        <f>IF($A34="","",Puantaj!AJ39)</f>
        <v/>
      </c>
      <c r="F34" s="137">
        <f t="shared" si="1"/>
        <v>0</v>
      </c>
      <c r="G34" s="137"/>
      <c r="H34" s="137">
        <f t="shared" si="2"/>
        <v>0</v>
      </c>
      <c r="I34" s="137">
        <f t="shared" si="3"/>
        <v>0</v>
      </c>
      <c r="J34" s="137">
        <f>IF(F34&gt;VERİLER!$C$7,'İşçi Bilgileri'!M32+(F34-VERİLER!$C$7),0)</f>
        <v>0</v>
      </c>
      <c r="K34" s="137">
        <f>IF(VERİLER!$C$11&gt;0,ROUND(J34*0.15,2),0)</f>
        <v>0</v>
      </c>
      <c r="L34" s="359">
        <f t="shared" si="4"/>
        <v>0</v>
      </c>
      <c r="M34" s="139">
        <f t="shared" si="5"/>
        <v>0</v>
      </c>
      <c r="N34" s="137">
        <f t="shared" si="6"/>
        <v>0</v>
      </c>
      <c r="O34" s="359">
        <f t="shared" si="7"/>
        <v>0</v>
      </c>
      <c r="P34" s="140">
        <f t="shared" si="8"/>
        <v>0</v>
      </c>
      <c r="Q34" s="140">
        <v>0</v>
      </c>
      <c r="R34" s="137">
        <f t="shared" si="9"/>
        <v>0</v>
      </c>
      <c r="S34" s="141">
        <f t="shared" si="10"/>
        <v>0</v>
      </c>
      <c r="T34" s="137">
        <f t="shared" si="11"/>
        <v>0</v>
      </c>
      <c r="U34" s="137">
        <f>ROUND(VERİLER!$F$9*T34,3)</f>
        <v>0</v>
      </c>
      <c r="V34" s="336">
        <f t="shared" si="12"/>
        <v>0</v>
      </c>
      <c r="W34" s="113"/>
      <c r="X34" s="113"/>
      <c r="Y34" s="113"/>
    </row>
    <row r="35" spans="1:25" s="143" customFormat="1" ht="15" customHeight="1" x14ac:dyDescent="0.2">
      <c r="A35" s="299" t="str">
        <f>IF('İşçi Bilgileri'!A33="","",'İşçi Bilgileri'!A33)</f>
        <v/>
      </c>
      <c r="B35" s="300" t="str">
        <f>IF($A35="","",VLOOKUP($A35,'İşçi Bilgileri'!$A$2:$D$700,4,FALSE))</f>
        <v/>
      </c>
      <c r="C35" s="301" t="str">
        <f>CONCATENATE(IF($A35="","",VLOOKUP($A35,'İşçi Bilgileri'!$A$2:$D$700,2,FALSE))," ",IF($A35="","",VLOOKUP($A35,'İşçi Bilgileri'!$A$2:$D$700,3,FALSE)))</f>
        <v xml:space="preserve"> </v>
      </c>
      <c r="D35" s="137" t="str">
        <f>IF($A35="","",VERİLER!$C$5)</f>
        <v/>
      </c>
      <c r="E35" s="138" t="str">
        <f>IF($A35="","",Puantaj!AJ40)</f>
        <v/>
      </c>
      <c r="F35" s="137">
        <f t="shared" si="1"/>
        <v>0</v>
      </c>
      <c r="G35" s="137"/>
      <c r="H35" s="137">
        <f t="shared" si="2"/>
        <v>0</v>
      </c>
      <c r="I35" s="137">
        <f t="shared" si="3"/>
        <v>0</v>
      </c>
      <c r="J35" s="137">
        <f>IF(F35&gt;VERİLER!$C$7,'İşçi Bilgileri'!M33+(F35-VERİLER!$C$7),0)</f>
        <v>0</v>
      </c>
      <c r="K35" s="137">
        <f>IF(VERİLER!$C$11&gt;0,ROUND(J35*0.15,2),0)</f>
        <v>0</v>
      </c>
      <c r="L35" s="359">
        <f t="shared" si="4"/>
        <v>0</v>
      </c>
      <c r="M35" s="139">
        <f t="shared" si="5"/>
        <v>0</v>
      </c>
      <c r="N35" s="137">
        <f t="shared" si="6"/>
        <v>0</v>
      </c>
      <c r="O35" s="359">
        <f t="shared" si="7"/>
        <v>0</v>
      </c>
      <c r="P35" s="140">
        <f t="shared" si="8"/>
        <v>0</v>
      </c>
      <c r="Q35" s="140">
        <v>0</v>
      </c>
      <c r="R35" s="137">
        <f t="shared" si="9"/>
        <v>0</v>
      </c>
      <c r="S35" s="141">
        <f t="shared" si="10"/>
        <v>0</v>
      </c>
      <c r="T35" s="137">
        <f t="shared" si="11"/>
        <v>0</v>
      </c>
      <c r="U35" s="137">
        <f>ROUND(VERİLER!$F$9*T35,3)</f>
        <v>0</v>
      </c>
      <c r="V35" s="336">
        <f t="shared" si="12"/>
        <v>0</v>
      </c>
      <c r="W35" s="113"/>
      <c r="X35" s="113"/>
      <c r="Y35" s="113"/>
    </row>
    <row r="36" spans="1:25" s="143" customFormat="1" ht="15.75" customHeight="1" x14ac:dyDescent="0.2">
      <c r="A36" s="299" t="str">
        <f>IF('İşçi Bilgileri'!A34="","",'İşçi Bilgileri'!A34)</f>
        <v/>
      </c>
      <c r="B36" s="300" t="str">
        <f>IF($A36="","",VLOOKUP($A36,'İşçi Bilgileri'!$A$2:$D$700,4,FALSE))</f>
        <v/>
      </c>
      <c r="C36" s="301" t="str">
        <f>CONCATENATE(IF($A36="","",VLOOKUP($A36,'İşçi Bilgileri'!$A$2:$D$700,2,FALSE))," ",IF($A36="","",VLOOKUP($A36,'İşçi Bilgileri'!$A$2:$D$700,3,FALSE)))</f>
        <v xml:space="preserve"> </v>
      </c>
      <c r="D36" s="137" t="str">
        <f>IF($A36="","",VERİLER!$C$5)</f>
        <v/>
      </c>
      <c r="E36" s="138" t="str">
        <f>IF($A36="","",Puantaj!AJ41)</f>
        <v/>
      </c>
      <c r="F36" s="137">
        <f t="shared" si="1"/>
        <v>0</v>
      </c>
      <c r="G36" s="137"/>
      <c r="H36" s="137">
        <f t="shared" si="2"/>
        <v>0</v>
      </c>
      <c r="I36" s="137">
        <f t="shared" si="3"/>
        <v>0</v>
      </c>
      <c r="J36" s="137">
        <f>IF(F36&gt;VERİLER!$C$7,'İşçi Bilgileri'!M34+(F36-VERİLER!$C$7),0)</f>
        <v>0</v>
      </c>
      <c r="K36" s="137">
        <f>IF(VERİLER!$C$11&gt;0,ROUND(J36*0.15,2),0)</f>
        <v>0</v>
      </c>
      <c r="L36" s="359">
        <f t="shared" si="4"/>
        <v>0</v>
      </c>
      <c r="M36" s="139">
        <f t="shared" si="5"/>
        <v>0</v>
      </c>
      <c r="N36" s="137">
        <f t="shared" si="6"/>
        <v>0</v>
      </c>
      <c r="O36" s="359">
        <f t="shared" si="7"/>
        <v>0</v>
      </c>
      <c r="P36" s="140">
        <f t="shared" si="8"/>
        <v>0</v>
      </c>
      <c r="Q36" s="140">
        <v>0</v>
      </c>
      <c r="R36" s="137">
        <f t="shared" si="9"/>
        <v>0</v>
      </c>
      <c r="S36" s="141">
        <f t="shared" si="10"/>
        <v>0</v>
      </c>
      <c r="T36" s="137">
        <f t="shared" si="11"/>
        <v>0</v>
      </c>
      <c r="U36" s="137">
        <f>ROUND(VERİLER!$F$9*T36,3)</f>
        <v>0</v>
      </c>
      <c r="V36" s="336">
        <f t="shared" si="12"/>
        <v>0</v>
      </c>
      <c r="W36" s="113"/>
      <c r="X36" s="113"/>
      <c r="Y36" s="113"/>
    </row>
    <row r="37" spans="1:25" s="143" customFormat="1" ht="15" customHeight="1" x14ac:dyDescent="0.2">
      <c r="A37" s="299" t="str">
        <f>IF('İşçi Bilgileri'!A35="","",'İşçi Bilgileri'!A35)</f>
        <v/>
      </c>
      <c r="B37" s="300" t="str">
        <f>IF($A37="","",VLOOKUP($A37,'İşçi Bilgileri'!$A$2:$D$700,4,FALSE))</f>
        <v/>
      </c>
      <c r="C37" s="301" t="str">
        <f>CONCATENATE(IF($A37="","",VLOOKUP($A37,'İşçi Bilgileri'!$A$2:$D$700,2,FALSE))," ",IF($A37="","",VLOOKUP($A37,'İşçi Bilgileri'!$A$2:$D$700,3,FALSE)))</f>
        <v xml:space="preserve"> </v>
      </c>
      <c r="D37" s="137" t="str">
        <f>IF($A37="","",VERİLER!$C$5)</f>
        <v/>
      </c>
      <c r="E37" s="138" t="str">
        <f>IF($A37="","",Puantaj!AJ42)</f>
        <v/>
      </c>
      <c r="F37" s="137">
        <f t="shared" si="1"/>
        <v>0</v>
      </c>
      <c r="G37" s="137"/>
      <c r="H37" s="137">
        <f t="shared" si="2"/>
        <v>0</v>
      </c>
      <c r="I37" s="137">
        <f t="shared" si="3"/>
        <v>0</v>
      </c>
      <c r="J37" s="137">
        <f>IF(F37&gt;VERİLER!$C$7,'İşçi Bilgileri'!M35+(F37-VERİLER!$C$7),0)</f>
        <v>0</v>
      </c>
      <c r="K37" s="137">
        <f>IF(VERİLER!$C$11&gt;0,ROUND(J37*0.15,2),0)</f>
        <v>0</v>
      </c>
      <c r="L37" s="359">
        <f t="shared" si="4"/>
        <v>0</v>
      </c>
      <c r="M37" s="139">
        <f t="shared" si="5"/>
        <v>0</v>
      </c>
      <c r="N37" s="137">
        <f t="shared" si="6"/>
        <v>0</v>
      </c>
      <c r="O37" s="359">
        <f t="shared" si="7"/>
        <v>0</v>
      </c>
      <c r="P37" s="140">
        <f t="shared" si="8"/>
        <v>0</v>
      </c>
      <c r="Q37" s="140">
        <v>0</v>
      </c>
      <c r="R37" s="137">
        <f t="shared" si="9"/>
        <v>0</v>
      </c>
      <c r="S37" s="141">
        <f t="shared" si="10"/>
        <v>0</v>
      </c>
      <c r="T37" s="137">
        <f t="shared" si="11"/>
        <v>0</v>
      </c>
      <c r="U37" s="137">
        <f>ROUND(VERİLER!$F$9*T37,3)</f>
        <v>0</v>
      </c>
      <c r="V37" s="336">
        <f t="shared" si="12"/>
        <v>0</v>
      </c>
      <c r="W37" s="113"/>
      <c r="X37" s="113"/>
      <c r="Y37" s="113"/>
    </row>
    <row r="38" spans="1:25" s="143" customFormat="1" ht="15" customHeight="1" x14ac:dyDescent="0.2">
      <c r="A38" s="299" t="str">
        <f>IF('İşçi Bilgileri'!A36="","",'İşçi Bilgileri'!A36)</f>
        <v/>
      </c>
      <c r="B38" s="300" t="str">
        <f>IF($A38="","",VLOOKUP($A38,'İşçi Bilgileri'!$A$2:$D$700,4,FALSE))</f>
        <v/>
      </c>
      <c r="C38" s="301" t="str">
        <f>CONCATENATE(IF($A38="","",VLOOKUP($A38,'İşçi Bilgileri'!$A$2:$D$700,2,FALSE))," ",IF($A38="","",VLOOKUP($A38,'İşçi Bilgileri'!$A$2:$D$700,3,FALSE)))</f>
        <v xml:space="preserve"> </v>
      </c>
      <c r="D38" s="137" t="str">
        <f>IF($A38="","",VERİLER!$C$5)</f>
        <v/>
      </c>
      <c r="E38" s="138" t="str">
        <f>IF($A38="","",Puantaj!AJ43)</f>
        <v/>
      </c>
      <c r="F38" s="137">
        <f t="shared" si="1"/>
        <v>0</v>
      </c>
      <c r="G38" s="137"/>
      <c r="H38" s="137">
        <f t="shared" si="2"/>
        <v>0</v>
      </c>
      <c r="I38" s="137">
        <f t="shared" si="3"/>
        <v>0</v>
      </c>
      <c r="J38" s="137">
        <f>IF(F38&gt;VERİLER!$C$7,'İşçi Bilgileri'!M36+(F38-VERİLER!$C$7),0)</f>
        <v>0</v>
      </c>
      <c r="K38" s="137">
        <f>IF(VERİLER!$C$11&gt;0,ROUND(J38*0.15,2),0)</f>
        <v>0</v>
      </c>
      <c r="L38" s="359">
        <f t="shared" si="4"/>
        <v>0</v>
      </c>
      <c r="M38" s="139">
        <f t="shared" si="5"/>
        <v>0</v>
      </c>
      <c r="N38" s="137">
        <f t="shared" si="6"/>
        <v>0</v>
      </c>
      <c r="O38" s="359">
        <f t="shared" si="7"/>
        <v>0</v>
      </c>
      <c r="P38" s="140">
        <f t="shared" si="8"/>
        <v>0</v>
      </c>
      <c r="Q38" s="140">
        <v>0</v>
      </c>
      <c r="R38" s="137">
        <f t="shared" si="9"/>
        <v>0</v>
      </c>
      <c r="S38" s="141">
        <f t="shared" si="10"/>
        <v>0</v>
      </c>
      <c r="T38" s="137">
        <f t="shared" si="11"/>
        <v>0</v>
      </c>
      <c r="U38" s="137">
        <f>ROUND(VERİLER!$F$9*T38,3)</f>
        <v>0</v>
      </c>
      <c r="V38" s="336">
        <f t="shared" si="12"/>
        <v>0</v>
      </c>
      <c r="W38" s="113"/>
      <c r="X38" s="113"/>
      <c r="Y38" s="113"/>
    </row>
    <row r="39" spans="1:25" s="143" customFormat="1" ht="15" customHeight="1" x14ac:dyDescent="0.2">
      <c r="A39" s="299" t="str">
        <f>IF('İşçi Bilgileri'!A37="","",'İşçi Bilgileri'!A37)</f>
        <v/>
      </c>
      <c r="B39" s="300" t="str">
        <f>IF($A39="","",VLOOKUP($A39,'İşçi Bilgileri'!$A$2:$D$700,4,FALSE))</f>
        <v/>
      </c>
      <c r="C39" s="301" t="str">
        <f>CONCATENATE(IF($A39="","",VLOOKUP($A39,'İşçi Bilgileri'!$A$2:$D$700,2,FALSE))," ",IF($A39="","",VLOOKUP($A39,'İşçi Bilgileri'!$A$2:$D$700,3,FALSE)))</f>
        <v xml:space="preserve"> </v>
      </c>
      <c r="D39" s="137" t="str">
        <f>IF($A39="","",VERİLER!$C$5)</f>
        <v/>
      </c>
      <c r="E39" s="138" t="str">
        <f>IF($A39="","",Puantaj!AJ44)</f>
        <v/>
      </c>
      <c r="F39" s="137">
        <f t="shared" si="1"/>
        <v>0</v>
      </c>
      <c r="G39" s="137"/>
      <c r="H39" s="137">
        <f t="shared" si="2"/>
        <v>0</v>
      </c>
      <c r="I39" s="137">
        <f t="shared" si="3"/>
        <v>0</v>
      </c>
      <c r="J39" s="137">
        <f>IF(F39&gt;VERİLER!$C$7,'İşçi Bilgileri'!M37+(F39-VERİLER!$C$7),0)</f>
        <v>0</v>
      </c>
      <c r="K39" s="137">
        <f>IF(VERİLER!$C$11&gt;0,ROUND(J39*0.15,2),0)</f>
        <v>0</v>
      </c>
      <c r="L39" s="359">
        <f t="shared" si="4"/>
        <v>0</v>
      </c>
      <c r="M39" s="139">
        <f t="shared" si="5"/>
        <v>0</v>
      </c>
      <c r="N39" s="137">
        <f t="shared" si="6"/>
        <v>0</v>
      </c>
      <c r="O39" s="359">
        <f t="shared" si="7"/>
        <v>0</v>
      </c>
      <c r="P39" s="140">
        <f t="shared" si="8"/>
        <v>0</v>
      </c>
      <c r="Q39" s="140">
        <v>0</v>
      </c>
      <c r="R39" s="137">
        <f t="shared" si="9"/>
        <v>0</v>
      </c>
      <c r="S39" s="141">
        <f t="shared" si="10"/>
        <v>0</v>
      </c>
      <c r="T39" s="137">
        <f t="shared" si="11"/>
        <v>0</v>
      </c>
      <c r="U39" s="137">
        <f>ROUND(VERİLER!$F$9*T39,3)</f>
        <v>0</v>
      </c>
      <c r="V39" s="336">
        <f t="shared" si="12"/>
        <v>0</v>
      </c>
      <c r="W39" s="113"/>
      <c r="X39" s="113"/>
      <c r="Y39" s="113"/>
    </row>
    <row r="40" spans="1:25" s="143" customFormat="1" ht="15" customHeight="1" x14ac:dyDescent="0.2">
      <c r="A40" s="299" t="str">
        <f>IF('İşçi Bilgileri'!A38="","",'İşçi Bilgileri'!A38)</f>
        <v/>
      </c>
      <c r="B40" s="300" t="str">
        <f>IF($A40="","",VLOOKUP($A40,'İşçi Bilgileri'!$A$2:$D$700,4,FALSE))</f>
        <v/>
      </c>
      <c r="C40" s="301" t="str">
        <f>CONCATENATE(IF($A40="","",VLOOKUP($A40,'İşçi Bilgileri'!$A$2:$D$700,2,FALSE))," ",IF($A40="","",VLOOKUP($A40,'İşçi Bilgileri'!$A$2:$D$700,3,FALSE)))</f>
        <v xml:space="preserve"> </v>
      </c>
      <c r="D40" s="137" t="str">
        <f>IF($A40="","",VERİLER!$C$5)</f>
        <v/>
      </c>
      <c r="E40" s="138" t="str">
        <f>IF($A40="","",Puantaj!AJ45)</f>
        <v/>
      </c>
      <c r="F40" s="137">
        <f t="shared" si="1"/>
        <v>0</v>
      </c>
      <c r="G40" s="137"/>
      <c r="H40" s="137">
        <f t="shared" si="2"/>
        <v>0</v>
      </c>
      <c r="I40" s="137">
        <f t="shared" si="3"/>
        <v>0</v>
      </c>
      <c r="J40" s="137">
        <f>IF(F40&gt;VERİLER!$C$7,'İşçi Bilgileri'!M38+(F40-VERİLER!$C$7),0)</f>
        <v>0</v>
      </c>
      <c r="K40" s="137">
        <f>IF(VERİLER!$C$11&gt;0,ROUND(J40*0.15,2),0)</f>
        <v>0</v>
      </c>
      <c r="L40" s="359">
        <f t="shared" si="4"/>
        <v>0</v>
      </c>
      <c r="M40" s="139">
        <f t="shared" si="5"/>
        <v>0</v>
      </c>
      <c r="N40" s="137">
        <f t="shared" si="6"/>
        <v>0</v>
      </c>
      <c r="O40" s="359">
        <f t="shared" si="7"/>
        <v>0</v>
      </c>
      <c r="P40" s="140">
        <f t="shared" si="8"/>
        <v>0</v>
      </c>
      <c r="Q40" s="140">
        <v>0</v>
      </c>
      <c r="R40" s="137">
        <f t="shared" si="9"/>
        <v>0</v>
      </c>
      <c r="S40" s="141">
        <f t="shared" si="10"/>
        <v>0</v>
      </c>
      <c r="T40" s="137">
        <f t="shared" si="11"/>
        <v>0</v>
      </c>
      <c r="U40" s="137">
        <f>ROUND(VERİLER!$F$9*T40,3)</f>
        <v>0</v>
      </c>
      <c r="V40" s="336">
        <f t="shared" si="12"/>
        <v>0</v>
      </c>
      <c r="W40" s="113"/>
      <c r="X40" s="113"/>
      <c r="Y40" s="113"/>
    </row>
    <row r="41" spans="1:25" s="143" customFormat="1" ht="15" customHeight="1" x14ac:dyDescent="0.2">
      <c r="A41" s="299" t="str">
        <f>IF('İşçi Bilgileri'!A39="","",'İşçi Bilgileri'!A39)</f>
        <v/>
      </c>
      <c r="B41" s="300" t="str">
        <f>IF($A41="","",VLOOKUP($A41,'İşçi Bilgileri'!$A$2:$D$700,4,FALSE))</f>
        <v/>
      </c>
      <c r="C41" s="301" t="str">
        <f>CONCATENATE(IF($A41="","",VLOOKUP($A41,'İşçi Bilgileri'!$A$2:$D$700,2,FALSE))," ",IF($A41="","",VLOOKUP($A41,'İşçi Bilgileri'!$A$2:$D$700,3,FALSE)))</f>
        <v xml:space="preserve"> </v>
      </c>
      <c r="D41" s="137" t="str">
        <f>IF($A41="","",VERİLER!$C$5)</f>
        <v/>
      </c>
      <c r="E41" s="138" t="str">
        <f>IF($A41="","",Puantaj!AJ46)</f>
        <v/>
      </c>
      <c r="F41" s="137">
        <f t="shared" si="1"/>
        <v>0</v>
      </c>
      <c r="G41" s="137"/>
      <c r="H41" s="137">
        <f t="shared" si="2"/>
        <v>0</v>
      </c>
      <c r="I41" s="137">
        <f t="shared" si="3"/>
        <v>0</v>
      </c>
      <c r="J41" s="137">
        <f>IF(F41&gt;VERİLER!$C$7,'İşçi Bilgileri'!M39+(F41-VERİLER!$C$7),0)</f>
        <v>0</v>
      </c>
      <c r="K41" s="137">
        <f>IF(VERİLER!$C$11&gt;0,ROUND(J41*0.15,2),0)</f>
        <v>0</v>
      </c>
      <c r="L41" s="359">
        <f t="shared" si="4"/>
        <v>0</v>
      </c>
      <c r="M41" s="139">
        <f t="shared" si="5"/>
        <v>0</v>
      </c>
      <c r="N41" s="137">
        <f t="shared" si="6"/>
        <v>0</v>
      </c>
      <c r="O41" s="359">
        <f t="shared" si="7"/>
        <v>0</v>
      </c>
      <c r="P41" s="140">
        <f t="shared" si="8"/>
        <v>0</v>
      </c>
      <c r="Q41" s="140">
        <v>0</v>
      </c>
      <c r="R41" s="137">
        <f t="shared" si="9"/>
        <v>0</v>
      </c>
      <c r="S41" s="141">
        <f t="shared" si="10"/>
        <v>0</v>
      </c>
      <c r="T41" s="137">
        <f t="shared" si="11"/>
        <v>0</v>
      </c>
      <c r="U41" s="137">
        <f>ROUND(VERİLER!$F$9*T41,3)</f>
        <v>0</v>
      </c>
      <c r="V41" s="336">
        <f t="shared" si="12"/>
        <v>0</v>
      </c>
      <c r="W41" s="113"/>
      <c r="X41" s="113"/>
      <c r="Y41" s="113"/>
    </row>
    <row r="42" spans="1:25" s="143" customFormat="1" ht="15" customHeight="1" x14ac:dyDescent="0.2">
      <c r="A42" s="299" t="str">
        <f>IF('İşçi Bilgileri'!A40="","",'İşçi Bilgileri'!A40)</f>
        <v/>
      </c>
      <c r="B42" s="300" t="str">
        <f>IF($A42="","",VLOOKUP($A42,'İşçi Bilgileri'!$A$2:$D$700,4,FALSE))</f>
        <v/>
      </c>
      <c r="C42" s="301" t="str">
        <f>CONCATENATE(IF($A42="","",VLOOKUP($A42,'İşçi Bilgileri'!$A$2:$D$700,2,FALSE))," ",IF($A42="","",VLOOKUP($A42,'İşçi Bilgileri'!$A$2:$D$700,3,FALSE)))</f>
        <v xml:space="preserve"> </v>
      </c>
      <c r="D42" s="137" t="str">
        <f>IF($A42="","",VERİLER!$C$5)</f>
        <v/>
      </c>
      <c r="E42" s="138" t="str">
        <f>IF($A42="","",Puantaj!AJ47)</f>
        <v/>
      </c>
      <c r="F42" s="137">
        <f t="shared" si="1"/>
        <v>0</v>
      </c>
      <c r="G42" s="137"/>
      <c r="H42" s="137">
        <f t="shared" si="2"/>
        <v>0</v>
      </c>
      <c r="I42" s="137">
        <f t="shared" si="3"/>
        <v>0</v>
      </c>
      <c r="J42" s="137">
        <f>IF(F42&gt;VERİLER!$C$7,'İşçi Bilgileri'!M40+(F42-VERİLER!$C$7),0)</f>
        <v>0</v>
      </c>
      <c r="K42" s="137">
        <f>IF(VERİLER!$C$11&gt;0,ROUND(J42*0.15,2),0)</f>
        <v>0</v>
      </c>
      <c r="L42" s="359">
        <f t="shared" si="4"/>
        <v>0</v>
      </c>
      <c r="M42" s="139">
        <f t="shared" si="5"/>
        <v>0</v>
      </c>
      <c r="N42" s="137">
        <f t="shared" si="6"/>
        <v>0</v>
      </c>
      <c r="O42" s="359">
        <f t="shared" si="7"/>
        <v>0</v>
      </c>
      <c r="P42" s="140">
        <f t="shared" si="8"/>
        <v>0</v>
      </c>
      <c r="Q42" s="140">
        <v>0</v>
      </c>
      <c r="R42" s="137">
        <f t="shared" si="9"/>
        <v>0</v>
      </c>
      <c r="S42" s="141">
        <f t="shared" si="10"/>
        <v>0</v>
      </c>
      <c r="T42" s="137">
        <f t="shared" si="11"/>
        <v>0</v>
      </c>
      <c r="U42" s="137">
        <f>ROUND(VERİLER!$F$9*T42,3)</f>
        <v>0</v>
      </c>
      <c r="V42" s="336">
        <f t="shared" si="12"/>
        <v>0</v>
      </c>
      <c r="W42" s="113"/>
      <c r="X42" s="113"/>
      <c r="Y42" s="113"/>
    </row>
    <row r="43" spans="1:25" s="143" customFormat="1" ht="15" customHeight="1" x14ac:dyDescent="0.2">
      <c r="A43" s="299" t="str">
        <f>IF('İşçi Bilgileri'!A41="","",'İşçi Bilgileri'!A41)</f>
        <v/>
      </c>
      <c r="B43" s="300" t="str">
        <f>IF($A43="","",VLOOKUP($A43,'İşçi Bilgileri'!$A$2:$D$700,4,FALSE))</f>
        <v/>
      </c>
      <c r="C43" s="301" t="str">
        <f>CONCATENATE(IF($A43="","",VLOOKUP($A43,'İşçi Bilgileri'!$A$2:$D$700,2,FALSE))," ",IF($A43="","",VLOOKUP($A43,'İşçi Bilgileri'!$A$2:$D$700,3,FALSE)))</f>
        <v xml:space="preserve"> </v>
      </c>
      <c r="D43" s="137" t="str">
        <f>IF($A43="","",VERİLER!$C$5)</f>
        <v/>
      </c>
      <c r="E43" s="138" t="str">
        <f>IF($A43="","",Puantaj!AJ48)</f>
        <v/>
      </c>
      <c r="F43" s="137">
        <f t="shared" si="1"/>
        <v>0</v>
      </c>
      <c r="G43" s="137"/>
      <c r="H43" s="137">
        <f t="shared" si="2"/>
        <v>0</v>
      </c>
      <c r="I43" s="137">
        <f t="shared" si="3"/>
        <v>0</v>
      </c>
      <c r="J43" s="137">
        <f>IF(F43&gt;VERİLER!$C$7,'İşçi Bilgileri'!M41+(F43-VERİLER!$C$7),0)</f>
        <v>0</v>
      </c>
      <c r="K43" s="137">
        <f>IF(VERİLER!$C$11&gt;0,ROUND(J43*0.15,2),0)</f>
        <v>0</v>
      </c>
      <c r="L43" s="359">
        <f t="shared" si="4"/>
        <v>0</v>
      </c>
      <c r="M43" s="139">
        <f t="shared" si="5"/>
        <v>0</v>
      </c>
      <c r="N43" s="137">
        <f t="shared" si="6"/>
        <v>0</v>
      </c>
      <c r="O43" s="359">
        <f t="shared" si="7"/>
        <v>0</v>
      </c>
      <c r="P43" s="140">
        <f t="shared" si="8"/>
        <v>0</v>
      </c>
      <c r="Q43" s="140">
        <v>0</v>
      </c>
      <c r="R43" s="137">
        <f t="shared" si="9"/>
        <v>0</v>
      </c>
      <c r="S43" s="141">
        <f t="shared" si="10"/>
        <v>0</v>
      </c>
      <c r="T43" s="137">
        <f t="shared" si="11"/>
        <v>0</v>
      </c>
      <c r="U43" s="137">
        <f>ROUND(VERİLER!$F$9*T43,3)</f>
        <v>0</v>
      </c>
      <c r="V43" s="336">
        <f t="shared" si="12"/>
        <v>0</v>
      </c>
      <c r="W43" s="113"/>
      <c r="X43" s="113"/>
      <c r="Y43" s="113"/>
    </row>
    <row r="44" spans="1:25" s="143" customFormat="1" ht="15" customHeight="1" x14ac:dyDescent="0.2">
      <c r="A44" s="299" t="str">
        <f>IF('İşçi Bilgileri'!A42="","",'İşçi Bilgileri'!A42)</f>
        <v/>
      </c>
      <c r="B44" s="300" t="str">
        <f>IF($A44="","",VLOOKUP($A44,'İşçi Bilgileri'!$A$2:$D$700,4,FALSE))</f>
        <v/>
      </c>
      <c r="C44" s="301" t="str">
        <f>CONCATENATE(IF($A44="","",VLOOKUP($A44,'İşçi Bilgileri'!$A$2:$D$700,2,FALSE))," ",IF($A44="","",VLOOKUP($A44,'İşçi Bilgileri'!$A$2:$D$700,3,FALSE)))</f>
        <v xml:space="preserve"> </v>
      </c>
      <c r="D44" s="137" t="str">
        <f>IF($A44="","",VERİLER!$C$5)</f>
        <v/>
      </c>
      <c r="E44" s="138" t="str">
        <f>IF($A44="","",Puantaj!AJ49)</f>
        <v/>
      </c>
      <c r="F44" s="137">
        <f t="shared" si="1"/>
        <v>0</v>
      </c>
      <c r="G44" s="137"/>
      <c r="H44" s="137">
        <f t="shared" si="2"/>
        <v>0</v>
      </c>
      <c r="I44" s="137">
        <f t="shared" si="3"/>
        <v>0</v>
      </c>
      <c r="J44" s="137">
        <f>IF(F44&gt;VERİLER!$C$7,'İşçi Bilgileri'!M42+(F44-VERİLER!$C$7),0)</f>
        <v>0</v>
      </c>
      <c r="K44" s="137">
        <f>IF(VERİLER!$C$11&gt;0,ROUND(J44*0.15,2),0)</f>
        <v>0</v>
      </c>
      <c r="L44" s="359">
        <f t="shared" si="4"/>
        <v>0</v>
      </c>
      <c r="M44" s="139">
        <f t="shared" si="5"/>
        <v>0</v>
      </c>
      <c r="N44" s="137">
        <f t="shared" si="6"/>
        <v>0</v>
      </c>
      <c r="O44" s="359">
        <f t="shared" si="7"/>
        <v>0</v>
      </c>
      <c r="P44" s="140">
        <f t="shared" si="8"/>
        <v>0</v>
      </c>
      <c r="Q44" s="140">
        <v>0</v>
      </c>
      <c r="R44" s="137">
        <f t="shared" si="9"/>
        <v>0</v>
      </c>
      <c r="S44" s="141">
        <f t="shared" si="10"/>
        <v>0</v>
      </c>
      <c r="T44" s="137">
        <f t="shared" si="11"/>
        <v>0</v>
      </c>
      <c r="U44" s="137">
        <f>ROUND(VERİLER!$F$9*T44,3)</f>
        <v>0</v>
      </c>
      <c r="V44" s="336">
        <f t="shared" si="12"/>
        <v>0</v>
      </c>
      <c r="W44" s="113"/>
      <c r="X44" s="113"/>
      <c r="Y44" s="113"/>
    </row>
    <row r="45" spans="1:25" s="143" customFormat="1" ht="15" customHeight="1" x14ac:dyDescent="0.2">
      <c r="A45" s="299" t="str">
        <f>IF('İşçi Bilgileri'!A43="","",'İşçi Bilgileri'!A43)</f>
        <v/>
      </c>
      <c r="B45" s="300" t="str">
        <f>IF($A45="","",VLOOKUP($A45,'İşçi Bilgileri'!$A$2:$D$700,4,FALSE))</f>
        <v/>
      </c>
      <c r="C45" s="301" t="str">
        <f>CONCATENATE(IF($A45="","",VLOOKUP($A45,'İşçi Bilgileri'!$A$2:$D$700,2,FALSE))," ",IF($A45="","",VLOOKUP($A45,'İşçi Bilgileri'!$A$2:$D$700,3,FALSE)))</f>
        <v xml:space="preserve"> </v>
      </c>
      <c r="D45" s="137" t="str">
        <f>IF($A45="","",VERİLER!$C$5)</f>
        <v/>
      </c>
      <c r="E45" s="138" t="str">
        <f>IF($A45="","",Puantaj!AJ50)</f>
        <v/>
      </c>
      <c r="F45" s="137">
        <f t="shared" si="1"/>
        <v>0</v>
      </c>
      <c r="G45" s="137"/>
      <c r="H45" s="137">
        <f t="shared" si="2"/>
        <v>0</v>
      </c>
      <c r="I45" s="137">
        <f t="shared" si="3"/>
        <v>0</v>
      </c>
      <c r="J45" s="137">
        <f>IF(F45&gt;VERİLER!$C$7,'İşçi Bilgileri'!M43+(F45-VERİLER!$C$7),0)</f>
        <v>0</v>
      </c>
      <c r="K45" s="137">
        <f>IF(VERİLER!$C$11&gt;0,ROUND(J45*0.15,2),0)</f>
        <v>0</v>
      </c>
      <c r="L45" s="359">
        <f t="shared" si="4"/>
        <v>0</v>
      </c>
      <c r="M45" s="139">
        <f t="shared" si="5"/>
        <v>0</v>
      </c>
      <c r="N45" s="137">
        <f t="shared" si="6"/>
        <v>0</v>
      </c>
      <c r="O45" s="359">
        <f t="shared" si="7"/>
        <v>0</v>
      </c>
      <c r="P45" s="140">
        <f t="shared" si="8"/>
        <v>0</v>
      </c>
      <c r="Q45" s="140">
        <v>0</v>
      </c>
      <c r="R45" s="137">
        <f t="shared" si="9"/>
        <v>0</v>
      </c>
      <c r="S45" s="141">
        <f t="shared" si="10"/>
        <v>0</v>
      </c>
      <c r="T45" s="137">
        <f t="shared" si="11"/>
        <v>0</v>
      </c>
      <c r="U45" s="137">
        <f>ROUND(VERİLER!$F$9*T45,3)</f>
        <v>0</v>
      </c>
      <c r="V45" s="336">
        <f t="shared" si="12"/>
        <v>0</v>
      </c>
      <c r="W45" s="113"/>
      <c r="X45" s="113"/>
      <c r="Y45" s="113"/>
    </row>
    <row r="46" spans="1:25" s="143" customFormat="1" ht="15" customHeight="1" x14ac:dyDescent="0.2">
      <c r="A46" s="299" t="str">
        <f>IF('İşçi Bilgileri'!A44="","",'İşçi Bilgileri'!A44)</f>
        <v/>
      </c>
      <c r="B46" s="300" t="str">
        <f>IF($A46="","",VLOOKUP($A46,'İşçi Bilgileri'!$A$2:$D$700,4,FALSE))</f>
        <v/>
      </c>
      <c r="C46" s="301" t="str">
        <f>CONCATENATE(IF($A46="","",VLOOKUP($A46,'İşçi Bilgileri'!$A$2:$D$700,2,FALSE))," ",IF($A46="","",VLOOKUP($A46,'İşçi Bilgileri'!$A$2:$D$700,3,FALSE)))</f>
        <v xml:space="preserve"> </v>
      </c>
      <c r="D46" s="137" t="str">
        <f>IF($A46="","",VERİLER!$C$5)</f>
        <v/>
      </c>
      <c r="E46" s="138" t="str">
        <f>IF($A46="","",Puantaj!AJ51)</f>
        <v/>
      </c>
      <c r="F46" s="137">
        <f t="shared" si="1"/>
        <v>0</v>
      </c>
      <c r="G46" s="137"/>
      <c r="H46" s="137">
        <f t="shared" si="2"/>
        <v>0</v>
      </c>
      <c r="I46" s="137">
        <f t="shared" si="3"/>
        <v>0</v>
      </c>
      <c r="J46" s="137">
        <f>IF(F46&gt;VERİLER!$C$7,'İşçi Bilgileri'!M44+(F46-VERİLER!$C$7),0)</f>
        <v>0</v>
      </c>
      <c r="K46" s="137">
        <f>IF(VERİLER!$C$11&gt;0,ROUND(J46*0.15,2),0)</f>
        <v>0</v>
      </c>
      <c r="L46" s="359">
        <f t="shared" si="4"/>
        <v>0</v>
      </c>
      <c r="M46" s="139">
        <f t="shared" si="5"/>
        <v>0</v>
      </c>
      <c r="N46" s="137">
        <f t="shared" si="6"/>
        <v>0</v>
      </c>
      <c r="O46" s="359">
        <f t="shared" si="7"/>
        <v>0</v>
      </c>
      <c r="P46" s="140">
        <f t="shared" si="8"/>
        <v>0</v>
      </c>
      <c r="Q46" s="140">
        <v>0</v>
      </c>
      <c r="R46" s="137">
        <f t="shared" si="9"/>
        <v>0</v>
      </c>
      <c r="S46" s="141">
        <f t="shared" si="10"/>
        <v>0</v>
      </c>
      <c r="T46" s="137">
        <f t="shared" si="11"/>
        <v>0</v>
      </c>
      <c r="U46" s="137">
        <f>ROUND(VERİLER!$F$9*T46,3)</f>
        <v>0</v>
      </c>
      <c r="V46" s="336">
        <f t="shared" si="12"/>
        <v>0</v>
      </c>
      <c r="W46" s="113"/>
      <c r="X46" s="113"/>
      <c r="Y46" s="113"/>
    </row>
    <row r="47" spans="1:25" s="143" customFormat="1" ht="15" customHeight="1" x14ac:dyDescent="0.2">
      <c r="A47" s="299" t="str">
        <f>IF('İşçi Bilgileri'!A45="","",'İşçi Bilgileri'!A45)</f>
        <v/>
      </c>
      <c r="B47" s="300" t="str">
        <f>IF($A47="","",VLOOKUP($A47,'İşçi Bilgileri'!$A$2:$D$700,4,FALSE))</f>
        <v/>
      </c>
      <c r="C47" s="301" t="str">
        <f>CONCATENATE(IF($A47="","",VLOOKUP($A47,'İşçi Bilgileri'!$A$2:$D$700,2,FALSE))," ",IF($A47="","",VLOOKUP($A47,'İşçi Bilgileri'!$A$2:$D$700,3,FALSE)))</f>
        <v xml:space="preserve"> </v>
      </c>
      <c r="D47" s="137" t="str">
        <f>IF($A47="","",VERİLER!$C$5)</f>
        <v/>
      </c>
      <c r="E47" s="138" t="str">
        <f>IF($A47="","",Puantaj!AJ52)</f>
        <v/>
      </c>
      <c r="F47" s="137">
        <f t="shared" si="1"/>
        <v>0</v>
      </c>
      <c r="G47" s="137"/>
      <c r="H47" s="137">
        <f t="shared" si="2"/>
        <v>0</v>
      </c>
      <c r="I47" s="137">
        <f t="shared" si="3"/>
        <v>0</v>
      </c>
      <c r="J47" s="137">
        <f>IF(F47&gt;VERİLER!$C$7,'İşçi Bilgileri'!M45+(F47-VERİLER!$C$7),0)</f>
        <v>0</v>
      </c>
      <c r="K47" s="137">
        <f>IF(VERİLER!$C$11&gt;0,ROUND(J47*0.15,2),0)</f>
        <v>0</v>
      </c>
      <c r="L47" s="359">
        <f t="shared" si="4"/>
        <v>0</v>
      </c>
      <c r="M47" s="139">
        <f t="shared" si="5"/>
        <v>0</v>
      </c>
      <c r="N47" s="137">
        <f t="shared" si="6"/>
        <v>0</v>
      </c>
      <c r="O47" s="359">
        <f t="shared" si="7"/>
        <v>0</v>
      </c>
      <c r="P47" s="140">
        <f t="shared" si="8"/>
        <v>0</v>
      </c>
      <c r="Q47" s="140">
        <v>0</v>
      </c>
      <c r="R47" s="137">
        <f t="shared" si="9"/>
        <v>0</v>
      </c>
      <c r="S47" s="141">
        <f t="shared" si="10"/>
        <v>0</v>
      </c>
      <c r="T47" s="137">
        <f t="shared" si="11"/>
        <v>0</v>
      </c>
      <c r="U47" s="137">
        <f>ROUND(VERİLER!$F$9*T47,3)</f>
        <v>0</v>
      </c>
      <c r="V47" s="336">
        <f t="shared" si="12"/>
        <v>0</v>
      </c>
      <c r="W47" s="113"/>
      <c r="X47" s="113"/>
      <c r="Y47" s="113"/>
    </row>
    <row r="48" spans="1:25" s="143" customFormat="1" ht="15" customHeight="1" x14ac:dyDescent="0.2">
      <c r="A48" s="299" t="str">
        <f>IF('İşçi Bilgileri'!A46="","",'İşçi Bilgileri'!A46)</f>
        <v/>
      </c>
      <c r="B48" s="300" t="str">
        <f>IF($A48="","",VLOOKUP($A48,'İşçi Bilgileri'!$A$2:$D$700,4,FALSE))</f>
        <v/>
      </c>
      <c r="C48" s="301" t="str">
        <f>CONCATENATE(IF($A48="","",VLOOKUP($A48,'İşçi Bilgileri'!$A$2:$D$700,2,FALSE))," ",IF($A48="","",VLOOKUP($A48,'İşçi Bilgileri'!$A$2:$D$700,3,FALSE)))</f>
        <v xml:space="preserve"> </v>
      </c>
      <c r="D48" s="137" t="str">
        <f>IF($A48="","",VERİLER!$C$5)</f>
        <v/>
      </c>
      <c r="E48" s="138" t="str">
        <f>IF($A48="","",Puantaj!AJ53)</f>
        <v/>
      </c>
      <c r="F48" s="137">
        <f t="shared" si="1"/>
        <v>0</v>
      </c>
      <c r="G48" s="137"/>
      <c r="H48" s="137">
        <f t="shared" si="2"/>
        <v>0</v>
      </c>
      <c r="I48" s="137">
        <f t="shared" si="3"/>
        <v>0</v>
      </c>
      <c r="J48" s="137">
        <f>IF(F48&gt;VERİLER!$C$7,'İşçi Bilgileri'!M46+(F48-VERİLER!$C$7),0)</f>
        <v>0</v>
      </c>
      <c r="K48" s="137">
        <f>IF(VERİLER!$C$11&gt;0,ROUND(J48*0.15,2),0)</f>
        <v>0</v>
      </c>
      <c r="L48" s="359">
        <f t="shared" si="4"/>
        <v>0</v>
      </c>
      <c r="M48" s="139">
        <f t="shared" si="5"/>
        <v>0</v>
      </c>
      <c r="N48" s="137">
        <f t="shared" si="6"/>
        <v>0</v>
      </c>
      <c r="O48" s="359">
        <f t="shared" si="7"/>
        <v>0</v>
      </c>
      <c r="P48" s="140">
        <f t="shared" si="8"/>
        <v>0</v>
      </c>
      <c r="Q48" s="140">
        <v>0</v>
      </c>
      <c r="R48" s="137">
        <f t="shared" si="9"/>
        <v>0</v>
      </c>
      <c r="S48" s="141">
        <f t="shared" si="10"/>
        <v>0</v>
      </c>
      <c r="T48" s="137">
        <f t="shared" si="11"/>
        <v>0</v>
      </c>
      <c r="U48" s="137">
        <f>ROUND(VERİLER!$F$9*T48,3)</f>
        <v>0</v>
      </c>
      <c r="V48" s="336">
        <f t="shared" si="12"/>
        <v>0</v>
      </c>
      <c r="W48" s="113"/>
      <c r="X48" s="113"/>
      <c r="Y48" s="113"/>
    </row>
    <row r="49" spans="1:25" s="143" customFormat="1" ht="15" customHeight="1" x14ac:dyDescent="0.2">
      <c r="A49" s="299" t="str">
        <f>IF('İşçi Bilgileri'!A47="","",'İşçi Bilgileri'!A47)</f>
        <v/>
      </c>
      <c r="B49" s="300" t="str">
        <f>IF($A49="","",VLOOKUP($A49,'İşçi Bilgileri'!$A$2:$D$700,4,FALSE))</f>
        <v/>
      </c>
      <c r="C49" s="301" t="str">
        <f>CONCATENATE(IF($A49="","",VLOOKUP($A49,'İşçi Bilgileri'!$A$2:$D$700,2,FALSE))," ",IF($A49="","",VLOOKUP($A49,'İşçi Bilgileri'!$A$2:$D$700,3,FALSE)))</f>
        <v xml:space="preserve"> </v>
      </c>
      <c r="D49" s="137" t="str">
        <f>IF($A49="","",VERİLER!$C$5)</f>
        <v/>
      </c>
      <c r="E49" s="138" t="str">
        <f>IF($A49="","",Puantaj!AJ54)</f>
        <v/>
      </c>
      <c r="F49" s="137">
        <f t="shared" si="1"/>
        <v>0</v>
      </c>
      <c r="G49" s="137"/>
      <c r="H49" s="137">
        <f t="shared" si="2"/>
        <v>0</v>
      </c>
      <c r="I49" s="137">
        <f t="shared" si="3"/>
        <v>0</v>
      </c>
      <c r="J49" s="137">
        <f>IF(F49&gt;VERİLER!$C$7,'İşçi Bilgileri'!M47+(F49-VERİLER!$C$7),0)</f>
        <v>0</v>
      </c>
      <c r="K49" s="137">
        <f>IF(VERİLER!$C$11&gt;0,ROUND(J49*0.15,2),0)</f>
        <v>0</v>
      </c>
      <c r="L49" s="359">
        <f t="shared" si="4"/>
        <v>0</v>
      </c>
      <c r="M49" s="139">
        <f t="shared" si="5"/>
        <v>0</v>
      </c>
      <c r="N49" s="137">
        <f t="shared" si="6"/>
        <v>0</v>
      </c>
      <c r="O49" s="359">
        <f t="shared" si="7"/>
        <v>0</v>
      </c>
      <c r="P49" s="140">
        <f t="shared" si="8"/>
        <v>0</v>
      </c>
      <c r="Q49" s="140">
        <v>0</v>
      </c>
      <c r="R49" s="137">
        <f t="shared" si="9"/>
        <v>0</v>
      </c>
      <c r="S49" s="141">
        <f t="shared" si="10"/>
        <v>0</v>
      </c>
      <c r="T49" s="137">
        <f t="shared" si="11"/>
        <v>0</v>
      </c>
      <c r="U49" s="137">
        <f>ROUND(VERİLER!$F$9*T49,3)</f>
        <v>0</v>
      </c>
      <c r="V49" s="336">
        <f t="shared" si="12"/>
        <v>0</v>
      </c>
      <c r="W49" s="113"/>
      <c r="X49" s="113"/>
      <c r="Y49" s="113"/>
    </row>
    <row r="50" spans="1:25" s="143" customFormat="1" ht="15" customHeight="1" x14ac:dyDescent="0.2">
      <c r="A50" s="299" t="str">
        <f>IF('İşçi Bilgileri'!A48="","",'İşçi Bilgileri'!A48)</f>
        <v/>
      </c>
      <c r="B50" s="300" t="str">
        <f>IF($A50="","",VLOOKUP($A50,'İşçi Bilgileri'!$A$2:$D$700,4,FALSE))</f>
        <v/>
      </c>
      <c r="C50" s="301" t="str">
        <f>CONCATENATE(IF($A50="","",VLOOKUP($A50,'İşçi Bilgileri'!$A$2:$D$700,2,FALSE))," ",IF($A50="","",VLOOKUP($A50,'İşçi Bilgileri'!$A$2:$D$700,3,FALSE)))</f>
        <v xml:space="preserve"> </v>
      </c>
      <c r="D50" s="137" t="str">
        <f>IF($A50="","",VERİLER!$C$5)</f>
        <v/>
      </c>
      <c r="E50" s="138" t="str">
        <f>IF($A50="","",Puantaj!AJ55)</f>
        <v/>
      </c>
      <c r="F50" s="137">
        <f t="shared" si="1"/>
        <v>0</v>
      </c>
      <c r="G50" s="137"/>
      <c r="H50" s="137">
        <f t="shared" si="2"/>
        <v>0</v>
      </c>
      <c r="I50" s="137">
        <f t="shared" si="3"/>
        <v>0</v>
      </c>
      <c r="J50" s="137">
        <f>IF(F50&gt;VERİLER!$C$7,'İşçi Bilgileri'!M48+(F50-VERİLER!$C$7),0)</f>
        <v>0</v>
      </c>
      <c r="K50" s="137">
        <f>IF(VERİLER!$C$11&gt;0,ROUND(J50*0.15,2),0)</f>
        <v>0</v>
      </c>
      <c r="L50" s="359">
        <f t="shared" si="4"/>
        <v>0</v>
      </c>
      <c r="M50" s="139">
        <f t="shared" si="5"/>
        <v>0</v>
      </c>
      <c r="N50" s="137">
        <f t="shared" si="6"/>
        <v>0</v>
      </c>
      <c r="O50" s="359">
        <f t="shared" si="7"/>
        <v>0</v>
      </c>
      <c r="P50" s="140">
        <f t="shared" si="8"/>
        <v>0</v>
      </c>
      <c r="Q50" s="140">
        <v>0</v>
      </c>
      <c r="R50" s="137">
        <f t="shared" si="9"/>
        <v>0</v>
      </c>
      <c r="S50" s="141">
        <f t="shared" si="10"/>
        <v>0</v>
      </c>
      <c r="T50" s="137">
        <f t="shared" si="11"/>
        <v>0</v>
      </c>
      <c r="U50" s="137">
        <f>ROUND(VERİLER!$F$9*T50,3)</f>
        <v>0</v>
      </c>
      <c r="V50" s="336">
        <f t="shared" si="12"/>
        <v>0</v>
      </c>
      <c r="W50" s="113"/>
      <c r="X50" s="113"/>
      <c r="Y50" s="113"/>
    </row>
    <row r="51" spans="1:25" s="143" customFormat="1" ht="15" customHeight="1" x14ac:dyDescent="0.2">
      <c r="A51" s="299" t="str">
        <f>IF('İşçi Bilgileri'!A49="","",'İşçi Bilgileri'!A49)</f>
        <v/>
      </c>
      <c r="B51" s="300" t="str">
        <f>IF($A51="","",VLOOKUP($A51,'İşçi Bilgileri'!$A$2:$D$700,4,FALSE))</f>
        <v/>
      </c>
      <c r="C51" s="301" t="str">
        <f>CONCATENATE(IF($A51="","",VLOOKUP($A51,'İşçi Bilgileri'!$A$2:$D$700,2,FALSE))," ",IF($A51="","",VLOOKUP($A51,'İşçi Bilgileri'!$A$2:$D$700,3,FALSE)))</f>
        <v xml:space="preserve"> </v>
      </c>
      <c r="D51" s="137" t="str">
        <f>IF($A51="","",VERİLER!$C$5)</f>
        <v/>
      </c>
      <c r="E51" s="138" t="str">
        <f>IF($A51="","",Puantaj!AJ56)</f>
        <v/>
      </c>
      <c r="F51" s="137">
        <f t="shared" si="1"/>
        <v>0</v>
      </c>
      <c r="G51" s="137"/>
      <c r="H51" s="137">
        <f t="shared" si="2"/>
        <v>0</v>
      </c>
      <c r="I51" s="137">
        <f t="shared" si="3"/>
        <v>0</v>
      </c>
      <c r="J51" s="137">
        <f>IF(F51&gt;VERİLER!$C$7,'İşçi Bilgileri'!M49+(F51-VERİLER!$C$7),0)</f>
        <v>0</v>
      </c>
      <c r="K51" s="137">
        <f>IF(VERİLER!$C$11&gt;0,ROUND(J51*0.15,2),0)</f>
        <v>0</v>
      </c>
      <c r="L51" s="359">
        <f t="shared" si="4"/>
        <v>0</v>
      </c>
      <c r="M51" s="139">
        <f t="shared" si="5"/>
        <v>0</v>
      </c>
      <c r="N51" s="137">
        <f t="shared" si="6"/>
        <v>0</v>
      </c>
      <c r="O51" s="359">
        <f t="shared" si="7"/>
        <v>0</v>
      </c>
      <c r="P51" s="140">
        <f t="shared" si="8"/>
        <v>0</v>
      </c>
      <c r="Q51" s="140">
        <v>0</v>
      </c>
      <c r="R51" s="137">
        <f t="shared" si="9"/>
        <v>0</v>
      </c>
      <c r="S51" s="141">
        <f t="shared" si="10"/>
        <v>0</v>
      </c>
      <c r="T51" s="137">
        <f t="shared" si="11"/>
        <v>0</v>
      </c>
      <c r="U51" s="137">
        <f>ROUND(VERİLER!$F$9*T51,3)</f>
        <v>0</v>
      </c>
      <c r="V51" s="336">
        <f t="shared" si="12"/>
        <v>0</v>
      </c>
      <c r="W51" s="113"/>
      <c r="X51" s="113"/>
      <c r="Y51" s="113"/>
    </row>
    <row r="52" spans="1:25" s="143" customFormat="1" ht="15" customHeight="1" x14ac:dyDescent="0.2">
      <c r="A52" s="299" t="str">
        <f>IF('İşçi Bilgileri'!A50="","",'İşçi Bilgileri'!A50)</f>
        <v/>
      </c>
      <c r="B52" s="300" t="str">
        <f>IF($A52="","",VLOOKUP($A52,'İşçi Bilgileri'!$A$2:$D$700,4,FALSE))</f>
        <v/>
      </c>
      <c r="C52" s="301" t="str">
        <f>CONCATENATE(IF($A52="","",VLOOKUP($A52,'İşçi Bilgileri'!$A$2:$D$700,2,FALSE))," ",IF($A52="","",VLOOKUP($A52,'İşçi Bilgileri'!$A$2:$D$700,3,FALSE)))</f>
        <v xml:space="preserve"> </v>
      </c>
      <c r="D52" s="137" t="str">
        <f>IF($A52="","",VERİLER!$C$5)</f>
        <v/>
      </c>
      <c r="E52" s="138" t="str">
        <f>IF($A52="","",Puantaj!AJ57)</f>
        <v/>
      </c>
      <c r="F52" s="137">
        <f t="shared" si="1"/>
        <v>0</v>
      </c>
      <c r="G52" s="137"/>
      <c r="H52" s="137">
        <f t="shared" si="2"/>
        <v>0</v>
      </c>
      <c r="I52" s="137">
        <f t="shared" si="3"/>
        <v>0</v>
      </c>
      <c r="J52" s="137">
        <f>IF(F52&gt;VERİLER!$C$7,'İşçi Bilgileri'!M50+(F52-VERİLER!$C$7),0)</f>
        <v>0</v>
      </c>
      <c r="K52" s="137">
        <f>IF(VERİLER!$C$11&gt;0,ROUND(J52*0.15,2),0)</f>
        <v>0</v>
      </c>
      <c r="L52" s="359">
        <f t="shared" si="4"/>
        <v>0</v>
      </c>
      <c r="M52" s="139">
        <f t="shared" si="5"/>
        <v>0</v>
      </c>
      <c r="N52" s="137">
        <f t="shared" si="6"/>
        <v>0</v>
      </c>
      <c r="O52" s="359">
        <f t="shared" si="7"/>
        <v>0</v>
      </c>
      <c r="P52" s="140">
        <f t="shared" si="8"/>
        <v>0</v>
      </c>
      <c r="Q52" s="140">
        <v>0</v>
      </c>
      <c r="R52" s="137">
        <f t="shared" si="9"/>
        <v>0</v>
      </c>
      <c r="S52" s="141">
        <f t="shared" si="10"/>
        <v>0</v>
      </c>
      <c r="T52" s="137">
        <f t="shared" si="11"/>
        <v>0</v>
      </c>
      <c r="U52" s="137">
        <f>ROUND(VERİLER!$F$9*T52,3)</f>
        <v>0</v>
      </c>
      <c r="V52" s="336">
        <f t="shared" si="12"/>
        <v>0</v>
      </c>
      <c r="W52" s="113"/>
      <c r="X52" s="113"/>
      <c r="Y52" s="113"/>
    </row>
    <row r="53" spans="1:25" s="143" customFormat="1" ht="15" customHeight="1" x14ac:dyDescent="0.2">
      <c r="A53" s="299" t="str">
        <f>IF('İşçi Bilgileri'!A51="","",'İşçi Bilgileri'!A51)</f>
        <v/>
      </c>
      <c r="B53" s="300" t="str">
        <f>IF($A53="","",VLOOKUP($A53,'İşçi Bilgileri'!$A$2:$D$700,4,FALSE))</f>
        <v/>
      </c>
      <c r="C53" s="301" t="str">
        <f>CONCATENATE(IF($A53="","",VLOOKUP($A53,'İşçi Bilgileri'!$A$2:$D$700,2,FALSE))," ",IF($A53="","",VLOOKUP($A53,'İşçi Bilgileri'!$A$2:$D$700,3,FALSE)))</f>
        <v xml:space="preserve"> </v>
      </c>
      <c r="D53" s="137" t="str">
        <f>IF($A53="","",VERİLER!$C$5)</f>
        <v/>
      </c>
      <c r="E53" s="138" t="str">
        <f>IF($A53="","",Puantaj!AJ58)</f>
        <v/>
      </c>
      <c r="F53" s="137">
        <f t="shared" si="1"/>
        <v>0</v>
      </c>
      <c r="G53" s="137"/>
      <c r="H53" s="137">
        <f t="shared" si="2"/>
        <v>0</v>
      </c>
      <c r="I53" s="137">
        <f t="shared" si="3"/>
        <v>0</v>
      </c>
      <c r="J53" s="137">
        <f>IF(F53&gt;VERİLER!$C$7,'İşçi Bilgileri'!M51+(F53-VERİLER!$C$7),0)</f>
        <v>0</v>
      </c>
      <c r="K53" s="137">
        <f>IF(VERİLER!$C$11&gt;0,ROUND(J53*0.15,2),0)</f>
        <v>0</v>
      </c>
      <c r="L53" s="359">
        <f t="shared" si="4"/>
        <v>0</v>
      </c>
      <c r="M53" s="139">
        <f t="shared" si="5"/>
        <v>0</v>
      </c>
      <c r="N53" s="137">
        <f t="shared" si="6"/>
        <v>0</v>
      </c>
      <c r="O53" s="359">
        <f t="shared" si="7"/>
        <v>0</v>
      </c>
      <c r="P53" s="140">
        <f t="shared" si="8"/>
        <v>0</v>
      </c>
      <c r="Q53" s="140">
        <v>0</v>
      </c>
      <c r="R53" s="137">
        <f t="shared" si="9"/>
        <v>0</v>
      </c>
      <c r="S53" s="141">
        <f t="shared" si="10"/>
        <v>0</v>
      </c>
      <c r="T53" s="137">
        <f t="shared" si="11"/>
        <v>0</v>
      </c>
      <c r="U53" s="137">
        <f>ROUND(VERİLER!$F$9*T53,3)</f>
        <v>0</v>
      </c>
      <c r="V53" s="336">
        <f t="shared" si="12"/>
        <v>0</v>
      </c>
      <c r="W53" s="113"/>
      <c r="X53" s="113"/>
      <c r="Y53" s="113"/>
    </row>
    <row r="54" spans="1:25" s="143" customFormat="1" ht="15" customHeight="1" x14ac:dyDescent="0.2">
      <c r="A54" s="299" t="str">
        <f>IF('İşçi Bilgileri'!A52="","",'İşçi Bilgileri'!A52)</f>
        <v/>
      </c>
      <c r="B54" s="300" t="str">
        <f>IF($A54="","",VLOOKUP($A54,'İşçi Bilgileri'!$A$2:$D$700,4,FALSE))</f>
        <v/>
      </c>
      <c r="C54" s="301" t="str">
        <f>CONCATENATE(IF($A54="","",VLOOKUP($A54,'İşçi Bilgileri'!$A$2:$D$700,2,FALSE))," ",IF($A54="","",VLOOKUP($A54,'İşçi Bilgileri'!$A$2:$D$700,3,FALSE)))</f>
        <v xml:space="preserve"> </v>
      </c>
      <c r="D54" s="137" t="str">
        <f>IF($A54="","",VERİLER!$C$5)</f>
        <v/>
      </c>
      <c r="E54" s="138" t="str">
        <f>IF($A54="","",Puantaj!AJ59)</f>
        <v/>
      </c>
      <c r="F54" s="137">
        <f t="shared" si="1"/>
        <v>0</v>
      </c>
      <c r="G54" s="137"/>
      <c r="H54" s="137">
        <f t="shared" si="2"/>
        <v>0</v>
      </c>
      <c r="I54" s="137">
        <f t="shared" si="3"/>
        <v>0</v>
      </c>
      <c r="J54" s="137">
        <f>IF(F54&gt;VERİLER!$C$7,'İşçi Bilgileri'!M52+(F54-VERİLER!$C$7),0)</f>
        <v>0</v>
      </c>
      <c r="K54" s="137">
        <f>IF(VERİLER!$C$11&gt;0,ROUND(J54*0.15,2),0)</f>
        <v>0</v>
      </c>
      <c r="L54" s="359">
        <f t="shared" si="4"/>
        <v>0</v>
      </c>
      <c r="M54" s="139">
        <f t="shared" si="5"/>
        <v>0</v>
      </c>
      <c r="N54" s="137">
        <f t="shared" si="6"/>
        <v>0</v>
      </c>
      <c r="O54" s="359">
        <f t="shared" si="7"/>
        <v>0</v>
      </c>
      <c r="P54" s="140">
        <f t="shared" si="8"/>
        <v>0</v>
      </c>
      <c r="Q54" s="140">
        <v>0</v>
      </c>
      <c r="R54" s="137">
        <f t="shared" si="9"/>
        <v>0</v>
      </c>
      <c r="S54" s="141">
        <f t="shared" si="10"/>
        <v>0</v>
      </c>
      <c r="T54" s="137">
        <f t="shared" si="11"/>
        <v>0</v>
      </c>
      <c r="U54" s="137">
        <f>ROUND(VERİLER!$F$9*T54,3)</f>
        <v>0</v>
      </c>
      <c r="V54" s="336">
        <f t="shared" si="12"/>
        <v>0</v>
      </c>
      <c r="W54" s="113"/>
      <c r="X54" s="113"/>
      <c r="Y54" s="113"/>
    </row>
    <row r="55" spans="1:25" s="143" customFormat="1" ht="15" customHeight="1" x14ac:dyDescent="0.2">
      <c r="A55" s="299" t="str">
        <f>IF('İşçi Bilgileri'!A53="","",'İşçi Bilgileri'!A53)</f>
        <v/>
      </c>
      <c r="B55" s="300" t="str">
        <f>IF($A55="","",VLOOKUP($A55,'İşçi Bilgileri'!$A$2:$D$700,4,FALSE))</f>
        <v/>
      </c>
      <c r="C55" s="301" t="str">
        <f>CONCATENATE(IF($A55="","",VLOOKUP($A55,'İşçi Bilgileri'!$A$2:$D$700,2,FALSE))," ",IF($A55="","",VLOOKUP($A55,'İşçi Bilgileri'!$A$2:$D$700,3,FALSE)))</f>
        <v xml:space="preserve"> </v>
      </c>
      <c r="D55" s="137" t="str">
        <f>IF($A55="","",VERİLER!$C$5)</f>
        <v/>
      </c>
      <c r="E55" s="138" t="str">
        <f>IF($A55="","",Puantaj!AJ60)</f>
        <v/>
      </c>
      <c r="F55" s="137">
        <f t="shared" si="1"/>
        <v>0</v>
      </c>
      <c r="G55" s="137"/>
      <c r="H55" s="137">
        <f t="shared" si="2"/>
        <v>0</v>
      </c>
      <c r="I55" s="137">
        <f t="shared" si="3"/>
        <v>0</v>
      </c>
      <c r="J55" s="137">
        <f>IF(F55&gt;VERİLER!$C$7,'İşçi Bilgileri'!M53+(F55-VERİLER!$C$7),0)</f>
        <v>0</v>
      </c>
      <c r="K55" s="137">
        <f>IF(VERİLER!$C$11&gt;0,ROUND(J55*0.15,2),0)</f>
        <v>0</v>
      </c>
      <c r="L55" s="359">
        <f t="shared" si="4"/>
        <v>0</v>
      </c>
      <c r="M55" s="139">
        <f t="shared" si="5"/>
        <v>0</v>
      </c>
      <c r="N55" s="137">
        <f t="shared" si="6"/>
        <v>0</v>
      </c>
      <c r="O55" s="359">
        <f t="shared" si="7"/>
        <v>0</v>
      </c>
      <c r="P55" s="140">
        <f t="shared" si="8"/>
        <v>0</v>
      </c>
      <c r="Q55" s="140">
        <v>0</v>
      </c>
      <c r="R55" s="137">
        <f t="shared" si="9"/>
        <v>0</v>
      </c>
      <c r="S55" s="141">
        <f t="shared" si="10"/>
        <v>0</v>
      </c>
      <c r="T55" s="137">
        <f t="shared" si="11"/>
        <v>0</v>
      </c>
      <c r="U55" s="137">
        <f>ROUND(VERİLER!$F$9*T55,3)</f>
        <v>0</v>
      </c>
      <c r="V55" s="336">
        <f t="shared" si="12"/>
        <v>0</v>
      </c>
      <c r="W55" s="113"/>
      <c r="X55" s="113"/>
      <c r="Y55" s="113"/>
    </row>
    <row r="56" spans="1:25" s="143" customFormat="1" ht="15" customHeight="1" x14ac:dyDescent="0.2">
      <c r="A56" s="299" t="str">
        <f>IF('İşçi Bilgileri'!A54="","",'İşçi Bilgileri'!A54)</f>
        <v/>
      </c>
      <c r="B56" s="300" t="str">
        <f>IF($A56="","",VLOOKUP($A56,'İşçi Bilgileri'!$A$2:$D$700,4,FALSE))</f>
        <v/>
      </c>
      <c r="C56" s="301" t="str">
        <f>CONCATENATE(IF($A56="","",VLOOKUP($A56,'İşçi Bilgileri'!$A$2:$D$700,2,FALSE))," ",IF($A56="","",VLOOKUP($A56,'İşçi Bilgileri'!$A$2:$D$700,3,FALSE)))</f>
        <v xml:space="preserve"> </v>
      </c>
      <c r="D56" s="137" t="str">
        <f>IF($A56="","",VERİLER!$C$5)</f>
        <v/>
      </c>
      <c r="E56" s="138" t="str">
        <f>IF($A56="","",Puantaj!AJ61)</f>
        <v/>
      </c>
      <c r="F56" s="137">
        <f t="shared" si="1"/>
        <v>0</v>
      </c>
      <c r="G56" s="137"/>
      <c r="H56" s="137">
        <f t="shared" si="2"/>
        <v>0</v>
      </c>
      <c r="I56" s="137">
        <f t="shared" si="3"/>
        <v>0</v>
      </c>
      <c r="J56" s="137">
        <f>IF(F56&gt;VERİLER!$C$7,'İşçi Bilgileri'!M54+(F56-VERİLER!$C$7),0)</f>
        <v>0</v>
      </c>
      <c r="K56" s="137">
        <f>IF(VERİLER!$C$11&gt;0,ROUND(J56*0.15,2),0)</f>
        <v>0</v>
      </c>
      <c r="L56" s="359">
        <f t="shared" si="4"/>
        <v>0</v>
      </c>
      <c r="M56" s="139">
        <f t="shared" si="5"/>
        <v>0</v>
      </c>
      <c r="N56" s="137">
        <f t="shared" si="6"/>
        <v>0</v>
      </c>
      <c r="O56" s="359">
        <f t="shared" si="7"/>
        <v>0</v>
      </c>
      <c r="P56" s="140">
        <f t="shared" si="8"/>
        <v>0</v>
      </c>
      <c r="Q56" s="140">
        <v>0</v>
      </c>
      <c r="R56" s="137">
        <f t="shared" si="9"/>
        <v>0</v>
      </c>
      <c r="S56" s="141">
        <f t="shared" si="10"/>
        <v>0</v>
      </c>
      <c r="T56" s="137">
        <f t="shared" si="11"/>
        <v>0</v>
      </c>
      <c r="U56" s="137">
        <f>ROUND(VERİLER!$F$9*T56,3)</f>
        <v>0</v>
      </c>
      <c r="V56" s="336">
        <f t="shared" si="12"/>
        <v>0</v>
      </c>
      <c r="W56" s="113"/>
      <c r="X56" s="113"/>
      <c r="Y56" s="113"/>
    </row>
    <row r="57" spans="1:25" s="143" customFormat="1" ht="15" customHeight="1" x14ac:dyDescent="0.2">
      <c r="A57" s="299" t="str">
        <f>IF('İşçi Bilgileri'!A55="","",'İşçi Bilgileri'!A55)</f>
        <v/>
      </c>
      <c r="B57" s="300" t="str">
        <f>IF($A57="","",VLOOKUP($A57,'İşçi Bilgileri'!$A$2:$D$700,4,FALSE))</f>
        <v/>
      </c>
      <c r="C57" s="301" t="str">
        <f>CONCATENATE(IF($A57="","",VLOOKUP($A57,'İşçi Bilgileri'!$A$2:$D$700,2,FALSE))," ",IF($A57="","",VLOOKUP($A57,'İşçi Bilgileri'!$A$2:$D$700,3,FALSE)))</f>
        <v xml:space="preserve"> </v>
      </c>
      <c r="D57" s="137" t="str">
        <f>IF($A57="","",VERİLER!$C$5)</f>
        <v/>
      </c>
      <c r="E57" s="138" t="str">
        <f>IF($A57="","",Puantaj!AJ62)</f>
        <v/>
      </c>
      <c r="F57" s="137">
        <f t="shared" si="1"/>
        <v>0</v>
      </c>
      <c r="G57" s="137"/>
      <c r="H57" s="137">
        <f t="shared" si="2"/>
        <v>0</v>
      </c>
      <c r="I57" s="137">
        <f t="shared" si="3"/>
        <v>0</v>
      </c>
      <c r="J57" s="137">
        <f>IF(F57&gt;VERİLER!$C$7,'İşçi Bilgileri'!M55+(F57-VERİLER!$C$7),0)</f>
        <v>0</v>
      </c>
      <c r="K57" s="137">
        <f>IF(VERİLER!$C$11&gt;0,ROUND(J57*0.15,2),0)</f>
        <v>0</v>
      </c>
      <c r="L57" s="359">
        <f t="shared" si="4"/>
        <v>0</v>
      </c>
      <c r="M57" s="139">
        <f t="shared" si="5"/>
        <v>0</v>
      </c>
      <c r="N57" s="137">
        <f t="shared" si="6"/>
        <v>0</v>
      </c>
      <c r="O57" s="359">
        <f t="shared" si="7"/>
        <v>0</v>
      </c>
      <c r="P57" s="140">
        <f t="shared" si="8"/>
        <v>0</v>
      </c>
      <c r="Q57" s="140">
        <v>0</v>
      </c>
      <c r="R57" s="137">
        <f t="shared" si="9"/>
        <v>0</v>
      </c>
      <c r="S57" s="141">
        <f t="shared" si="10"/>
        <v>0</v>
      </c>
      <c r="T57" s="137">
        <f t="shared" si="11"/>
        <v>0</v>
      </c>
      <c r="U57" s="137">
        <f>ROUND(VERİLER!$F$9*T57,3)</f>
        <v>0</v>
      </c>
      <c r="V57" s="336">
        <f t="shared" si="12"/>
        <v>0</v>
      </c>
      <c r="W57" s="113"/>
      <c r="X57" s="113"/>
      <c r="Y57" s="113"/>
    </row>
    <row r="58" spans="1:25" s="143" customFormat="1" ht="15" customHeight="1" x14ac:dyDescent="0.2">
      <c r="A58" s="299" t="str">
        <f>IF('İşçi Bilgileri'!A56="","",'İşçi Bilgileri'!A56)</f>
        <v/>
      </c>
      <c r="B58" s="300" t="str">
        <f>IF($A58="","",VLOOKUP($A58,'İşçi Bilgileri'!$A$2:$D$700,4,FALSE))</f>
        <v/>
      </c>
      <c r="C58" s="301" t="str">
        <f>CONCATENATE(IF($A58="","",VLOOKUP($A58,'İşçi Bilgileri'!$A$2:$D$700,2,FALSE))," ",IF($A58="","",VLOOKUP($A58,'İşçi Bilgileri'!$A$2:$D$700,3,FALSE)))</f>
        <v xml:space="preserve"> </v>
      </c>
      <c r="D58" s="137" t="str">
        <f>IF($A58="","",VERİLER!$C$5)</f>
        <v/>
      </c>
      <c r="E58" s="138" t="str">
        <f>IF($A58="","",Puantaj!AJ63)</f>
        <v/>
      </c>
      <c r="F58" s="137">
        <f t="shared" si="1"/>
        <v>0</v>
      </c>
      <c r="G58" s="137"/>
      <c r="H58" s="137">
        <f t="shared" si="2"/>
        <v>0</v>
      </c>
      <c r="I58" s="137">
        <f t="shared" si="3"/>
        <v>0</v>
      </c>
      <c r="J58" s="137">
        <f>IF(F58&gt;VERİLER!$C$7,'İşçi Bilgileri'!M56+(F58-VERİLER!$C$7),0)</f>
        <v>0</v>
      </c>
      <c r="K58" s="137">
        <f>IF(VERİLER!$C$11&gt;0,ROUND(J58*0.15,2),0)</f>
        <v>0</v>
      </c>
      <c r="L58" s="359">
        <f t="shared" si="4"/>
        <v>0</v>
      </c>
      <c r="M58" s="139">
        <f t="shared" si="5"/>
        <v>0</v>
      </c>
      <c r="N58" s="137">
        <f t="shared" si="6"/>
        <v>0</v>
      </c>
      <c r="O58" s="359">
        <f t="shared" si="7"/>
        <v>0</v>
      </c>
      <c r="P58" s="140">
        <f t="shared" si="8"/>
        <v>0</v>
      </c>
      <c r="Q58" s="140">
        <v>0</v>
      </c>
      <c r="R58" s="137">
        <f t="shared" si="9"/>
        <v>0</v>
      </c>
      <c r="S58" s="141">
        <f t="shared" si="10"/>
        <v>0</v>
      </c>
      <c r="T58" s="137">
        <f t="shared" si="11"/>
        <v>0</v>
      </c>
      <c r="U58" s="137">
        <f>ROUND(VERİLER!$F$9*T58,3)</f>
        <v>0</v>
      </c>
      <c r="V58" s="336">
        <f t="shared" si="12"/>
        <v>0</v>
      </c>
      <c r="W58" s="113"/>
      <c r="X58" s="113"/>
      <c r="Y58" s="113"/>
    </row>
    <row r="59" spans="1:25" s="143" customFormat="1" ht="14.25" customHeight="1" x14ac:dyDescent="0.2">
      <c r="A59" s="299" t="str">
        <f>IF('İşçi Bilgileri'!A57="","",'İşçi Bilgileri'!A57)</f>
        <v/>
      </c>
      <c r="B59" s="300" t="str">
        <f>IF($A59="","",VLOOKUP($A59,'İşçi Bilgileri'!$A$2:$D$700,4,FALSE))</f>
        <v/>
      </c>
      <c r="C59" s="301" t="str">
        <f>CONCATENATE(IF($A59="","",VLOOKUP($A59,'İşçi Bilgileri'!$A$2:$D$700,2,FALSE))," ",IF($A59="","",VLOOKUP($A59,'İşçi Bilgileri'!$A$2:$D$700,3,FALSE)))</f>
        <v xml:space="preserve"> </v>
      </c>
      <c r="D59" s="137" t="str">
        <f>IF($A59="","",VERİLER!$C$5)</f>
        <v/>
      </c>
      <c r="E59" s="138" t="str">
        <f>IF($A59="","",Puantaj!AJ64)</f>
        <v/>
      </c>
      <c r="F59" s="137">
        <f t="shared" si="1"/>
        <v>0</v>
      </c>
      <c r="G59" s="137"/>
      <c r="H59" s="137">
        <f t="shared" si="2"/>
        <v>0</v>
      </c>
      <c r="I59" s="137">
        <f t="shared" si="3"/>
        <v>0</v>
      </c>
      <c r="J59" s="137">
        <f>IF(F59&gt;VERİLER!$C$7,'İşçi Bilgileri'!M57+(F59-VERİLER!$C$7),0)</f>
        <v>0</v>
      </c>
      <c r="K59" s="137">
        <f>IF(VERİLER!$C$11&gt;0,ROUND(J59*0.15,2),0)</f>
        <v>0</v>
      </c>
      <c r="L59" s="359">
        <f t="shared" si="4"/>
        <v>0</v>
      </c>
      <c r="M59" s="139">
        <f t="shared" si="5"/>
        <v>0</v>
      </c>
      <c r="N59" s="137">
        <f t="shared" si="6"/>
        <v>0</v>
      </c>
      <c r="O59" s="359">
        <f t="shared" si="7"/>
        <v>0</v>
      </c>
      <c r="P59" s="140">
        <f t="shared" si="8"/>
        <v>0</v>
      </c>
      <c r="Q59" s="140">
        <v>0</v>
      </c>
      <c r="R59" s="137">
        <f t="shared" si="9"/>
        <v>0</v>
      </c>
      <c r="S59" s="141">
        <f t="shared" si="10"/>
        <v>0</v>
      </c>
      <c r="T59" s="137">
        <f t="shared" si="11"/>
        <v>0</v>
      </c>
      <c r="U59" s="137">
        <f>ROUND(VERİLER!$F$9*T59,3)</f>
        <v>0</v>
      </c>
      <c r="V59" s="336">
        <f t="shared" si="12"/>
        <v>0</v>
      </c>
      <c r="W59" s="113"/>
      <c r="X59" s="113"/>
      <c r="Y59" s="113"/>
    </row>
    <row r="60" spans="1:25" s="143" customFormat="1" ht="15" customHeight="1" x14ac:dyDescent="0.2">
      <c r="A60" s="299" t="str">
        <f>IF('İşçi Bilgileri'!A58="","",'İşçi Bilgileri'!A58)</f>
        <v/>
      </c>
      <c r="B60" s="300" t="str">
        <f>IF($A60="","",VLOOKUP($A60,'İşçi Bilgileri'!$A$2:$D$700,4,FALSE))</f>
        <v/>
      </c>
      <c r="C60" s="301" t="str">
        <f>CONCATENATE(IF($A60="","",VLOOKUP($A60,'İşçi Bilgileri'!$A$2:$D$700,2,FALSE))," ",IF($A60="","",VLOOKUP($A60,'İşçi Bilgileri'!$A$2:$D$700,3,FALSE)))</f>
        <v xml:space="preserve"> </v>
      </c>
      <c r="D60" s="137" t="str">
        <f>IF($A60="","",VERİLER!$C$5)</f>
        <v/>
      </c>
      <c r="E60" s="138" t="str">
        <f>IF($A60="","",Puantaj!AJ65)</f>
        <v/>
      </c>
      <c r="F60" s="137">
        <f t="shared" si="1"/>
        <v>0</v>
      </c>
      <c r="G60" s="137"/>
      <c r="H60" s="137">
        <f t="shared" si="2"/>
        <v>0</v>
      </c>
      <c r="I60" s="137">
        <f t="shared" si="3"/>
        <v>0</v>
      </c>
      <c r="J60" s="137">
        <f>IF(F60&gt;VERİLER!$C$7,'İşçi Bilgileri'!M58+(F60-VERİLER!$C$7),0)</f>
        <v>0</v>
      </c>
      <c r="K60" s="137">
        <f>IF(VERİLER!$C$11&gt;0,ROUND(J60*0.15,2),0)</f>
        <v>0</v>
      </c>
      <c r="L60" s="359">
        <f t="shared" si="4"/>
        <v>0</v>
      </c>
      <c r="M60" s="139">
        <f t="shared" si="5"/>
        <v>0</v>
      </c>
      <c r="N60" s="137">
        <f t="shared" si="6"/>
        <v>0</v>
      </c>
      <c r="O60" s="359">
        <f t="shared" si="7"/>
        <v>0</v>
      </c>
      <c r="P60" s="140">
        <f t="shared" si="8"/>
        <v>0</v>
      </c>
      <c r="Q60" s="140">
        <v>0</v>
      </c>
      <c r="R60" s="137">
        <f t="shared" si="9"/>
        <v>0</v>
      </c>
      <c r="S60" s="141">
        <f t="shared" si="10"/>
        <v>0</v>
      </c>
      <c r="T60" s="137">
        <f t="shared" si="11"/>
        <v>0</v>
      </c>
      <c r="U60" s="137">
        <f>ROUND(VERİLER!$F$9*T60,3)</f>
        <v>0</v>
      </c>
      <c r="V60" s="336">
        <f t="shared" si="12"/>
        <v>0</v>
      </c>
      <c r="W60" s="113"/>
      <c r="X60" s="113"/>
      <c r="Y60" s="113"/>
    </row>
    <row r="61" spans="1:25" s="143" customFormat="1" ht="15" customHeight="1" x14ac:dyDescent="0.2">
      <c r="A61" s="299" t="str">
        <f>IF('İşçi Bilgileri'!A59="","",'İşçi Bilgileri'!A59)</f>
        <v/>
      </c>
      <c r="B61" s="300" t="str">
        <f>IF($A61="","",VLOOKUP($A61,'İşçi Bilgileri'!$A$2:$D$700,4,FALSE))</f>
        <v/>
      </c>
      <c r="C61" s="301" t="str">
        <f>CONCATENATE(IF($A61="","",VLOOKUP($A61,'İşçi Bilgileri'!$A$2:$D$700,2,FALSE))," ",IF($A61="","",VLOOKUP($A61,'İşçi Bilgileri'!$A$2:$D$700,3,FALSE)))</f>
        <v xml:space="preserve"> </v>
      </c>
      <c r="D61" s="137" t="str">
        <f>IF($A61="","",VERİLER!$C$5)</f>
        <v/>
      </c>
      <c r="E61" s="138" t="str">
        <f>IF($A61="","",Puantaj!AJ66)</f>
        <v/>
      </c>
      <c r="F61" s="137">
        <f t="shared" si="1"/>
        <v>0</v>
      </c>
      <c r="G61" s="137"/>
      <c r="H61" s="137">
        <f t="shared" si="2"/>
        <v>0</v>
      </c>
      <c r="I61" s="137">
        <f t="shared" si="3"/>
        <v>0</v>
      </c>
      <c r="J61" s="137">
        <f>IF(F61&gt;VERİLER!$C$7,'İşçi Bilgileri'!M59+(F61-VERİLER!$C$7),0)</f>
        <v>0</v>
      </c>
      <c r="K61" s="137">
        <f>IF(VERİLER!$C$11&gt;0,ROUND(J61*0.15,2),0)</f>
        <v>0</v>
      </c>
      <c r="L61" s="359">
        <f t="shared" si="4"/>
        <v>0</v>
      </c>
      <c r="M61" s="139">
        <f t="shared" si="5"/>
        <v>0</v>
      </c>
      <c r="N61" s="137">
        <f t="shared" si="6"/>
        <v>0</v>
      </c>
      <c r="O61" s="359">
        <f t="shared" si="7"/>
        <v>0</v>
      </c>
      <c r="P61" s="140">
        <f t="shared" si="8"/>
        <v>0</v>
      </c>
      <c r="Q61" s="140">
        <v>0</v>
      </c>
      <c r="R61" s="137">
        <f t="shared" si="9"/>
        <v>0</v>
      </c>
      <c r="S61" s="141">
        <f t="shared" si="10"/>
        <v>0</v>
      </c>
      <c r="T61" s="137">
        <f t="shared" si="11"/>
        <v>0</v>
      </c>
      <c r="U61" s="137">
        <f>ROUND(VERİLER!$F$9*T61,3)</f>
        <v>0</v>
      </c>
      <c r="V61" s="336">
        <f t="shared" si="12"/>
        <v>0</v>
      </c>
      <c r="W61" s="113"/>
      <c r="X61" s="113"/>
      <c r="Y61" s="113"/>
    </row>
    <row r="62" spans="1:25" s="143" customFormat="1" ht="15" customHeight="1" x14ac:dyDescent="0.2">
      <c r="A62" s="299" t="str">
        <f>IF('İşçi Bilgileri'!A60="","",'İşçi Bilgileri'!A60)</f>
        <v/>
      </c>
      <c r="B62" s="300" t="str">
        <f>IF($A62="","",VLOOKUP($A62,'İşçi Bilgileri'!$A$2:$D$700,4,FALSE))</f>
        <v/>
      </c>
      <c r="C62" s="301" t="str">
        <f>CONCATENATE(IF($A62="","",VLOOKUP($A62,'İşçi Bilgileri'!$A$2:$D$700,2,FALSE))," ",IF($A62="","",VLOOKUP($A62,'İşçi Bilgileri'!$A$2:$D$700,3,FALSE)))</f>
        <v xml:space="preserve"> </v>
      </c>
      <c r="D62" s="137" t="str">
        <f>IF($A62="","",VERİLER!$C$5)</f>
        <v/>
      </c>
      <c r="E62" s="138" t="str">
        <f>IF($A62="","",Puantaj!AJ67)</f>
        <v/>
      </c>
      <c r="F62" s="137">
        <f t="shared" si="1"/>
        <v>0</v>
      </c>
      <c r="G62" s="137"/>
      <c r="H62" s="137">
        <f t="shared" si="2"/>
        <v>0</v>
      </c>
      <c r="I62" s="137">
        <f t="shared" si="3"/>
        <v>0</v>
      </c>
      <c r="J62" s="137">
        <f>IF(F62&gt;VERİLER!$C$7,'İşçi Bilgileri'!M60+(F62-VERİLER!$C$7),0)</f>
        <v>0</v>
      </c>
      <c r="K62" s="137">
        <f>IF(VERİLER!$C$11&gt;0,ROUND(J62*0.15,2),0)</f>
        <v>0</v>
      </c>
      <c r="L62" s="359">
        <f t="shared" si="4"/>
        <v>0</v>
      </c>
      <c r="M62" s="139">
        <f t="shared" si="5"/>
        <v>0</v>
      </c>
      <c r="N62" s="137">
        <f t="shared" si="6"/>
        <v>0</v>
      </c>
      <c r="O62" s="359">
        <f t="shared" si="7"/>
        <v>0</v>
      </c>
      <c r="P62" s="140">
        <f t="shared" si="8"/>
        <v>0</v>
      </c>
      <c r="Q62" s="140">
        <v>0</v>
      </c>
      <c r="R62" s="137">
        <f t="shared" si="9"/>
        <v>0</v>
      </c>
      <c r="S62" s="141">
        <f t="shared" si="10"/>
        <v>0</v>
      </c>
      <c r="T62" s="137">
        <f t="shared" si="11"/>
        <v>0</v>
      </c>
      <c r="U62" s="137">
        <f>ROUND(VERİLER!$F$9*T62,3)</f>
        <v>0</v>
      </c>
      <c r="V62" s="336">
        <f t="shared" si="12"/>
        <v>0</v>
      </c>
      <c r="W62" s="113"/>
      <c r="X62" s="113"/>
      <c r="Y62" s="113"/>
    </row>
    <row r="63" spans="1:25" s="143" customFormat="1" ht="15" customHeight="1" x14ac:dyDescent="0.2">
      <c r="A63" s="299" t="str">
        <f>IF('İşçi Bilgileri'!A61="","",'İşçi Bilgileri'!A61)</f>
        <v/>
      </c>
      <c r="B63" s="300" t="str">
        <f>IF($A63="","",VLOOKUP($A63,'İşçi Bilgileri'!$A$2:$D$700,4,FALSE))</f>
        <v/>
      </c>
      <c r="C63" s="301" t="str">
        <f>CONCATENATE(IF($A63="","",VLOOKUP($A63,'İşçi Bilgileri'!$A$2:$D$700,2,FALSE))," ",IF($A63="","",VLOOKUP($A63,'İşçi Bilgileri'!$A$2:$D$700,3,FALSE)))</f>
        <v xml:space="preserve"> </v>
      </c>
      <c r="D63" s="137" t="str">
        <f>IF($A63="","",VERİLER!$C$5)</f>
        <v/>
      </c>
      <c r="E63" s="138" t="str">
        <f>IF($A63="","",Puantaj!AJ68)</f>
        <v/>
      </c>
      <c r="F63" s="137">
        <f t="shared" si="1"/>
        <v>0</v>
      </c>
      <c r="G63" s="137"/>
      <c r="H63" s="137">
        <f t="shared" si="2"/>
        <v>0</v>
      </c>
      <c r="I63" s="137">
        <f t="shared" si="3"/>
        <v>0</v>
      </c>
      <c r="J63" s="137">
        <f>IF(F63&gt;VERİLER!$C$7,'İşçi Bilgileri'!M61+(F63-VERİLER!$C$7),0)</f>
        <v>0</v>
      </c>
      <c r="K63" s="137">
        <f>IF(VERİLER!$C$11&gt;0,ROUND(J63*0.15,2),0)</f>
        <v>0</v>
      </c>
      <c r="L63" s="359">
        <f t="shared" si="4"/>
        <v>0</v>
      </c>
      <c r="M63" s="139">
        <f t="shared" si="5"/>
        <v>0</v>
      </c>
      <c r="N63" s="137">
        <f t="shared" si="6"/>
        <v>0</v>
      </c>
      <c r="O63" s="359">
        <f t="shared" si="7"/>
        <v>0</v>
      </c>
      <c r="P63" s="140">
        <f t="shared" si="8"/>
        <v>0</v>
      </c>
      <c r="Q63" s="140">
        <v>0</v>
      </c>
      <c r="R63" s="137">
        <f t="shared" si="9"/>
        <v>0</v>
      </c>
      <c r="S63" s="141">
        <f t="shared" si="10"/>
        <v>0</v>
      </c>
      <c r="T63" s="137">
        <f t="shared" si="11"/>
        <v>0</v>
      </c>
      <c r="U63" s="137">
        <f>ROUND(VERİLER!$F$9*T63,3)</f>
        <v>0</v>
      </c>
      <c r="V63" s="336">
        <f t="shared" si="12"/>
        <v>0</v>
      </c>
      <c r="W63" s="113"/>
      <c r="X63" s="113"/>
      <c r="Y63" s="113"/>
    </row>
    <row r="64" spans="1:25" s="143" customFormat="1" ht="15" customHeight="1" x14ac:dyDescent="0.2">
      <c r="A64" s="299" t="str">
        <f>IF('İşçi Bilgileri'!A62="","",'İşçi Bilgileri'!A62)</f>
        <v/>
      </c>
      <c r="B64" s="300" t="str">
        <f>IF($A64="","",VLOOKUP($A64,'İşçi Bilgileri'!$A$2:$D$700,4,FALSE))</f>
        <v/>
      </c>
      <c r="C64" s="301" t="str">
        <f>CONCATENATE(IF($A64="","",VLOOKUP($A64,'İşçi Bilgileri'!$A$2:$D$700,2,FALSE))," ",IF($A64="","",VLOOKUP($A64,'İşçi Bilgileri'!$A$2:$D$700,3,FALSE)))</f>
        <v xml:space="preserve"> </v>
      </c>
      <c r="D64" s="137" t="str">
        <f>IF($A64="","",VERİLER!$C$5)</f>
        <v/>
      </c>
      <c r="E64" s="138" t="str">
        <f>IF($A64="","",Puantaj!AJ69)</f>
        <v/>
      </c>
      <c r="F64" s="137">
        <f t="shared" si="1"/>
        <v>0</v>
      </c>
      <c r="G64" s="137"/>
      <c r="H64" s="137">
        <f t="shared" si="2"/>
        <v>0</v>
      </c>
      <c r="I64" s="137">
        <f t="shared" si="3"/>
        <v>0</v>
      </c>
      <c r="J64" s="137">
        <f>IF(F64&gt;VERİLER!$C$7,'İşçi Bilgileri'!M62+(F64-VERİLER!$C$7),0)</f>
        <v>0</v>
      </c>
      <c r="K64" s="137">
        <f>IF(VERİLER!$C$11&gt;0,ROUND(J64*0.15,2),0)</f>
        <v>0</v>
      </c>
      <c r="L64" s="359">
        <f t="shared" si="4"/>
        <v>0</v>
      </c>
      <c r="M64" s="139">
        <f t="shared" si="5"/>
        <v>0</v>
      </c>
      <c r="N64" s="137">
        <f t="shared" si="6"/>
        <v>0</v>
      </c>
      <c r="O64" s="359">
        <f t="shared" si="7"/>
        <v>0</v>
      </c>
      <c r="P64" s="140">
        <f t="shared" si="8"/>
        <v>0</v>
      </c>
      <c r="Q64" s="140">
        <v>0</v>
      </c>
      <c r="R64" s="137">
        <f t="shared" si="9"/>
        <v>0</v>
      </c>
      <c r="S64" s="141">
        <f t="shared" si="10"/>
        <v>0</v>
      </c>
      <c r="T64" s="137">
        <f t="shared" si="11"/>
        <v>0</v>
      </c>
      <c r="U64" s="137">
        <f>ROUND(VERİLER!$F$9*T64,3)</f>
        <v>0</v>
      </c>
      <c r="V64" s="336">
        <f t="shared" si="12"/>
        <v>0</v>
      </c>
      <c r="W64" s="113"/>
      <c r="X64" s="113"/>
      <c r="Y64" s="113"/>
    </row>
    <row r="65" spans="1:25" s="143" customFormat="1" ht="15" customHeight="1" x14ac:dyDescent="0.2">
      <c r="A65" s="299" t="str">
        <f>IF('İşçi Bilgileri'!A63="","",'İşçi Bilgileri'!A63)</f>
        <v/>
      </c>
      <c r="B65" s="300" t="str">
        <f>IF($A65="","",VLOOKUP($A65,'İşçi Bilgileri'!$A$2:$D$700,4,FALSE))</f>
        <v/>
      </c>
      <c r="C65" s="301" t="str">
        <f>CONCATENATE(IF($A65="","",VLOOKUP($A65,'İşçi Bilgileri'!$A$2:$D$700,2,FALSE))," ",IF($A65="","",VLOOKUP($A65,'İşçi Bilgileri'!$A$2:$D$700,3,FALSE)))</f>
        <v xml:space="preserve"> </v>
      </c>
      <c r="D65" s="137" t="str">
        <f>IF($A65="","",VERİLER!$C$5)</f>
        <v/>
      </c>
      <c r="E65" s="138" t="str">
        <f>IF($A65="","",Puantaj!AJ70)</f>
        <v/>
      </c>
      <c r="F65" s="137">
        <f t="shared" si="1"/>
        <v>0</v>
      </c>
      <c r="G65" s="137"/>
      <c r="H65" s="137">
        <f t="shared" si="2"/>
        <v>0</v>
      </c>
      <c r="I65" s="137">
        <f t="shared" si="3"/>
        <v>0</v>
      </c>
      <c r="J65" s="137">
        <f>IF(F65&gt;VERİLER!$C$7,'İşçi Bilgileri'!M63+(F65-VERİLER!$C$7),0)</f>
        <v>0</v>
      </c>
      <c r="K65" s="137">
        <f>IF(VERİLER!$C$11&gt;0,ROUND(J65*0.15,2),0)</f>
        <v>0</v>
      </c>
      <c r="L65" s="359">
        <f t="shared" si="4"/>
        <v>0</v>
      </c>
      <c r="M65" s="139">
        <f t="shared" si="5"/>
        <v>0</v>
      </c>
      <c r="N65" s="137">
        <f t="shared" si="6"/>
        <v>0</v>
      </c>
      <c r="O65" s="359">
        <f t="shared" si="7"/>
        <v>0</v>
      </c>
      <c r="P65" s="140">
        <f t="shared" si="8"/>
        <v>0</v>
      </c>
      <c r="Q65" s="140">
        <v>0</v>
      </c>
      <c r="R65" s="137">
        <f t="shared" si="9"/>
        <v>0</v>
      </c>
      <c r="S65" s="141">
        <f t="shared" si="10"/>
        <v>0</v>
      </c>
      <c r="T65" s="137">
        <f t="shared" si="11"/>
        <v>0</v>
      </c>
      <c r="U65" s="137">
        <f>ROUND(VERİLER!$F$9*T65,3)</f>
        <v>0</v>
      </c>
      <c r="V65" s="336">
        <f t="shared" si="12"/>
        <v>0</v>
      </c>
      <c r="W65" s="113"/>
      <c r="X65" s="113"/>
      <c r="Y65" s="113"/>
    </row>
    <row r="66" spans="1:25" s="143" customFormat="1" ht="15" customHeight="1" x14ac:dyDescent="0.2">
      <c r="A66" s="299" t="str">
        <f>IF('İşçi Bilgileri'!A64="","",'İşçi Bilgileri'!A64)</f>
        <v/>
      </c>
      <c r="B66" s="300" t="str">
        <f>IF($A66="","",VLOOKUP($A66,'İşçi Bilgileri'!$A$2:$D$700,4,FALSE))</f>
        <v/>
      </c>
      <c r="C66" s="301" t="str">
        <f>CONCATENATE(IF($A66="","",VLOOKUP($A66,'İşçi Bilgileri'!$A$2:$D$700,2,FALSE))," ",IF($A66="","",VLOOKUP($A66,'İşçi Bilgileri'!$A$2:$D$700,3,FALSE)))</f>
        <v xml:space="preserve"> </v>
      </c>
      <c r="D66" s="137" t="str">
        <f>IF($A66="","",VERİLER!$C$5)</f>
        <v/>
      </c>
      <c r="E66" s="138" t="str">
        <f>IF($A66="","",Puantaj!AJ71)</f>
        <v/>
      </c>
      <c r="F66" s="137">
        <f t="shared" si="1"/>
        <v>0</v>
      </c>
      <c r="G66" s="137"/>
      <c r="H66" s="137">
        <f t="shared" si="2"/>
        <v>0</v>
      </c>
      <c r="I66" s="137">
        <f t="shared" si="3"/>
        <v>0</v>
      </c>
      <c r="J66" s="137">
        <f>IF(F66&gt;VERİLER!$C$7,'İşçi Bilgileri'!M64+(F66-VERİLER!$C$7),0)</f>
        <v>0</v>
      </c>
      <c r="K66" s="137">
        <f>IF(VERİLER!$C$11&gt;0,ROUND(J66*0.15,2),0)</f>
        <v>0</v>
      </c>
      <c r="L66" s="359">
        <f t="shared" si="4"/>
        <v>0</v>
      </c>
      <c r="M66" s="139">
        <f t="shared" si="5"/>
        <v>0</v>
      </c>
      <c r="N66" s="137">
        <f t="shared" si="6"/>
        <v>0</v>
      </c>
      <c r="O66" s="359">
        <f t="shared" si="7"/>
        <v>0</v>
      </c>
      <c r="P66" s="140">
        <f t="shared" si="8"/>
        <v>0</v>
      </c>
      <c r="Q66" s="140">
        <v>0</v>
      </c>
      <c r="R66" s="137">
        <f t="shared" si="9"/>
        <v>0</v>
      </c>
      <c r="S66" s="141">
        <f t="shared" si="10"/>
        <v>0</v>
      </c>
      <c r="T66" s="137">
        <f t="shared" si="11"/>
        <v>0</v>
      </c>
      <c r="U66" s="137">
        <f>ROUND(VERİLER!$F$9*T66,3)</f>
        <v>0</v>
      </c>
      <c r="V66" s="336">
        <f t="shared" si="12"/>
        <v>0</v>
      </c>
      <c r="W66" s="113"/>
      <c r="X66" s="113"/>
      <c r="Y66" s="113"/>
    </row>
    <row r="67" spans="1:25" s="143" customFormat="1" ht="17.25" customHeight="1" x14ac:dyDescent="0.2">
      <c r="A67" s="299" t="str">
        <f>IF('İşçi Bilgileri'!A65="","",'İşçi Bilgileri'!A65)</f>
        <v/>
      </c>
      <c r="B67" s="300" t="str">
        <f>IF($A67="","",VLOOKUP($A67,'İşçi Bilgileri'!$A$2:$D$700,4,FALSE))</f>
        <v/>
      </c>
      <c r="C67" s="301" t="str">
        <f>CONCATENATE(IF($A67="","",VLOOKUP($A67,'İşçi Bilgileri'!$A$2:$D$700,2,FALSE))," ",IF($A67="","",VLOOKUP($A67,'İşçi Bilgileri'!$A$2:$D$700,3,FALSE)))</f>
        <v xml:space="preserve"> </v>
      </c>
      <c r="D67" s="137" t="str">
        <f>IF($A67="","",VERİLER!$C$5)</f>
        <v/>
      </c>
      <c r="E67" s="138" t="str">
        <f>IF($A67="","",Puantaj!AJ72)</f>
        <v/>
      </c>
      <c r="F67" s="137">
        <f t="shared" si="1"/>
        <v>0</v>
      </c>
      <c r="G67" s="137"/>
      <c r="H67" s="137">
        <f t="shared" si="2"/>
        <v>0</v>
      </c>
      <c r="I67" s="137">
        <f t="shared" si="3"/>
        <v>0</v>
      </c>
      <c r="J67" s="137">
        <f>IF(F67&gt;VERİLER!$C$7,'İşçi Bilgileri'!M65+(F67-VERİLER!$C$7),0)</f>
        <v>0</v>
      </c>
      <c r="K67" s="137">
        <f>IF(VERİLER!$C$11&gt;0,ROUND(J67*0.15,2),0)</f>
        <v>0</v>
      </c>
      <c r="L67" s="359">
        <f t="shared" si="4"/>
        <v>0</v>
      </c>
      <c r="M67" s="139">
        <f t="shared" si="5"/>
        <v>0</v>
      </c>
      <c r="N67" s="137">
        <f t="shared" si="6"/>
        <v>0</v>
      </c>
      <c r="O67" s="359">
        <f t="shared" si="7"/>
        <v>0</v>
      </c>
      <c r="P67" s="140">
        <f t="shared" si="8"/>
        <v>0</v>
      </c>
      <c r="Q67" s="140">
        <v>0</v>
      </c>
      <c r="R67" s="137">
        <f t="shared" si="9"/>
        <v>0</v>
      </c>
      <c r="S67" s="141">
        <f t="shared" si="10"/>
        <v>0</v>
      </c>
      <c r="T67" s="137">
        <f t="shared" si="11"/>
        <v>0</v>
      </c>
      <c r="U67" s="137">
        <f>ROUND(VERİLER!$F$9*T67,3)</f>
        <v>0</v>
      </c>
      <c r="V67" s="336">
        <f t="shared" si="12"/>
        <v>0</v>
      </c>
      <c r="W67" s="113"/>
      <c r="X67" s="113"/>
      <c r="Y67" s="113"/>
    </row>
    <row r="68" spans="1:25" s="143" customFormat="1" ht="15" customHeight="1" x14ac:dyDescent="0.2">
      <c r="A68" s="299" t="str">
        <f>IF('İşçi Bilgileri'!A66="","",'İşçi Bilgileri'!A66)</f>
        <v/>
      </c>
      <c r="B68" s="300" t="str">
        <f>IF($A68="","",VLOOKUP($A68,'İşçi Bilgileri'!$A$2:$D$700,4,FALSE))</f>
        <v/>
      </c>
      <c r="C68" s="301" t="str">
        <f>CONCATENATE(IF($A68="","",VLOOKUP($A68,'İşçi Bilgileri'!$A$2:$D$700,2,FALSE))," ",IF($A68="","",VLOOKUP($A68,'İşçi Bilgileri'!$A$2:$D$700,3,FALSE)))</f>
        <v xml:space="preserve"> </v>
      </c>
      <c r="D68" s="137" t="str">
        <f>IF($A68="","",VERİLER!$C$5)</f>
        <v/>
      </c>
      <c r="E68" s="138" t="str">
        <f>IF($A68="","",Puantaj!AJ73)</f>
        <v/>
      </c>
      <c r="F68" s="137">
        <f t="shared" si="1"/>
        <v>0</v>
      </c>
      <c r="G68" s="137"/>
      <c r="H68" s="137">
        <f t="shared" si="2"/>
        <v>0</v>
      </c>
      <c r="I68" s="137">
        <f t="shared" si="3"/>
        <v>0</v>
      </c>
      <c r="J68" s="137">
        <f>IF(F68&gt;VERİLER!$C$7,'İşçi Bilgileri'!M66+(F68-VERİLER!$C$7),0)</f>
        <v>0</v>
      </c>
      <c r="K68" s="137">
        <f>IF(VERİLER!$C$11&gt;0,ROUND(J68*0.15,2),0)</f>
        <v>0</v>
      </c>
      <c r="L68" s="359">
        <f t="shared" si="4"/>
        <v>0</v>
      </c>
      <c r="M68" s="139">
        <f t="shared" si="5"/>
        <v>0</v>
      </c>
      <c r="N68" s="137">
        <f t="shared" si="6"/>
        <v>0</v>
      </c>
      <c r="O68" s="359">
        <f t="shared" si="7"/>
        <v>0</v>
      </c>
      <c r="P68" s="140">
        <f t="shared" si="8"/>
        <v>0</v>
      </c>
      <c r="Q68" s="140">
        <v>0</v>
      </c>
      <c r="R68" s="137">
        <f t="shared" si="9"/>
        <v>0</v>
      </c>
      <c r="S68" s="141">
        <f t="shared" si="10"/>
        <v>0</v>
      </c>
      <c r="T68" s="137">
        <f t="shared" si="11"/>
        <v>0</v>
      </c>
      <c r="U68" s="137">
        <f>ROUND(VERİLER!$F$9*T68,3)</f>
        <v>0</v>
      </c>
      <c r="V68" s="336">
        <f t="shared" si="12"/>
        <v>0</v>
      </c>
      <c r="W68" s="113"/>
      <c r="X68" s="113"/>
      <c r="Y68" s="113"/>
    </row>
    <row r="69" spans="1:25" s="143" customFormat="1" ht="15" customHeight="1" x14ac:dyDescent="0.2">
      <c r="A69" s="299" t="str">
        <f>IF('İşçi Bilgileri'!A67="","",'İşçi Bilgileri'!A67)</f>
        <v/>
      </c>
      <c r="B69" s="300" t="str">
        <f>IF($A69="","",VLOOKUP($A69,'İşçi Bilgileri'!$A$2:$D$700,4,FALSE))</f>
        <v/>
      </c>
      <c r="C69" s="301" t="str">
        <f>CONCATENATE(IF($A69="","",VLOOKUP($A69,'İşçi Bilgileri'!$A$2:$D$700,2,FALSE))," ",IF($A69="","",VLOOKUP($A69,'İşçi Bilgileri'!$A$2:$D$700,3,FALSE)))</f>
        <v xml:space="preserve"> </v>
      </c>
      <c r="D69" s="137" t="str">
        <f>IF($A69="","",VERİLER!$C$5)</f>
        <v/>
      </c>
      <c r="E69" s="138" t="str">
        <f>IF($A69="","",Puantaj!AJ74)</f>
        <v/>
      </c>
      <c r="F69" s="137">
        <f t="shared" ref="F69:F132" si="13">IFERROR(ROUND(D69*E69,2),0)</f>
        <v>0</v>
      </c>
      <c r="G69" s="137"/>
      <c r="H69" s="137">
        <f t="shared" ref="H69:H132" si="14">ROUND(T69*0.045,3)</f>
        <v>0</v>
      </c>
      <c r="I69" s="137">
        <f t="shared" ref="I69:I132" si="15">ROUND(F69*0.01,2)</f>
        <v>0</v>
      </c>
      <c r="J69" s="137">
        <f>IF(F69&gt;VERİLER!$C$7,'İşçi Bilgileri'!M67+(F69-VERİLER!$C$7),0)</f>
        <v>0</v>
      </c>
      <c r="K69" s="137">
        <f>IF(VERİLER!$C$11&gt;0,ROUND(J69*0.15,2),0)</f>
        <v>0</v>
      </c>
      <c r="L69" s="359">
        <f t="shared" ref="L69:L132" si="16">K69</f>
        <v>0</v>
      </c>
      <c r="M69" s="139">
        <f t="shared" ref="M69:M132" si="17">K69-L69</f>
        <v>0</v>
      </c>
      <c r="N69" s="137">
        <f t="shared" ref="N69:N132" si="18">F69*0.00759</f>
        <v>0</v>
      </c>
      <c r="O69" s="359">
        <f t="shared" ref="O69:O132" si="19">N69</f>
        <v>0</v>
      </c>
      <c r="P69" s="140">
        <f t="shared" ref="P69:P132" si="20">N69-O69</f>
        <v>0</v>
      </c>
      <c r="Q69" s="140">
        <v>0</v>
      </c>
      <c r="R69" s="137">
        <f t="shared" ref="R69:R132" si="21">ROUND(H69+I69,2)</f>
        <v>0</v>
      </c>
      <c r="S69" s="141">
        <f t="shared" ref="S69:S132" si="22">ROUND(F69,3)</f>
        <v>0</v>
      </c>
      <c r="T69" s="137">
        <f t="shared" ref="T69:T132" si="23">F69</f>
        <v>0</v>
      </c>
      <c r="U69" s="137">
        <f>ROUND(VERİLER!$F$9*T69,3)</f>
        <v>0</v>
      </c>
      <c r="V69" s="336">
        <f t="shared" ref="V69:V132" si="24">T69+U69+H69+I69</f>
        <v>0</v>
      </c>
      <c r="W69" s="113"/>
      <c r="X69" s="113"/>
      <c r="Y69" s="113"/>
    </row>
    <row r="70" spans="1:25" s="143" customFormat="1" ht="15" customHeight="1" x14ac:dyDescent="0.2">
      <c r="A70" s="299" t="str">
        <f>IF('İşçi Bilgileri'!A68="","",'İşçi Bilgileri'!A68)</f>
        <v/>
      </c>
      <c r="B70" s="300" t="str">
        <f>IF($A70="","",VLOOKUP($A70,'İşçi Bilgileri'!$A$2:$D$700,4,FALSE))</f>
        <v/>
      </c>
      <c r="C70" s="301" t="str">
        <f>CONCATENATE(IF($A70="","",VLOOKUP($A70,'İşçi Bilgileri'!$A$2:$D$700,2,FALSE))," ",IF($A70="","",VLOOKUP($A70,'İşçi Bilgileri'!$A$2:$D$700,3,FALSE)))</f>
        <v xml:space="preserve"> </v>
      </c>
      <c r="D70" s="137" t="str">
        <f>IF($A70="","",VERİLER!$C$5)</f>
        <v/>
      </c>
      <c r="E70" s="138" t="str">
        <f>IF($A70="","",Puantaj!AJ75)</f>
        <v/>
      </c>
      <c r="F70" s="137">
        <f t="shared" si="13"/>
        <v>0</v>
      </c>
      <c r="G70" s="137"/>
      <c r="H70" s="137">
        <f t="shared" si="14"/>
        <v>0</v>
      </c>
      <c r="I70" s="137">
        <f t="shared" si="15"/>
        <v>0</v>
      </c>
      <c r="J70" s="137">
        <f>IF(F70&gt;VERİLER!$C$7,'İşçi Bilgileri'!M68+(F70-VERİLER!$C$7),0)</f>
        <v>0</v>
      </c>
      <c r="K70" s="137">
        <f>IF(VERİLER!$C$11&gt;0,ROUND(J70*0.15,2),0)</f>
        <v>0</v>
      </c>
      <c r="L70" s="359">
        <f t="shared" si="16"/>
        <v>0</v>
      </c>
      <c r="M70" s="139">
        <f t="shared" si="17"/>
        <v>0</v>
      </c>
      <c r="N70" s="137">
        <f t="shared" si="18"/>
        <v>0</v>
      </c>
      <c r="O70" s="359">
        <f t="shared" si="19"/>
        <v>0</v>
      </c>
      <c r="P70" s="140">
        <f t="shared" si="20"/>
        <v>0</v>
      </c>
      <c r="Q70" s="140">
        <v>0</v>
      </c>
      <c r="R70" s="137">
        <f t="shared" si="21"/>
        <v>0</v>
      </c>
      <c r="S70" s="141">
        <f t="shared" si="22"/>
        <v>0</v>
      </c>
      <c r="T70" s="137">
        <f t="shared" si="23"/>
        <v>0</v>
      </c>
      <c r="U70" s="137">
        <f>ROUND(VERİLER!$F$9*T70,3)</f>
        <v>0</v>
      </c>
      <c r="V70" s="336">
        <f t="shared" si="24"/>
        <v>0</v>
      </c>
      <c r="W70" s="113"/>
      <c r="X70" s="113"/>
      <c r="Y70" s="113"/>
    </row>
    <row r="71" spans="1:25" s="143" customFormat="1" ht="15" customHeight="1" x14ac:dyDescent="0.2">
      <c r="A71" s="299" t="str">
        <f>IF('İşçi Bilgileri'!A69="","",'İşçi Bilgileri'!A69)</f>
        <v/>
      </c>
      <c r="B71" s="300" t="str">
        <f>IF($A71="","",VLOOKUP($A71,'İşçi Bilgileri'!$A$2:$D$700,4,FALSE))</f>
        <v/>
      </c>
      <c r="C71" s="301" t="str">
        <f>CONCATENATE(IF($A71="","",VLOOKUP($A71,'İşçi Bilgileri'!$A$2:$D$700,2,FALSE))," ",IF($A71="","",VLOOKUP($A71,'İşçi Bilgileri'!$A$2:$D$700,3,FALSE)))</f>
        <v xml:space="preserve"> </v>
      </c>
      <c r="D71" s="137" t="str">
        <f>IF($A71="","",VERİLER!$C$5)</f>
        <v/>
      </c>
      <c r="E71" s="138" t="str">
        <f>IF($A71="","",Puantaj!AJ76)</f>
        <v/>
      </c>
      <c r="F71" s="137">
        <f t="shared" si="13"/>
        <v>0</v>
      </c>
      <c r="G71" s="137"/>
      <c r="H71" s="137">
        <f t="shared" si="14"/>
        <v>0</v>
      </c>
      <c r="I71" s="137">
        <f t="shared" si="15"/>
        <v>0</v>
      </c>
      <c r="J71" s="137">
        <f>IF(F71&gt;VERİLER!$C$7,'İşçi Bilgileri'!M69+(F71-VERİLER!$C$7),0)</f>
        <v>0</v>
      </c>
      <c r="K71" s="137">
        <f>IF(VERİLER!$C$11&gt;0,ROUND(J71*0.15,2),0)</f>
        <v>0</v>
      </c>
      <c r="L71" s="359">
        <f t="shared" si="16"/>
        <v>0</v>
      </c>
      <c r="M71" s="139">
        <f t="shared" si="17"/>
        <v>0</v>
      </c>
      <c r="N71" s="137">
        <f t="shared" si="18"/>
        <v>0</v>
      </c>
      <c r="O71" s="359">
        <f t="shared" si="19"/>
        <v>0</v>
      </c>
      <c r="P71" s="140">
        <f t="shared" si="20"/>
        <v>0</v>
      </c>
      <c r="Q71" s="140">
        <v>0</v>
      </c>
      <c r="R71" s="137">
        <f t="shared" si="21"/>
        <v>0</v>
      </c>
      <c r="S71" s="141">
        <f t="shared" si="22"/>
        <v>0</v>
      </c>
      <c r="T71" s="137">
        <f t="shared" si="23"/>
        <v>0</v>
      </c>
      <c r="U71" s="137">
        <f>ROUND(VERİLER!$F$9*T71,3)</f>
        <v>0</v>
      </c>
      <c r="V71" s="336">
        <f t="shared" si="24"/>
        <v>0</v>
      </c>
      <c r="W71" s="113"/>
      <c r="X71" s="113"/>
      <c r="Y71" s="113"/>
    </row>
    <row r="72" spans="1:25" s="143" customFormat="1" ht="15" customHeight="1" x14ac:dyDescent="0.2">
      <c r="A72" s="299" t="str">
        <f>IF('İşçi Bilgileri'!A70="","",'İşçi Bilgileri'!A70)</f>
        <v/>
      </c>
      <c r="B72" s="300" t="str">
        <f>IF($A72="","",VLOOKUP($A72,'İşçi Bilgileri'!$A$2:$D$700,4,FALSE))</f>
        <v/>
      </c>
      <c r="C72" s="301" t="str">
        <f>CONCATENATE(IF($A72="","",VLOOKUP($A72,'İşçi Bilgileri'!$A$2:$D$700,2,FALSE))," ",IF($A72="","",VLOOKUP($A72,'İşçi Bilgileri'!$A$2:$D$700,3,FALSE)))</f>
        <v xml:space="preserve"> </v>
      </c>
      <c r="D72" s="137" t="str">
        <f>IF($A72="","",VERİLER!$C$5)</f>
        <v/>
      </c>
      <c r="E72" s="138" t="str">
        <f>IF($A72="","",Puantaj!AJ77)</f>
        <v/>
      </c>
      <c r="F72" s="137">
        <f t="shared" si="13"/>
        <v>0</v>
      </c>
      <c r="G72" s="137"/>
      <c r="H72" s="137">
        <f t="shared" si="14"/>
        <v>0</v>
      </c>
      <c r="I72" s="137">
        <f t="shared" si="15"/>
        <v>0</v>
      </c>
      <c r="J72" s="137">
        <f>IF(F72&gt;VERİLER!$C$7,'İşçi Bilgileri'!M70+(F72-VERİLER!$C$7),0)</f>
        <v>0</v>
      </c>
      <c r="K72" s="137">
        <f>IF(VERİLER!$C$11&gt;0,ROUND(J72*0.15,2),0)</f>
        <v>0</v>
      </c>
      <c r="L72" s="359">
        <f t="shared" si="16"/>
        <v>0</v>
      </c>
      <c r="M72" s="139">
        <f t="shared" si="17"/>
        <v>0</v>
      </c>
      <c r="N72" s="137">
        <f t="shared" si="18"/>
        <v>0</v>
      </c>
      <c r="O72" s="359">
        <f t="shared" si="19"/>
        <v>0</v>
      </c>
      <c r="P72" s="140">
        <f t="shared" si="20"/>
        <v>0</v>
      </c>
      <c r="Q72" s="140">
        <v>0</v>
      </c>
      <c r="R72" s="137">
        <f t="shared" si="21"/>
        <v>0</v>
      </c>
      <c r="S72" s="141">
        <f t="shared" si="22"/>
        <v>0</v>
      </c>
      <c r="T72" s="137">
        <f t="shared" si="23"/>
        <v>0</v>
      </c>
      <c r="U72" s="137">
        <f>ROUND(VERİLER!$F$9*T72,3)</f>
        <v>0</v>
      </c>
      <c r="V72" s="336">
        <f t="shared" si="24"/>
        <v>0</v>
      </c>
      <c r="W72" s="113"/>
      <c r="X72" s="113"/>
      <c r="Y72" s="113"/>
    </row>
    <row r="73" spans="1:25" s="143" customFormat="1" ht="15" customHeight="1" x14ac:dyDescent="0.2">
      <c r="A73" s="299" t="str">
        <f>IF('İşçi Bilgileri'!A71="","",'İşçi Bilgileri'!A71)</f>
        <v/>
      </c>
      <c r="B73" s="300" t="str">
        <f>IF($A73="","",VLOOKUP($A73,'İşçi Bilgileri'!$A$2:$D$700,4,FALSE))</f>
        <v/>
      </c>
      <c r="C73" s="301" t="str">
        <f>CONCATENATE(IF($A73="","",VLOOKUP($A73,'İşçi Bilgileri'!$A$2:$D$700,2,FALSE))," ",IF($A73="","",VLOOKUP($A73,'İşçi Bilgileri'!$A$2:$D$700,3,FALSE)))</f>
        <v xml:space="preserve"> </v>
      </c>
      <c r="D73" s="137" t="str">
        <f>IF($A73="","",VERİLER!$C$5)</f>
        <v/>
      </c>
      <c r="E73" s="138" t="str">
        <f>IF($A73="","",Puantaj!AJ78)</f>
        <v/>
      </c>
      <c r="F73" s="137">
        <f t="shared" si="13"/>
        <v>0</v>
      </c>
      <c r="G73" s="137"/>
      <c r="H73" s="137">
        <f t="shared" si="14"/>
        <v>0</v>
      </c>
      <c r="I73" s="137">
        <f t="shared" si="15"/>
        <v>0</v>
      </c>
      <c r="J73" s="137">
        <f>IF(F73&gt;VERİLER!$C$7,'İşçi Bilgileri'!M71+(F73-VERİLER!$C$7),0)</f>
        <v>0</v>
      </c>
      <c r="K73" s="137">
        <f>IF(VERİLER!$C$11&gt;0,ROUND(J73*0.15,2),0)</f>
        <v>0</v>
      </c>
      <c r="L73" s="359">
        <f t="shared" si="16"/>
        <v>0</v>
      </c>
      <c r="M73" s="139">
        <f t="shared" si="17"/>
        <v>0</v>
      </c>
      <c r="N73" s="137">
        <f t="shared" si="18"/>
        <v>0</v>
      </c>
      <c r="O73" s="359">
        <f t="shared" si="19"/>
        <v>0</v>
      </c>
      <c r="P73" s="140">
        <f t="shared" si="20"/>
        <v>0</v>
      </c>
      <c r="Q73" s="140">
        <v>0</v>
      </c>
      <c r="R73" s="137">
        <f t="shared" si="21"/>
        <v>0</v>
      </c>
      <c r="S73" s="141">
        <f t="shared" si="22"/>
        <v>0</v>
      </c>
      <c r="T73" s="137">
        <f t="shared" si="23"/>
        <v>0</v>
      </c>
      <c r="U73" s="137">
        <f>ROUND(VERİLER!$F$9*T73,3)</f>
        <v>0</v>
      </c>
      <c r="V73" s="336">
        <f t="shared" si="24"/>
        <v>0</v>
      </c>
      <c r="W73" s="113"/>
      <c r="X73" s="113"/>
      <c r="Y73" s="113"/>
    </row>
    <row r="74" spans="1:25" s="143" customFormat="1" ht="15" customHeight="1" x14ac:dyDescent="0.2">
      <c r="A74" s="299" t="str">
        <f>IF('İşçi Bilgileri'!A72="","",'İşçi Bilgileri'!A72)</f>
        <v/>
      </c>
      <c r="B74" s="300" t="str">
        <f>IF($A74="","",VLOOKUP($A74,'İşçi Bilgileri'!$A$2:$D$700,4,FALSE))</f>
        <v/>
      </c>
      <c r="C74" s="301" t="str">
        <f>CONCATENATE(IF($A74="","",VLOOKUP($A74,'İşçi Bilgileri'!$A$2:$D$700,2,FALSE))," ",IF($A74="","",VLOOKUP($A74,'İşçi Bilgileri'!$A$2:$D$700,3,FALSE)))</f>
        <v xml:space="preserve"> </v>
      </c>
      <c r="D74" s="137" t="str">
        <f>IF($A74="","",VERİLER!$C$5)</f>
        <v/>
      </c>
      <c r="E74" s="138" t="str">
        <f>IF($A74="","",Puantaj!AJ79)</f>
        <v/>
      </c>
      <c r="F74" s="137">
        <f t="shared" si="13"/>
        <v>0</v>
      </c>
      <c r="G74" s="137"/>
      <c r="H74" s="137">
        <f t="shared" si="14"/>
        <v>0</v>
      </c>
      <c r="I74" s="137">
        <f t="shared" si="15"/>
        <v>0</v>
      </c>
      <c r="J74" s="137">
        <f>IF(F74&gt;VERİLER!$C$7,'İşçi Bilgileri'!M72+(F74-VERİLER!$C$7),0)</f>
        <v>0</v>
      </c>
      <c r="K74" s="137">
        <f>IF(VERİLER!$C$11&gt;0,ROUND(J74*0.15,2),0)</f>
        <v>0</v>
      </c>
      <c r="L74" s="359">
        <f t="shared" si="16"/>
        <v>0</v>
      </c>
      <c r="M74" s="139">
        <f t="shared" si="17"/>
        <v>0</v>
      </c>
      <c r="N74" s="137">
        <f t="shared" si="18"/>
        <v>0</v>
      </c>
      <c r="O74" s="359">
        <f t="shared" si="19"/>
        <v>0</v>
      </c>
      <c r="P74" s="140">
        <f t="shared" si="20"/>
        <v>0</v>
      </c>
      <c r="Q74" s="140">
        <v>0</v>
      </c>
      <c r="R74" s="137">
        <f t="shared" si="21"/>
        <v>0</v>
      </c>
      <c r="S74" s="141">
        <f t="shared" si="22"/>
        <v>0</v>
      </c>
      <c r="T74" s="137">
        <f t="shared" si="23"/>
        <v>0</v>
      </c>
      <c r="U74" s="137">
        <f>ROUND(VERİLER!$F$9*T74,3)</f>
        <v>0</v>
      </c>
      <c r="V74" s="336">
        <f t="shared" si="24"/>
        <v>0</v>
      </c>
      <c r="W74" s="113"/>
      <c r="X74" s="113"/>
      <c r="Y74" s="113"/>
    </row>
    <row r="75" spans="1:25" s="143" customFormat="1" ht="15" customHeight="1" x14ac:dyDescent="0.2">
      <c r="A75" s="299" t="str">
        <f>IF('İşçi Bilgileri'!A73="","",'İşçi Bilgileri'!A73)</f>
        <v/>
      </c>
      <c r="B75" s="300" t="str">
        <f>IF($A75="","",VLOOKUP($A75,'İşçi Bilgileri'!$A$2:$D$700,4,FALSE))</f>
        <v/>
      </c>
      <c r="C75" s="301" t="str">
        <f>CONCATENATE(IF($A75="","",VLOOKUP($A75,'İşçi Bilgileri'!$A$2:$D$700,2,FALSE))," ",IF($A75="","",VLOOKUP($A75,'İşçi Bilgileri'!$A$2:$D$700,3,FALSE)))</f>
        <v xml:space="preserve"> </v>
      </c>
      <c r="D75" s="137" t="str">
        <f>IF($A75="","",VERİLER!$C$5)</f>
        <v/>
      </c>
      <c r="E75" s="138" t="str">
        <f>IF($A75="","",Puantaj!AJ80)</f>
        <v/>
      </c>
      <c r="F75" s="137">
        <f t="shared" si="13"/>
        <v>0</v>
      </c>
      <c r="G75" s="137"/>
      <c r="H75" s="137">
        <f t="shared" si="14"/>
        <v>0</v>
      </c>
      <c r="I75" s="137">
        <f t="shared" si="15"/>
        <v>0</v>
      </c>
      <c r="J75" s="137">
        <f>IF(F75&gt;VERİLER!$C$7,'İşçi Bilgileri'!M73+(F75-VERİLER!$C$7),0)</f>
        <v>0</v>
      </c>
      <c r="K75" s="137">
        <f>IF(VERİLER!$C$11&gt;0,ROUND(J75*0.15,2),0)</f>
        <v>0</v>
      </c>
      <c r="L75" s="359">
        <f t="shared" si="16"/>
        <v>0</v>
      </c>
      <c r="M75" s="139">
        <f t="shared" si="17"/>
        <v>0</v>
      </c>
      <c r="N75" s="137">
        <f t="shared" si="18"/>
        <v>0</v>
      </c>
      <c r="O75" s="359">
        <f t="shared" si="19"/>
        <v>0</v>
      </c>
      <c r="P75" s="140">
        <f t="shared" si="20"/>
        <v>0</v>
      </c>
      <c r="Q75" s="140">
        <v>0</v>
      </c>
      <c r="R75" s="137">
        <f t="shared" si="21"/>
        <v>0</v>
      </c>
      <c r="S75" s="141">
        <f t="shared" si="22"/>
        <v>0</v>
      </c>
      <c r="T75" s="137">
        <f t="shared" si="23"/>
        <v>0</v>
      </c>
      <c r="U75" s="137">
        <f>ROUND(VERİLER!$F$9*T75,3)</f>
        <v>0</v>
      </c>
      <c r="V75" s="336">
        <f t="shared" si="24"/>
        <v>0</v>
      </c>
      <c r="W75" s="113"/>
      <c r="X75" s="113"/>
      <c r="Y75" s="113"/>
    </row>
    <row r="76" spans="1:25" s="143" customFormat="1" ht="15" customHeight="1" x14ac:dyDescent="0.2">
      <c r="A76" s="299" t="str">
        <f>IF('İşçi Bilgileri'!A74="","",'İşçi Bilgileri'!A74)</f>
        <v/>
      </c>
      <c r="B76" s="300" t="str">
        <f>IF($A76="","",VLOOKUP($A76,'İşçi Bilgileri'!$A$2:$D$700,4,FALSE))</f>
        <v/>
      </c>
      <c r="C76" s="301" t="str">
        <f>CONCATENATE(IF($A76="","",VLOOKUP($A76,'İşçi Bilgileri'!$A$2:$D$700,2,FALSE))," ",IF($A76="","",VLOOKUP($A76,'İşçi Bilgileri'!$A$2:$D$700,3,FALSE)))</f>
        <v xml:space="preserve"> </v>
      </c>
      <c r="D76" s="137" t="str">
        <f>IF($A76="","",VERİLER!$C$5)</f>
        <v/>
      </c>
      <c r="E76" s="138" t="str">
        <f>IF($A76="","",Puantaj!AJ81)</f>
        <v/>
      </c>
      <c r="F76" s="137">
        <f t="shared" si="13"/>
        <v>0</v>
      </c>
      <c r="G76" s="137"/>
      <c r="H76" s="137">
        <f t="shared" si="14"/>
        <v>0</v>
      </c>
      <c r="I76" s="137">
        <f t="shared" si="15"/>
        <v>0</v>
      </c>
      <c r="J76" s="137">
        <f>IF(F76&gt;VERİLER!$C$7,'İşçi Bilgileri'!M74+(F76-VERİLER!$C$7),0)</f>
        <v>0</v>
      </c>
      <c r="K76" s="137">
        <f>IF(VERİLER!$C$11&gt;0,ROUND(J76*0.15,2),0)</f>
        <v>0</v>
      </c>
      <c r="L76" s="359">
        <f t="shared" si="16"/>
        <v>0</v>
      </c>
      <c r="M76" s="139">
        <f t="shared" si="17"/>
        <v>0</v>
      </c>
      <c r="N76" s="137">
        <f t="shared" si="18"/>
        <v>0</v>
      </c>
      <c r="O76" s="359">
        <f t="shared" si="19"/>
        <v>0</v>
      </c>
      <c r="P76" s="140">
        <f t="shared" si="20"/>
        <v>0</v>
      </c>
      <c r="Q76" s="140">
        <v>0</v>
      </c>
      <c r="R76" s="137">
        <f t="shared" si="21"/>
        <v>0</v>
      </c>
      <c r="S76" s="141">
        <f t="shared" si="22"/>
        <v>0</v>
      </c>
      <c r="T76" s="137">
        <f t="shared" si="23"/>
        <v>0</v>
      </c>
      <c r="U76" s="137">
        <f>ROUND(VERİLER!$F$9*T76,3)</f>
        <v>0</v>
      </c>
      <c r="V76" s="336">
        <f t="shared" si="24"/>
        <v>0</v>
      </c>
      <c r="W76" s="113"/>
      <c r="X76" s="113"/>
      <c r="Y76" s="113"/>
    </row>
    <row r="77" spans="1:25" s="143" customFormat="1" ht="15" customHeight="1" x14ac:dyDescent="0.2">
      <c r="A77" s="299" t="str">
        <f>IF('İşçi Bilgileri'!A75="","",'İşçi Bilgileri'!A75)</f>
        <v/>
      </c>
      <c r="B77" s="300" t="str">
        <f>IF($A77="","",VLOOKUP($A77,'İşçi Bilgileri'!$A$2:$D$700,4,FALSE))</f>
        <v/>
      </c>
      <c r="C77" s="301" t="str">
        <f>CONCATENATE(IF($A77="","",VLOOKUP($A77,'İşçi Bilgileri'!$A$2:$D$700,2,FALSE))," ",IF($A77="","",VLOOKUP($A77,'İşçi Bilgileri'!$A$2:$D$700,3,FALSE)))</f>
        <v xml:space="preserve"> </v>
      </c>
      <c r="D77" s="137" t="str">
        <f>IF($A77="","",VERİLER!$C$5)</f>
        <v/>
      </c>
      <c r="E77" s="138" t="str">
        <f>IF($A77="","",Puantaj!AJ82)</f>
        <v/>
      </c>
      <c r="F77" s="137">
        <f t="shared" si="13"/>
        <v>0</v>
      </c>
      <c r="G77" s="137"/>
      <c r="H77" s="137">
        <f t="shared" si="14"/>
        <v>0</v>
      </c>
      <c r="I77" s="137">
        <f t="shared" si="15"/>
        <v>0</v>
      </c>
      <c r="J77" s="137">
        <f>IF(F77&gt;VERİLER!$C$7,'İşçi Bilgileri'!M75+(F77-VERİLER!$C$7),0)</f>
        <v>0</v>
      </c>
      <c r="K77" s="137">
        <f>IF(VERİLER!$C$11&gt;0,ROUND(J77*0.15,2),0)</f>
        <v>0</v>
      </c>
      <c r="L77" s="359">
        <f t="shared" si="16"/>
        <v>0</v>
      </c>
      <c r="M77" s="139">
        <f t="shared" si="17"/>
        <v>0</v>
      </c>
      <c r="N77" s="137">
        <f t="shared" si="18"/>
        <v>0</v>
      </c>
      <c r="O77" s="359">
        <f t="shared" si="19"/>
        <v>0</v>
      </c>
      <c r="P77" s="140">
        <f t="shared" si="20"/>
        <v>0</v>
      </c>
      <c r="Q77" s="140">
        <v>0</v>
      </c>
      <c r="R77" s="137">
        <f t="shared" si="21"/>
        <v>0</v>
      </c>
      <c r="S77" s="141">
        <f t="shared" si="22"/>
        <v>0</v>
      </c>
      <c r="T77" s="137">
        <f t="shared" si="23"/>
        <v>0</v>
      </c>
      <c r="U77" s="137">
        <f>ROUND(VERİLER!$F$9*T77,3)</f>
        <v>0</v>
      </c>
      <c r="V77" s="336">
        <f t="shared" si="24"/>
        <v>0</v>
      </c>
      <c r="W77" s="113"/>
      <c r="X77" s="113"/>
      <c r="Y77" s="113"/>
    </row>
    <row r="78" spans="1:25" s="143" customFormat="1" ht="15" customHeight="1" x14ac:dyDescent="0.2">
      <c r="A78" s="299" t="str">
        <f>IF('İşçi Bilgileri'!A76="","",'İşçi Bilgileri'!A76)</f>
        <v/>
      </c>
      <c r="B78" s="300" t="str">
        <f>IF($A78="","",VLOOKUP($A78,'İşçi Bilgileri'!$A$2:$D$700,4,FALSE))</f>
        <v/>
      </c>
      <c r="C78" s="301" t="str">
        <f>CONCATENATE(IF($A78="","",VLOOKUP($A78,'İşçi Bilgileri'!$A$2:$D$700,2,FALSE))," ",IF($A78="","",VLOOKUP($A78,'İşçi Bilgileri'!$A$2:$D$700,3,FALSE)))</f>
        <v xml:space="preserve"> </v>
      </c>
      <c r="D78" s="137" t="str">
        <f>IF($A78="","",VERİLER!$C$5)</f>
        <v/>
      </c>
      <c r="E78" s="138" t="str">
        <f>IF($A78="","",Puantaj!AJ83)</f>
        <v/>
      </c>
      <c r="F78" s="137">
        <f t="shared" si="13"/>
        <v>0</v>
      </c>
      <c r="G78" s="137"/>
      <c r="H78" s="137">
        <f t="shared" si="14"/>
        <v>0</v>
      </c>
      <c r="I78" s="137">
        <f t="shared" si="15"/>
        <v>0</v>
      </c>
      <c r="J78" s="137">
        <f>IF(F78&gt;VERİLER!$C$7,'İşçi Bilgileri'!M76+(F78-VERİLER!$C$7),0)</f>
        <v>0</v>
      </c>
      <c r="K78" s="137">
        <f>IF(VERİLER!$C$11&gt;0,ROUND(J78*0.15,2),0)</f>
        <v>0</v>
      </c>
      <c r="L78" s="359">
        <f t="shared" si="16"/>
        <v>0</v>
      </c>
      <c r="M78" s="139">
        <f t="shared" si="17"/>
        <v>0</v>
      </c>
      <c r="N78" s="137">
        <f t="shared" si="18"/>
        <v>0</v>
      </c>
      <c r="O78" s="359">
        <f t="shared" si="19"/>
        <v>0</v>
      </c>
      <c r="P78" s="140">
        <f t="shared" si="20"/>
        <v>0</v>
      </c>
      <c r="Q78" s="140">
        <v>0</v>
      </c>
      <c r="R78" s="137">
        <f t="shared" si="21"/>
        <v>0</v>
      </c>
      <c r="S78" s="141">
        <f t="shared" si="22"/>
        <v>0</v>
      </c>
      <c r="T78" s="137">
        <f t="shared" si="23"/>
        <v>0</v>
      </c>
      <c r="U78" s="137">
        <f>ROUND(VERİLER!$F$9*T78,3)</f>
        <v>0</v>
      </c>
      <c r="V78" s="336">
        <f t="shared" si="24"/>
        <v>0</v>
      </c>
      <c r="W78" s="113"/>
      <c r="X78" s="113"/>
      <c r="Y78" s="113"/>
    </row>
    <row r="79" spans="1:25" s="143" customFormat="1" ht="15" customHeight="1" x14ac:dyDescent="0.2">
      <c r="A79" s="299" t="str">
        <f>IF('İşçi Bilgileri'!A77="","",'İşçi Bilgileri'!A77)</f>
        <v/>
      </c>
      <c r="B79" s="300" t="str">
        <f>IF($A79="","",VLOOKUP($A79,'İşçi Bilgileri'!$A$2:$D$700,4,FALSE))</f>
        <v/>
      </c>
      <c r="C79" s="301" t="str">
        <f>CONCATENATE(IF($A79="","",VLOOKUP($A79,'İşçi Bilgileri'!$A$2:$D$700,2,FALSE))," ",IF($A79="","",VLOOKUP($A79,'İşçi Bilgileri'!$A$2:$D$700,3,FALSE)))</f>
        <v xml:space="preserve"> </v>
      </c>
      <c r="D79" s="137" t="str">
        <f>IF($A79="","",VERİLER!$C$5)</f>
        <v/>
      </c>
      <c r="E79" s="138" t="str">
        <f>IF($A79="","",Puantaj!AJ84)</f>
        <v/>
      </c>
      <c r="F79" s="137">
        <f t="shared" si="13"/>
        <v>0</v>
      </c>
      <c r="G79" s="137"/>
      <c r="H79" s="137">
        <f t="shared" si="14"/>
        <v>0</v>
      </c>
      <c r="I79" s="137">
        <f t="shared" si="15"/>
        <v>0</v>
      </c>
      <c r="J79" s="137">
        <f>IF(F79&gt;VERİLER!$C$7,'İşçi Bilgileri'!M77+(F79-VERİLER!$C$7),0)</f>
        <v>0</v>
      </c>
      <c r="K79" s="137">
        <f>IF(VERİLER!$C$11&gt;0,ROUND(J79*0.15,2),0)</f>
        <v>0</v>
      </c>
      <c r="L79" s="359">
        <f t="shared" si="16"/>
        <v>0</v>
      </c>
      <c r="M79" s="139">
        <f t="shared" si="17"/>
        <v>0</v>
      </c>
      <c r="N79" s="137">
        <f t="shared" si="18"/>
        <v>0</v>
      </c>
      <c r="O79" s="359">
        <f t="shared" si="19"/>
        <v>0</v>
      </c>
      <c r="P79" s="140">
        <f t="shared" si="20"/>
        <v>0</v>
      </c>
      <c r="Q79" s="140">
        <v>0</v>
      </c>
      <c r="R79" s="137">
        <f t="shared" si="21"/>
        <v>0</v>
      </c>
      <c r="S79" s="141">
        <f t="shared" si="22"/>
        <v>0</v>
      </c>
      <c r="T79" s="137">
        <f t="shared" si="23"/>
        <v>0</v>
      </c>
      <c r="U79" s="137">
        <f>ROUND(VERİLER!$F$9*T79,3)</f>
        <v>0</v>
      </c>
      <c r="V79" s="336">
        <f t="shared" si="24"/>
        <v>0</v>
      </c>
      <c r="W79" s="113"/>
      <c r="X79" s="113"/>
      <c r="Y79" s="113"/>
    </row>
    <row r="80" spans="1:25" s="143" customFormat="1" ht="15" customHeight="1" x14ac:dyDescent="0.2">
      <c r="A80" s="299" t="str">
        <f>IF('İşçi Bilgileri'!A78="","",'İşçi Bilgileri'!A78)</f>
        <v/>
      </c>
      <c r="B80" s="300" t="str">
        <f>IF($A80="","",VLOOKUP($A80,'İşçi Bilgileri'!$A$2:$D$700,4,FALSE))</f>
        <v/>
      </c>
      <c r="C80" s="301" t="str">
        <f>CONCATENATE(IF($A80="","",VLOOKUP($A80,'İşçi Bilgileri'!$A$2:$D$700,2,FALSE))," ",IF($A80="","",VLOOKUP($A80,'İşçi Bilgileri'!$A$2:$D$700,3,FALSE)))</f>
        <v xml:space="preserve"> </v>
      </c>
      <c r="D80" s="137" t="str">
        <f>IF($A80="","",VERİLER!$C$5)</f>
        <v/>
      </c>
      <c r="E80" s="138" t="str">
        <f>IF($A80="","",Puantaj!AJ85)</f>
        <v/>
      </c>
      <c r="F80" s="137">
        <f t="shared" si="13"/>
        <v>0</v>
      </c>
      <c r="G80" s="137"/>
      <c r="H80" s="137">
        <f t="shared" si="14"/>
        <v>0</v>
      </c>
      <c r="I80" s="137">
        <f t="shared" si="15"/>
        <v>0</v>
      </c>
      <c r="J80" s="137">
        <f>IF(F80&gt;VERİLER!$C$7,'İşçi Bilgileri'!M78+(F80-VERİLER!$C$7),0)</f>
        <v>0</v>
      </c>
      <c r="K80" s="137">
        <f>IF(VERİLER!$C$11&gt;0,ROUND(J80*0.15,2),0)</f>
        <v>0</v>
      </c>
      <c r="L80" s="359">
        <f t="shared" si="16"/>
        <v>0</v>
      </c>
      <c r="M80" s="139">
        <f t="shared" si="17"/>
        <v>0</v>
      </c>
      <c r="N80" s="137">
        <f t="shared" si="18"/>
        <v>0</v>
      </c>
      <c r="O80" s="359">
        <f t="shared" si="19"/>
        <v>0</v>
      </c>
      <c r="P80" s="140">
        <f t="shared" si="20"/>
        <v>0</v>
      </c>
      <c r="Q80" s="140">
        <v>0</v>
      </c>
      <c r="R80" s="137">
        <f t="shared" si="21"/>
        <v>0</v>
      </c>
      <c r="S80" s="141">
        <f t="shared" si="22"/>
        <v>0</v>
      </c>
      <c r="T80" s="137">
        <f t="shared" si="23"/>
        <v>0</v>
      </c>
      <c r="U80" s="137">
        <f>ROUND(VERİLER!$F$9*T80,3)</f>
        <v>0</v>
      </c>
      <c r="V80" s="336">
        <f t="shared" si="24"/>
        <v>0</v>
      </c>
      <c r="W80" s="113"/>
      <c r="X80" s="113"/>
      <c r="Y80" s="113"/>
    </row>
    <row r="81" spans="1:25" s="143" customFormat="1" ht="15" customHeight="1" x14ac:dyDescent="0.2">
      <c r="A81" s="299" t="str">
        <f>IF('İşçi Bilgileri'!A79="","",'İşçi Bilgileri'!A79)</f>
        <v/>
      </c>
      <c r="B81" s="300" t="str">
        <f>IF($A81="","",VLOOKUP($A81,'İşçi Bilgileri'!$A$2:$D$700,4,FALSE))</f>
        <v/>
      </c>
      <c r="C81" s="301" t="str">
        <f>CONCATENATE(IF($A81="","",VLOOKUP($A81,'İşçi Bilgileri'!$A$2:$D$700,2,FALSE))," ",IF($A81="","",VLOOKUP($A81,'İşçi Bilgileri'!$A$2:$D$700,3,FALSE)))</f>
        <v xml:space="preserve"> </v>
      </c>
      <c r="D81" s="137" t="str">
        <f>IF($A81="","",VERİLER!$C$5)</f>
        <v/>
      </c>
      <c r="E81" s="138" t="str">
        <f>IF($A81="","",Puantaj!AJ86)</f>
        <v/>
      </c>
      <c r="F81" s="137">
        <f t="shared" si="13"/>
        <v>0</v>
      </c>
      <c r="G81" s="137"/>
      <c r="H81" s="137">
        <f t="shared" si="14"/>
        <v>0</v>
      </c>
      <c r="I81" s="137">
        <f t="shared" si="15"/>
        <v>0</v>
      </c>
      <c r="J81" s="137">
        <f>IF(F81&gt;VERİLER!$C$7,'İşçi Bilgileri'!M79+(F81-VERİLER!$C$7),0)</f>
        <v>0</v>
      </c>
      <c r="K81" s="137">
        <f>IF(VERİLER!$C$11&gt;0,ROUND(J81*0.15,2),0)</f>
        <v>0</v>
      </c>
      <c r="L81" s="359">
        <f t="shared" si="16"/>
        <v>0</v>
      </c>
      <c r="M81" s="139">
        <f t="shared" si="17"/>
        <v>0</v>
      </c>
      <c r="N81" s="137">
        <f t="shared" si="18"/>
        <v>0</v>
      </c>
      <c r="O81" s="359">
        <f t="shared" si="19"/>
        <v>0</v>
      </c>
      <c r="P81" s="140">
        <f t="shared" si="20"/>
        <v>0</v>
      </c>
      <c r="Q81" s="140">
        <v>0</v>
      </c>
      <c r="R81" s="137">
        <f t="shared" si="21"/>
        <v>0</v>
      </c>
      <c r="S81" s="141">
        <f t="shared" si="22"/>
        <v>0</v>
      </c>
      <c r="T81" s="137">
        <f t="shared" si="23"/>
        <v>0</v>
      </c>
      <c r="U81" s="137">
        <f>ROUND(VERİLER!$F$9*T81,3)</f>
        <v>0</v>
      </c>
      <c r="V81" s="336">
        <f t="shared" si="24"/>
        <v>0</v>
      </c>
      <c r="W81" s="113"/>
      <c r="X81" s="113"/>
      <c r="Y81" s="113"/>
    </row>
    <row r="82" spans="1:25" s="143" customFormat="1" ht="15" customHeight="1" x14ac:dyDescent="0.2">
      <c r="A82" s="299" t="str">
        <f>IF('İşçi Bilgileri'!A80="","",'İşçi Bilgileri'!A80)</f>
        <v/>
      </c>
      <c r="B82" s="300" t="str">
        <f>IF($A82="","",VLOOKUP($A82,'İşçi Bilgileri'!$A$2:$D$700,4,FALSE))</f>
        <v/>
      </c>
      <c r="C82" s="301" t="str">
        <f>CONCATENATE(IF($A82="","",VLOOKUP($A82,'İşçi Bilgileri'!$A$2:$D$700,2,FALSE))," ",IF($A82="","",VLOOKUP($A82,'İşçi Bilgileri'!$A$2:$D$700,3,FALSE)))</f>
        <v xml:space="preserve"> </v>
      </c>
      <c r="D82" s="137" t="str">
        <f>IF($A82="","",VERİLER!$C$5)</f>
        <v/>
      </c>
      <c r="E82" s="138" t="str">
        <f>IF($A82="","",Puantaj!AJ87)</f>
        <v/>
      </c>
      <c r="F82" s="137">
        <f t="shared" si="13"/>
        <v>0</v>
      </c>
      <c r="G82" s="137"/>
      <c r="H82" s="137">
        <f t="shared" si="14"/>
        <v>0</v>
      </c>
      <c r="I82" s="137">
        <f t="shared" si="15"/>
        <v>0</v>
      </c>
      <c r="J82" s="137">
        <f>IF(F82&gt;VERİLER!$C$7,'İşçi Bilgileri'!M80+(F82-VERİLER!$C$7),0)</f>
        <v>0</v>
      </c>
      <c r="K82" s="137">
        <f>IF(VERİLER!$C$11&gt;0,ROUND(J82*0.15,2),0)</f>
        <v>0</v>
      </c>
      <c r="L82" s="359">
        <f t="shared" si="16"/>
        <v>0</v>
      </c>
      <c r="M82" s="139">
        <f t="shared" si="17"/>
        <v>0</v>
      </c>
      <c r="N82" s="137">
        <f t="shared" si="18"/>
        <v>0</v>
      </c>
      <c r="O82" s="359">
        <f t="shared" si="19"/>
        <v>0</v>
      </c>
      <c r="P82" s="140">
        <f t="shared" si="20"/>
        <v>0</v>
      </c>
      <c r="Q82" s="140">
        <v>0</v>
      </c>
      <c r="R82" s="137">
        <f t="shared" si="21"/>
        <v>0</v>
      </c>
      <c r="S82" s="141">
        <f t="shared" si="22"/>
        <v>0</v>
      </c>
      <c r="T82" s="137">
        <f t="shared" si="23"/>
        <v>0</v>
      </c>
      <c r="U82" s="137">
        <f>ROUND(VERİLER!$F$9*T82,3)</f>
        <v>0</v>
      </c>
      <c r="V82" s="336">
        <f t="shared" si="24"/>
        <v>0</v>
      </c>
      <c r="W82" s="113"/>
      <c r="X82" s="113"/>
      <c r="Y82" s="113"/>
    </row>
    <row r="83" spans="1:25" s="143" customFormat="1" ht="15" customHeight="1" x14ac:dyDescent="0.2">
      <c r="A83" s="299" t="str">
        <f>IF('İşçi Bilgileri'!A81="","",'İşçi Bilgileri'!A81)</f>
        <v/>
      </c>
      <c r="B83" s="300" t="str">
        <f>IF($A83="","",VLOOKUP($A83,'İşçi Bilgileri'!$A$2:$D$700,4,FALSE))</f>
        <v/>
      </c>
      <c r="C83" s="301" t="str">
        <f>CONCATENATE(IF($A83="","",VLOOKUP($A83,'İşçi Bilgileri'!$A$2:$D$700,2,FALSE))," ",IF($A83="","",VLOOKUP($A83,'İşçi Bilgileri'!$A$2:$D$700,3,FALSE)))</f>
        <v xml:space="preserve"> </v>
      </c>
      <c r="D83" s="137" t="str">
        <f>IF($A83="","",VERİLER!$C$5)</f>
        <v/>
      </c>
      <c r="E83" s="138" t="str">
        <f>IF($A83="","",Puantaj!AJ88)</f>
        <v/>
      </c>
      <c r="F83" s="137">
        <f t="shared" si="13"/>
        <v>0</v>
      </c>
      <c r="G83" s="137"/>
      <c r="H83" s="137">
        <f t="shared" si="14"/>
        <v>0</v>
      </c>
      <c r="I83" s="137">
        <f t="shared" si="15"/>
        <v>0</v>
      </c>
      <c r="J83" s="137">
        <f>IF(F83&gt;VERİLER!$C$7,'İşçi Bilgileri'!M81+(F83-VERİLER!$C$7),0)</f>
        <v>0</v>
      </c>
      <c r="K83" s="137">
        <f>IF(VERİLER!$C$11&gt;0,ROUND(J83*0.15,2),0)</f>
        <v>0</v>
      </c>
      <c r="L83" s="359">
        <f t="shared" si="16"/>
        <v>0</v>
      </c>
      <c r="M83" s="139">
        <f t="shared" si="17"/>
        <v>0</v>
      </c>
      <c r="N83" s="137">
        <f t="shared" si="18"/>
        <v>0</v>
      </c>
      <c r="O83" s="359">
        <f t="shared" si="19"/>
        <v>0</v>
      </c>
      <c r="P83" s="140">
        <f t="shared" si="20"/>
        <v>0</v>
      </c>
      <c r="Q83" s="140">
        <v>0</v>
      </c>
      <c r="R83" s="137">
        <f t="shared" si="21"/>
        <v>0</v>
      </c>
      <c r="S83" s="141">
        <f t="shared" si="22"/>
        <v>0</v>
      </c>
      <c r="T83" s="137">
        <f t="shared" si="23"/>
        <v>0</v>
      </c>
      <c r="U83" s="137">
        <f>ROUND(VERİLER!$F$9*T83,3)</f>
        <v>0</v>
      </c>
      <c r="V83" s="336">
        <f t="shared" si="24"/>
        <v>0</v>
      </c>
      <c r="W83" s="113"/>
      <c r="X83" s="113"/>
      <c r="Y83" s="113"/>
    </row>
    <row r="84" spans="1:25" s="143" customFormat="1" ht="15" customHeight="1" x14ac:dyDescent="0.2">
      <c r="A84" s="299" t="str">
        <f>IF('İşçi Bilgileri'!A82="","",'İşçi Bilgileri'!A82)</f>
        <v/>
      </c>
      <c r="B84" s="300" t="str">
        <f>IF($A84="","",VLOOKUP($A84,'İşçi Bilgileri'!$A$2:$D$700,4,FALSE))</f>
        <v/>
      </c>
      <c r="C84" s="301" t="str">
        <f>CONCATENATE(IF($A84="","",VLOOKUP($A84,'İşçi Bilgileri'!$A$2:$D$700,2,FALSE))," ",IF($A84="","",VLOOKUP($A84,'İşçi Bilgileri'!$A$2:$D$700,3,FALSE)))</f>
        <v xml:space="preserve"> </v>
      </c>
      <c r="D84" s="137" t="str">
        <f>IF($A84="","",VERİLER!$C$5)</f>
        <v/>
      </c>
      <c r="E84" s="138" t="str">
        <f>IF($A84="","",Puantaj!AJ89)</f>
        <v/>
      </c>
      <c r="F84" s="137">
        <f t="shared" si="13"/>
        <v>0</v>
      </c>
      <c r="G84" s="137"/>
      <c r="H84" s="137">
        <f t="shared" si="14"/>
        <v>0</v>
      </c>
      <c r="I84" s="137">
        <f t="shared" si="15"/>
        <v>0</v>
      </c>
      <c r="J84" s="137">
        <f>IF(F84&gt;VERİLER!$C$7,'İşçi Bilgileri'!M82+(F84-VERİLER!$C$7),0)</f>
        <v>0</v>
      </c>
      <c r="K84" s="137">
        <f>IF(VERİLER!$C$11&gt;0,ROUND(J84*0.15,2),0)</f>
        <v>0</v>
      </c>
      <c r="L84" s="359">
        <f t="shared" si="16"/>
        <v>0</v>
      </c>
      <c r="M84" s="139">
        <f t="shared" si="17"/>
        <v>0</v>
      </c>
      <c r="N84" s="137">
        <f t="shared" si="18"/>
        <v>0</v>
      </c>
      <c r="O84" s="359">
        <f t="shared" si="19"/>
        <v>0</v>
      </c>
      <c r="P84" s="140">
        <f t="shared" si="20"/>
        <v>0</v>
      </c>
      <c r="Q84" s="140">
        <v>0</v>
      </c>
      <c r="R84" s="137">
        <f t="shared" si="21"/>
        <v>0</v>
      </c>
      <c r="S84" s="141">
        <f t="shared" si="22"/>
        <v>0</v>
      </c>
      <c r="T84" s="137">
        <f t="shared" si="23"/>
        <v>0</v>
      </c>
      <c r="U84" s="137">
        <f>ROUND(VERİLER!$F$9*T84,3)</f>
        <v>0</v>
      </c>
      <c r="V84" s="336">
        <f t="shared" si="24"/>
        <v>0</v>
      </c>
      <c r="W84" s="113"/>
      <c r="X84" s="113"/>
      <c r="Y84" s="113"/>
    </row>
    <row r="85" spans="1:25" s="143" customFormat="1" ht="15" customHeight="1" x14ac:dyDescent="0.2">
      <c r="A85" s="299" t="str">
        <f>IF('İşçi Bilgileri'!A83="","",'İşçi Bilgileri'!A83)</f>
        <v/>
      </c>
      <c r="B85" s="300" t="str">
        <f>IF($A85="","",VLOOKUP($A85,'İşçi Bilgileri'!$A$2:$D$700,4,FALSE))</f>
        <v/>
      </c>
      <c r="C85" s="301" t="str">
        <f>CONCATENATE(IF($A85="","",VLOOKUP($A85,'İşçi Bilgileri'!$A$2:$D$700,2,FALSE))," ",IF($A85="","",VLOOKUP($A85,'İşçi Bilgileri'!$A$2:$D$700,3,FALSE)))</f>
        <v xml:space="preserve"> </v>
      </c>
      <c r="D85" s="137" t="str">
        <f>IF($A85="","",VERİLER!$C$5)</f>
        <v/>
      </c>
      <c r="E85" s="138" t="str">
        <f>IF($A85="","",Puantaj!AJ90)</f>
        <v/>
      </c>
      <c r="F85" s="137">
        <f t="shared" si="13"/>
        <v>0</v>
      </c>
      <c r="G85" s="137"/>
      <c r="H85" s="137">
        <f t="shared" si="14"/>
        <v>0</v>
      </c>
      <c r="I85" s="137">
        <f t="shared" si="15"/>
        <v>0</v>
      </c>
      <c r="J85" s="137">
        <f>IF(F85&gt;VERİLER!$C$7,'İşçi Bilgileri'!M83+(F85-VERİLER!$C$7),0)</f>
        <v>0</v>
      </c>
      <c r="K85" s="137">
        <f>IF(VERİLER!$C$11&gt;0,ROUND(J85*0.15,2),0)</f>
        <v>0</v>
      </c>
      <c r="L85" s="359">
        <f t="shared" si="16"/>
        <v>0</v>
      </c>
      <c r="M85" s="139">
        <f t="shared" si="17"/>
        <v>0</v>
      </c>
      <c r="N85" s="137">
        <f t="shared" si="18"/>
        <v>0</v>
      </c>
      <c r="O85" s="359">
        <f t="shared" si="19"/>
        <v>0</v>
      </c>
      <c r="P85" s="140">
        <f t="shared" si="20"/>
        <v>0</v>
      </c>
      <c r="Q85" s="140">
        <v>0</v>
      </c>
      <c r="R85" s="137">
        <f t="shared" si="21"/>
        <v>0</v>
      </c>
      <c r="S85" s="141">
        <f t="shared" si="22"/>
        <v>0</v>
      </c>
      <c r="T85" s="137">
        <f t="shared" si="23"/>
        <v>0</v>
      </c>
      <c r="U85" s="137">
        <f>ROUND(VERİLER!$F$9*T85,3)</f>
        <v>0</v>
      </c>
      <c r="V85" s="336">
        <f t="shared" si="24"/>
        <v>0</v>
      </c>
      <c r="W85" s="113"/>
      <c r="X85" s="113"/>
      <c r="Y85" s="113"/>
    </row>
    <row r="86" spans="1:25" s="143" customFormat="1" ht="15" customHeight="1" x14ac:dyDescent="0.2">
      <c r="A86" s="299" t="str">
        <f>IF('İşçi Bilgileri'!A84="","",'İşçi Bilgileri'!A84)</f>
        <v/>
      </c>
      <c r="B86" s="300" t="str">
        <f>IF($A86="","",VLOOKUP($A86,'İşçi Bilgileri'!$A$2:$D$700,4,FALSE))</f>
        <v/>
      </c>
      <c r="C86" s="301" t="str">
        <f>CONCATENATE(IF($A86="","",VLOOKUP($A86,'İşçi Bilgileri'!$A$2:$D$700,2,FALSE))," ",IF($A86="","",VLOOKUP($A86,'İşçi Bilgileri'!$A$2:$D$700,3,FALSE)))</f>
        <v xml:space="preserve"> </v>
      </c>
      <c r="D86" s="137" t="str">
        <f>IF($A86="","",VERİLER!$C$5)</f>
        <v/>
      </c>
      <c r="E86" s="138" t="str">
        <f>IF($A86="","",Puantaj!AJ91)</f>
        <v/>
      </c>
      <c r="F86" s="137">
        <f t="shared" si="13"/>
        <v>0</v>
      </c>
      <c r="G86" s="137"/>
      <c r="H86" s="137">
        <f t="shared" si="14"/>
        <v>0</v>
      </c>
      <c r="I86" s="137">
        <f t="shared" si="15"/>
        <v>0</v>
      </c>
      <c r="J86" s="137">
        <f>IF(F86&gt;VERİLER!$C$7,'İşçi Bilgileri'!M84+(F86-VERİLER!$C$7),0)</f>
        <v>0</v>
      </c>
      <c r="K86" s="137">
        <f>IF(VERİLER!$C$11&gt;0,ROUND(J86*0.15,2),0)</f>
        <v>0</v>
      </c>
      <c r="L86" s="359">
        <f t="shared" si="16"/>
        <v>0</v>
      </c>
      <c r="M86" s="139">
        <f t="shared" si="17"/>
        <v>0</v>
      </c>
      <c r="N86" s="137">
        <f t="shared" si="18"/>
        <v>0</v>
      </c>
      <c r="O86" s="359">
        <f t="shared" si="19"/>
        <v>0</v>
      </c>
      <c r="P86" s="140">
        <f t="shared" si="20"/>
        <v>0</v>
      </c>
      <c r="Q86" s="140">
        <v>0</v>
      </c>
      <c r="R86" s="137">
        <f t="shared" si="21"/>
        <v>0</v>
      </c>
      <c r="S86" s="141">
        <f t="shared" si="22"/>
        <v>0</v>
      </c>
      <c r="T86" s="137">
        <f t="shared" si="23"/>
        <v>0</v>
      </c>
      <c r="U86" s="137">
        <f>ROUND(VERİLER!$F$9*T86,3)</f>
        <v>0</v>
      </c>
      <c r="V86" s="336">
        <f t="shared" si="24"/>
        <v>0</v>
      </c>
      <c r="W86" s="113"/>
      <c r="X86" s="113"/>
      <c r="Y86" s="113"/>
    </row>
    <row r="87" spans="1:25" s="143" customFormat="1" ht="15" customHeight="1" x14ac:dyDescent="0.2">
      <c r="A87" s="299" t="str">
        <f>IF('İşçi Bilgileri'!A85="","",'İşçi Bilgileri'!A85)</f>
        <v/>
      </c>
      <c r="B87" s="300" t="str">
        <f>IF($A87="","",VLOOKUP($A87,'İşçi Bilgileri'!$A$2:$D$700,4,FALSE))</f>
        <v/>
      </c>
      <c r="C87" s="301" t="str">
        <f>CONCATENATE(IF($A87="","",VLOOKUP($A87,'İşçi Bilgileri'!$A$2:$D$700,2,FALSE))," ",IF($A87="","",VLOOKUP($A87,'İşçi Bilgileri'!$A$2:$D$700,3,FALSE)))</f>
        <v xml:space="preserve"> </v>
      </c>
      <c r="D87" s="137" t="str">
        <f>IF($A87="","",VERİLER!$C$5)</f>
        <v/>
      </c>
      <c r="E87" s="138" t="str">
        <f>IF($A87="","",Puantaj!AJ92)</f>
        <v/>
      </c>
      <c r="F87" s="137">
        <f t="shared" si="13"/>
        <v>0</v>
      </c>
      <c r="G87" s="137"/>
      <c r="H87" s="137">
        <f t="shared" si="14"/>
        <v>0</v>
      </c>
      <c r="I87" s="137">
        <f t="shared" si="15"/>
        <v>0</v>
      </c>
      <c r="J87" s="137">
        <f>IF(F87&gt;VERİLER!$C$7,'İşçi Bilgileri'!M85+(F87-VERİLER!$C$7),0)</f>
        <v>0</v>
      </c>
      <c r="K87" s="137">
        <f>IF(VERİLER!$C$11&gt;0,ROUND(J87*0.15,2),0)</f>
        <v>0</v>
      </c>
      <c r="L87" s="359">
        <f t="shared" si="16"/>
        <v>0</v>
      </c>
      <c r="M87" s="139">
        <f t="shared" si="17"/>
        <v>0</v>
      </c>
      <c r="N87" s="137">
        <f t="shared" si="18"/>
        <v>0</v>
      </c>
      <c r="O87" s="359">
        <f t="shared" si="19"/>
        <v>0</v>
      </c>
      <c r="P87" s="140">
        <f t="shared" si="20"/>
        <v>0</v>
      </c>
      <c r="Q87" s="140">
        <v>0</v>
      </c>
      <c r="R87" s="137">
        <f t="shared" si="21"/>
        <v>0</v>
      </c>
      <c r="S87" s="141">
        <f t="shared" si="22"/>
        <v>0</v>
      </c>
      <c r="T87" s="137">
        <f t="shared" si="23"/>
        <v>0</v>
      </c>
      <c r="U87" s="137">
        <f>ROUND(VERİLER!$F$9*T87,3)</f>
        <v>0</v>
      </c>
      <c r="V87" s="336">
        <f t="shared" si="24"/>
        <v>0</v>
      </c>
      <c r="W87" s="113"/>
      <c r="X87" s="113"/>
      <c r="Y87" s="113"/>
    </row>
    <row r="88" spans="1:25" s="143" customFormat="1" ht="15" customHeight="1" x14ac:dyDescent="0.2">
      <c r="A88" s="299" t="str">
        <f>IF('İşçi Bilgileri'!A86="","",'İşçi Bilgileri'!A86)</f>
        <v/>
      </c>
      <c r="B88" s="300" t="str">
        <f>IF($A88="","",VLOOKUP($A88,'İşçi Bilgileri'!$A$2:$D$700,4,FALSE))</f>
        <v/>
      </c>
      <c r="C88" s="301" t="str">
        <f>CONCATENATE(IF($A88="","",VLOOKUP($A88,'İşçi Bilgileri'!$A$2:$D$700,2,FALSE))," ",IF($A88="","",VLOOKUP($A88,'İşçi Bilgileri'!$A$2:$D$700,3,FALSE)))</f>
        <v xml:space="preserve"> </v>
      </c>
      <c r="D88" s="137" t="str">
        <f>IF($A88="","",VERİLER!$C$5)</f>
        <v/>
      </c>
      <c r="E88" s="138" t="str">
        <f>IF($A88="","",Puantaj!AJ93)</f>
        <v/>
      </c>
      <c r="F88" s="137">
        <f t="shared" si="13"/>
        <v>0</v>
      </c>
      <c r="G88" s="137"/>
      <c r="H88" s="137">
        <f t="shared" si="14"/>
        <v>0</v>
      </c>
      <c r="I88" s="137">
        <f t="shared" si="15"/>
        <v>0</v>
      </c>
      <c r="J88" s="137">
        <f>IF(F88&gt;VERİLER!$C$7,'İşçi Bilgileri'!M86+(F88-VERİLER!$C$7),0)</f>
        <v>0</v>
      </c>
      <c r="K88" s="137">
        <f>IF(VERİLER!$C$11&gt;0,ROUND(J88*0.15,2),0)</f>
        <v>0</v>
      </c>
      <c r="L88" s="359">
        <f t="shared" si="16"/>
        <v>0</v>
      </c>
      <c r="M88" s="139">
        <f t="shared" si="17"/>
        <v>0</v>
      </c>
      <c r="N88" s="137">
        <f t="shared" si="18"/>
        <v>0</v>
      </c>
      <c r="O88" s="359">
        <f t="shared" si="19"/>
        <v>0</v>
      </c>
      <c r="P88" s="140">
        <f t="shared" si="20"/>
        <v>0</v>
      </c>
      <c r="Q88" s="140">
        <v>0</v>
      </c>
      <c r="R88" s="137">
        <f t="shared" si="21"/>
        <v>0</v>
      </c>
      <c r="S88" s="141">
        <f t="shared" si="22"/>
        <v>0</v>
      </c>
      <c r="T88" s="137">
        <f t="shared" si="23"/>
        <v>0</v>
      </c>
      <c r="U88" s="137">
        <f>ROUND(VERİLER!$F$9*T88,3)</f>
        <v>0</v>
      </c>
      <c r="V88" s="336">
        <f t="shared" si="24"/>
        <v>0</v>
      </c>
      <c r="W88" s="113"/>
      <c r="X88" s="113"/>
      <c r="Y88" s="113"/>
    </row>
    <row r="89" spans="1:25" s="143" customFormat="1" ht="15" customHeight="1" x14ac:dyDescent="0.2">
      <c r="A89" s="299" t="str">
        <f>IF('İşçi Bilgileri'!A87="","",'İşçi Bilgileri'!A87)</f>
        <v/>
      </c>
      <c r="B89" s="300" t="str">
        <f>IF($A89="","",VLOOKUP($A89,'İşçi Bilgileri'!$A$2:$D$700,4,FALSE))</f>
        <v/>
      </c>
      <c r="C89" s="301" t="str">
        <f>CONCATENATE(IF($A89="","",VLOOKUP($A89,'İşçi Bilgileri'!$A$2:$D$700,2,FALSE))," ",IF($A89="","",VLOOKUP($A89,'İşçi Bilgileri'!$A$2:$D$700,3,FALSE)))</f>
        <v xml:space="preserve"> </v>
      </c>
      <c r="D89" s="137" t="str">
        <f>IF($A89="","",VERİLER!$C$5)</f>
        <v/>
      </c>
      <c r="E89" s="138" t="str">
        <f>IF($A89="","",Puantaj!AJ94)</f>
        <v/>
      </c>
      <c r="F89" s="137">
        <f t="shared" si="13"/>
        <v>0</v>
      </c>
      <c r="G89" s="137"/>
      <c r="H89" s="137">
        <f t="shared" si="14"/>
        <v>0</v>
      </c>
      <c r="I89" s="137">
        <f t="shared" si="15"/>
        <v>0</v>
      </c>
      <c r="J89" s="137">
        <f>IF(F89&gt;VERİLER!$C$7,'İşçi Bilgileri'!M87+(F89-VERİLER!$C$7),0)</f>
        <v>0</v>
      </c>
      <c r="K89" s="137">
        <f>IF(VERİLER!$C$11&gt;0,ROUND(J89*0.15,2),0)</f>
        <v>0</v>
      </c>
      <c r="L89" s="359">
        <f t="shared" si="16"/>
        <v>0</v>
      </c>
      <c r="M89" s="139">
        <f t="shared" si="17"/>
        <v>0</v>
      </c>
      <c r="N89" s="137">
        <f t="shared" si="18"/>
        <v>0</v>
      </c>
      <c r="O89" s="359">
        <f t="shared" si="19"/>
        <v>0</v>
      </c>
      <c r="P89" s="140">
        <f t="shared" si="20"/>
        <v>0</v>
      </c>
      <c r="Q89" s="140">
        <v>0</v>
      </c>
      <c r="R89" s="137">
        <f t="shared" si="21"/>
        <v>0</v>
      </c>
      <c r="S89" s="141">
        <f t="shared" si="22"/>
        <v>0</v>
      </c>
      <c r="T89" s="137">
        <f t="shared" si="23"/>
        <v>0</v>
      </c>
      <c r="U89" s="137">
        <f>ROUND(VERİLER!$F$9*T89,3)</f>
        <v>0</v>
      </c>
      <c r="V89" s="336">
        <f t="shared" si="24"/>
        <v>0</v>
      </c>
      <c r="W89" s="113"/>
      <c r="X89" s="113"/>
      <c r="Y89" s="113"/>
    </row>
    <row r="90" spans="1:25" s="143" customFormat="1" ht="15" customHeight="1" x14ac:dyDescent="0.2">
      <c r="A90" s="299" t="str">
        <f>IF('İşçi Bilgileri'!A88="","",'İşçi Bilgileri'!A88)</f>
        <v/>
      </c>
      <c r="B90" s="300" t="str">
        <f>IF($A90="","",VLOOKUP($A90,'İşçi Bilgileri'!$A$2:$D$700,4,FALSE))</f>
        <v/>
      </c>
      <c r="C90" s="301" t="str">
        <f>CONCATENATE(IF($A90="","",VLOOKUP($A90,'İşçi Bilgileri'!$A$2:$D$700,2,FALSE))," ",IF($A90="","",VLOOKUP($A90,'İşçi Bilgileri'!$A$2:$D$700,3,FALSE)))</f>
        <v xml:space="preserve"> </v>
      </c>
      <c r="D90" s="137" t="str">
        <f>IF($A90="","",VERİLER!$C$5)</f>
        <v/>
      </c>
      <c r="E90" s="138" t="str">
        <f>IF($A90="","",Puantaj!AJ95)</f>
        <v/>
      </c>
      <c r="F90" s="137">
        <f t="shared" si="13"/>
        <v>0</v>
      </c>
      <c r="G90" s="137"/>
      <c r="H90" s="137">
        <f t="shared" si="14"/>
        <v>0</v>
      </c>
      <c r="I90" s="137">
        <f t="shared" si="15"/>
        <v>0</v>
      </c>
      <c r="J90" s="137">
        <f>IF(F90&gt;VERİLER!$C$7,'İşçi Bilgileri'!M88+(F90-VERİLER!$C$7),0)</f>
        <v>0</v>
      </c>
      <c r="K90" s="137">
        <f>IF(VERİLER!$C$11&gt;0,ROUND(J90*0.15,2),0)</f>
        <v>0</v>
      </c>
      <c r="L90" s="359">
        <f t="shared" si="16"/>
        <v>0</v>
      </c>
      <c r="M90" s="139">
        <f t="shared" si="17"/>
        <v>0</v>
      </c>
      <c r="N90" s="137">
        <f t="shared" si="18"/>
        <v>0</v>
      </c>
      <c r="O90" s="359">
        <f t="shared" si="19"/>
        <v>0</v>
      </c>
      <c r="P90" s="140">
        <f t="shared" si="20"/>
        <v>0</v>
      </c>
      <c r="Q90" s="140">
        <v>0</v>
      </c>
      <c r="R90" s="137">
        <f t="shared" si="21"/>
        <v>0</v>
      </c>
      <c r="S90" s="141">
        <f t="shared" si="22"/>
        <v>0</v>
      </c>
      <c r="T90" s="137">
        <f t="shared" si="23"/>
        <v>0</v>
      </c>
      <c r="U90" s="137">
        <f>ROUND(VERİLER!$F$9*T90,3)</f>
        <v>0</v>
      </c>
      <c r="V90" s="336">
        <f t="shared" si="24"/>
        <v>0</v>
      </c>
      <c r="W90" s="113"/>
      <c r="X90" s="113"/>
      <c r="Y90" s="113"/>
    </row>
    <row r="91" spans="1:25" s="143" customFormat="1" ht="15" customHeight="1" x14ac:dyDescent="0.2">
      <c r="A91" s="299" t="str">
        <f>IF('İşçi Bilgileri'!A89="","",'İşçi Bilgileri'!A89)</f>
        <v/>
      </c>
      <c r="B91" s="300" t="str">
        <f>IF($A91="","",VLOOKUP($A91,'İşçi Bilgileri'!$A$2:$D$700,4,FALSE))</f>
        <v/>
      </c>
      <c r="C91" s="301" t="str">
        <f>CONCATENATE(IF($A91="","",VLOOKUP($A91,'İşçi Bilgileri'!$A$2:$D$700,2,FALSE))," ",IF($A91="","",VLOOKUP($A91,'İşçi Bilgileri'!$A$2:$D$700,3,FALSE)))</f>
        <v xml:space="preserve"> </v>
      </c>
      <c r="D91" s="137" t="str">
        <f>IF($A91="","",VERİLER!$C$5)</f>
        <v/>
      </c>
      <c r="E91" s="138" t="str">
        <f>IF($A91="","",Puantaj!AJ96)</f>
        <v/>
      </c>
      <c r="F91" s="137">
        <f t="shared" si="13"/>
        <v>0</v>
      </c>
      <c r="G91" s="137"/>
      <c r="H91" s="137">
        <f t="shared" si="14"/>
        <v>0</v>
      </c>
      <c r="I91" s="137">
        <f t="shared" si="15"/>
        <v>0</v>
      </c>
      <c r="J91" s="137">
        <f>IF(F91&gt;VERİLER!$C$7,'İşçi Bilgileri'!M89+(F91-VERİLER!$C$7),0)</f>
        <v>0</v>
      </c>
      <c r="K91" s="137">
        <f>IF(VERİLER!$C$11&gt;0,ROUND(J91*0.15,2),0)</f>
        <v>0</v>
      </c>
      <c r="L91" s="359">
        <f t="shared" si="16"/>
        <v>0</v>
      </c>
      <c r="M91" s="139">
        <f t="shared" si="17"/>
        <v>0</v>
      </c>
      <c r="N91" s="137">
        <f t="shared" si="18"/>
        <v>0</v>
      </c>
      <c r="O91" s="359">
        <f t="shared" si="19"/>
        <v>0</v>
      </c>
      <c r="P91" s="140">
        <f t="shared" si="20"/>
        <v>0</v>
      </c>
      <c r="Q91" s="140">
        <v>0</v>
      </c>
      <c r="R91" s="137">
        <f t="shared" si="21"/>
        <v>0</v>
      </c>
      <c r="S91" s="141">
        <f t="shared" si="22"/>
        <v>0</v>
      </c>
      <c r="T91" s="137">
        <f t="shared" si="23"/>
        <v>0</v>
      </c>
      <c r="U91" s="137">
        <f>ROUND(VERİLER!$F$9*T91,3)</f>
        <v>0</v>
      </c>
      <c r="V91" s="336">
        <f t="shared" si="24"/>
        <v>0</v>
      </c>
      <c r="W91" s="113"/>
      <c r="X91" s="113"/>
      <c r="Y91" s="113"/>
    </row>
    <row r="92" spans="1:25" s="143" customFormat="1" ht="15" customHeight="1" x14ac:dyDescent="0.2">
      <c r="A92" s="299" t="str">
        <f>IF('İşçi Bilgileri'!A90="","",'İşçi Bilgileri'!A90)</f>
        <v/>
      </c>
      <c r="B92" s="300" t="str">
        <f>IF($A92="","",VLOOKUP($A92,'İşçi Bilgileri'!$A$2:$D$700,4,FALSE))</f>
        <v/>
      </c>
      <c r="C92" s="301" t="str">
        <f>CONCATENATE(IF($A92="","",VLOOKUP($A92,'İşçi Bilgileri'!$A$2:$D$700,2,FALSE))," ",IF($A92="","",VLOOKUP($A92,'İşçi Bilgileri'!$A$2:$D$700,3,FALSE)))</f>
        <v xml:space="preserve"> </v>
      </c>
      <c r="D92" s="137" t="str">
        <f>IF($A92="","",VERİLER!$C$5)</f>
        <v/>
      </c>
      <c r="E92" s="138" t="str">
        <f>IF($A92="","",Puantaj!AJ97)</f>
        <v/>
      </c>
      <c r="F92" s="137">
        <f t="shared" si="13"/>
        <v>0</v>
      </c>
      <c r="G92" s="137"/>
      <c r="H92" s="137">
        <f t="shared" si="14"/>
        <v>0</v>
      </c>
      <c r="I92" s="137">
        <f t="shared" si="15"/>
        <v>0</v>
      </c>
      <c r="J92" s="137">
        <f>IF(F92&gt;VERİLER!$C$7,'İşçi Bilgileri'!M90+(F92-VERİLER!$C$7),0)</f>
        <v>0</v>
      </c>
      <c r="K92" s="137">
        <f>IF(VERİLER!$C$11&gt;0,ROUND(J92*0.15,2),0)</f>
        <v>0</v>
      </c>
      <c r="L92" s="359">
        <f t="shared" si="16"/>
        <v>0</v>
      </c>
      <c r="M92" s="139">
        <f t="shared" si="17"/>
        <v>0</v>
      </c>
      <c r="N92" s="137">
        <f t="shared" si="18"/>
        <v>0</v>
      </c>
      <c r="O92" s="359">
        <f t="shared" si="19"/>
        <v>0</v>
      </c>
      <c r="P92" s="140">
        <f t="shared" si="20"/>
        <v>0</v>
      </c>
      <c r="Q92" s="140">
        <v>0</v>
      </c>
      <c r="R92" s="137">
        <f t="shared" si="21"/>
        <v>0</v>
      </c>
      <c r="S92" s="141">
        <f t="shared" si="22"/>
        <v>0</v>
      </c>
      <c r="T92" s="137">
        <f t="shared" si="23"/>
        <v>0</v>
      </c>
      <c r="U92" s="137">
        <f>ROUND(VERİLER!$F$9*T92,3)</f>
        <v>0</v>
      </c>
      <c r="V92" s="336">
        <f t="shared" si="24"/>
        <v>0</v>
      </c>
      <c r="W92" s="113"/>
      <c r="X92" s="113"/>
      <c r="Y92" s="113"/>
    </row>
    <row r="93" spans="1:25" s="143" customFormat="1" ht="15" customHeight="1" x14ac:dyDescent="0.2">
      <c r="A93" s="299" t="str">
        <f>IF('İşçi Bilgileri'!A91="","",'İşçi Bilgileri'!A91)</f>
        <v/>
      </c>
      <c r="B93" s="300" t="str">
        <f>IF($A93="","",VLOOKUP($A93,'İşçi Bilgileri'!$A$2:$D$700,4,FALSE))</f>
        <v/>
      </c>
      <c r="C93" s="301" t="str">
        <f>CONCATENATE(IF($A93="","",VLOOKUP($A93,'İşçi Bilgileri'!$A$2:$D$700,2,FALSE))," ",IF($A93="","",VLOOKUP($A93,'İşçi Bilgileri'!$A$2:$D$700,3,FALSE)))</f>
        <v xml:space="preserve"> </v>
      </c>
      <c r="D93" s="137" t="str">
        <f>IF($A93="","",VERİLER!$C$5)</f>
        <v/>
      </c>
      <c r="E93" s="138" t="str">
        <f>IF($A93="","",Puantaj!AJ98)</f>
        <v/>
      </c>
      <c r="F93" s="137">
        <f t="shared" si="13"/>
        <v>0</v>
      </c>
      <c r="G93" s="137"/>
      <c r="H93" s="137">
        <f t="shared" si="14"/>
        <v>0</v>
      </c>
      <c r="I93" s="137">
        <f t="shared" si="15"/>
        <v>0</v>
      </c>
      <c r="J93" s="137">
        <f>IF(F93&gt;VERİLER!$C$7,'İşçi Bilgileri'!M91+(F93-VERİLER!$C$7),0)</f>
        <v>0</v>
      </c>
      <c r="K93" s="137">
        <f>IF(VERİLER!$C$11&gt;0,ROUND(J93*0.15,2),0)</f>
        <v>0</v>
      </c>
      <c r="L93" s="359">
        <f t="shared" si="16"/>
        <v>0</v>
      </c>
      <c r="M93" s="139">
        <f t="shared" si="17"/>
        <v>0</v>
      </c>
      <c r="N93" s="137">
        <f t="shared" si="18"/>
        <v>0</v>
      </c>
      <c r="O93" s="359">
        <f t="shared" si="19"/>
        <v>0</v>
      </c>
      <c r="P93" s="140">
        <f t="shared" si="20"/>
        <v>0</v>
      </c>
      <c r="Q93" s="140">
        <v>0</v>
      </c>
      <c r="R93" s="137">
        <f t="shared" si="21"/>
        <v>0</v>
      </c>
      <c r="S93" s="141">
        <f t="shared" si="22"/>
        <v>0</v>
      </c>
      <c r="T93" s="137">
        <f t="shared" si="23"/>
        <v>0</v>
      </c>
      <c r="U93" s="137">
        <f>ROUND(VERİLER!$F$9*T93,3)</f>
        <v>0</v>
      </c>
      <c r="V93" s="336">
        <f t="shared" si="24"/>
        <v>0</v>
      </c>
      <c r="W93" s="113"/>
      <c r="X93" s="113"/>
      <c r="Y93" s="113"/>
    </row>
    <row r="94" spans="1:25" s="143" customFormat="1" ht="15" customHeight="1" x14ac:dyDescent="0.2">
      <c r="A94" s="299" t="str">
        <f>IF('İşçi Bilgileri'!A92="","",'İşçi Bilgileri'!A92)</f>
        <v/>
      </c>
      <c r="B94" s="300" t="str">
        <f>IF($A94="","",VLOOKUP($A94,'İşçi Bilgileri'!$A$2:$D$700,4,FALSE))</f>
        <v/>
      </c>
      <c r="C94" s="301" t="str">
        <f>CONCATENATE(IF($A94="","",VLOOKUP($A94,'İşçi Bilgileri'!$A$2:$D$700,2,FALSE))," ",IF($A94="","",VLOOKUP($A94,'İşçi Bilgileri'!$A$2:$D$700,3,FALSE)))</f>
        <v xml:space="preserve"> </v>
      </c>
      <c r="D94" s="137" t="str">
        <f>IF($A94="","",VERİLER!$C$5)</f>
        <v/>
      </c>
      <c r="E94" s="138" t="str">
        <f>IF($A94="","",Puantaj!AJ99)</f>
        <v/>
      </c>
      <c r="F94" s="137">
        <f t="shared" si="13"/>
        <v>0</v>
      </c>
      <c r="G94" s="137"/>
      <c r="H94" s="137">
        <f t="shared" si="14"/>
        <v>0</v>
      </c>
      <c r="I94" s="137">
        <f t="shared" si="15"/>
        <v>0</v>
      </c>
      <c r="J94" s="137">
        <f>IF(F94&gt;VERİLER!$C$7,'İşçi Bilgileri'!M92+(F94-VERİLER!$C$7),0)</f>
        <v>0</v>
      </c>
      <c r="K94" s="137">
        <f>IF(VERİLER!$C$11&gt;0,ROUND(J94*0.15,2),0)</f>
        <v>0</v>
      </c>
      <c r="L94" s="359">
        <f t="shared" si="16"/>
        <v>0</v>
      </c>
      <c r="M94" s="139">
        <f t="shared" si="17"/>
        <v>0</v>
      </c>
      <c r="N94" s="137">
        <f t="shared" si="18"/>
        <v>0</v>
      </c>
      <c r="O94" s="359">
        <f t="shared" si="19"/>
        <v>0</v>
      </c>
      <c r="P94" s="140">
        <f t="shared" si="20"/>
        <v>0</v>
      </c>
      <c r="Q94" s="140">
        <v>0</v>
      </c>
      <c r="R94" s="137">
        <f t="shared" si="21"/>
        <v>0</v>
      </c>
      <c r="S94" s="141">
        <f t="shared" si="22"/>
        <v>0</v>
      </c>
      <c r="T94" s="137">
        <f t="shared" si="23"/>
        <v>0</v>
      </c>
      <c r="U94" s="137">
        <f>ROUND(VERİLER!$F$9*T94,3)</f>
        <v>0</v>
      </c>
      <c r="V94" s="336">
        <f t="shared" si="24"/>
        <v>0</v>
      </c>
      <c r="W94" s="113"/>
      <c r="X94" s="113"/>
      <c r="Y94" s="113"/>
    </row>
    <row r="95" spans="1:25" s="143" customFormat="1" ht="15" customHeight="1" x14ac:dyDescent="0.2">
      <c r="A95" s="299" t="str">
        <f>IF('İşçi Bilgileri'!A93="","",'İşçi Bilgileri'!A93)</f>
        <v/>
      </c>
      <c r="B95" s="300" t="str">
        <f>IF($A95="","",VLOOKUP($A95,'İşçi Bilgileri'!$A$2:$D$700,4,FALSE))</f>
        <v/>
      </c>
      <c r="C95" s="301" t="str">
        <f>CONCATENATE(IF($A95="","",VLOOKUP($A95,'İşçi Bilgileri'!$A$2:$D$700,2,FALSE))," ",IF($A95="","",VLOOKUP($A95,'İşçi Bilgileri'!$A$2:$D$700,3,FALSE)))</f>
        <v xml:space="preserve"> </v>
      </c>
      <c r="D95" s="137" t="str">
        <f>IF($A95="","",VERİLER!$C$5)</f>
        <v/>
      </c>
      <c r="E95" s="138" t="str">
        <f>IF($A95="","",Puantaj!AJ100)</f>
        <v/>
      </c>
      <c r="F95" s="137">
        <f t="shared" si="13"/>
        <v>0</v>
      </c>
      <c r="G95" s="137"/>
      <c r="H95" s="137">
        <f t="shared" si="14"/>
        <v>0</v>
      </c>
      <c r="I95" s="137">
        <f t="shared" si="15"/>
        <v>0</v>
      </c>
      <c r="J95" s="137">
        <f>IF(F95&gt;VERİLER!$C$7,'İşçi Bilgileri'!M93+(F95-VERİLER!$C$7),0)</f>
        <v>0</v>
      </c>
      <c r="K95" s="137">
        <f>IF(VERİLER!$C$11&gt;0,ROUND(J95*0.15,2),0)</f>
        <v>0</v>
      </c>
      <c r="L95" s="359">
        <f t="shared" si="16"/>
        <v>0</v>
      </c>
      <c r="M95" s="139">
        <f t="shared" si="17"/>
        <v>0</v>
      </c>
      <c r="N95" s="137">
        <f t="shared" si="18"/>
        <v>0</v>
      </c>
      <c r="O95" s="359">
        <f t="shared" si="19"/>
        <v>0</v>
      </c>
      <c r="P95" s="140">
        <f t="shared" si="20"/>
        <v>0</v>
      </c>
      <c r="Q95" s="140">
        <v>0</v>
      </c>
      <c r="R95" s="137">
        <f t="shared" si="21"/>
        <v>0</v>
      </c>
      <c r="S95" s="141">
        <f t="shared" si="22"/>
        <v>0</v>
      </c>
      <c r="T95" s="137">
        <f t="shared" si="23"/>
        <v>0</v>
      </c>
      <c r="U95" s="137">
        <f>ROUND(VERİLER!$F$9*T95,3)</f>
        <v>0</v>
      </c>
      <c r="V95" s="336">
        <f t="shared" si="24"/>
        <v>0</v>
      </c>
      <c r="W95" s="113"/>
      <c r="X95" s="113"/>
      <c r="Y95" s="113"/>
    </row>
    <row r="96" spans="1:25" s="143" customFormat="1" ht="15" customHeight="1" x14ac:dyDescent="0.2">
      <c r="A96" s="299" t="str">
        <f>IF('İşçi Bilgileri'!A94="","",'İşçi Bilgileri'!A94)</f>
        <v/>
      </c>
      <c r="B96" s="300" t="str">
        <f>IF($A96="","",VLOOKUP($A96,'İşçi Bilgileri'!$A$2:$D$700,4,FALSE))</f>
        <v/>
      </c>
      <c r="C96" s="301" t="str">
        <f>CONCATENATE(IF($A96="","",VLOOKUP($A96,'İşçi Bilgileri'!$A$2:$D$700,2,FALSE))," ",IF($A96="","",VLOOKUP($A96,'İşçi Bilgileri'!$A$2:$D$700,3,FALSE)))</f>
        <v xml:space="preserve"> </v>
      </c>
      <c r="D96" s="137" t="str">
        <f>IF($A96="","",VERİLER!$C$5)</f>
        <v/>
      </c>
      <c r="E96" s="138" t="str">
        <f>IF($A96="","",Puantaj!AJ101)</f>
        <v/>
      </c>
      <c r="F96" s="137">
        <f t="shared" si="13"/>
        <v>0</v>
      </c>
      <c r="G96" s="137"/>
      <c r="H96" s="137">
        <f t="shared" si="14"/>
        <v>0</v>
      </c>
      <c r="I96" s="137">
        <f t="shared" si="15"/>
        <v>0</v>
      </c>
      <c r="J96" s="137">
        <f>IF(F96&gt;VERİLER!$C$7,'İşçi Bilgileri'!M94+(F96-VERİLER!$C$7),0)</f>
        <v>0</v>
      </c>
      <c r="K96" s="137">
        <f>IF(VERİLER!$C$11&gt;0,ROUND(J96*0.15,2),0)</f>
        <v>0</v>
      </c>
      <c r="L96" s="359">
        <f t="shared" si="16"/>
        <v>0</v>
      </c>
      <c r="M96" s="139">
        <f t="shared" si="17"/>
        <v>0</v>
      </c>
      <c r="N96" s="137">
        <f t="shared" si="18"/>
        <v>0</v>
      </c>
      <c r="O96" s="359">
        <f t="shared" si="19"/>
        <v>0</v>
      </c>
      <c r="P96" s="140">
        <f t="shared" si="20"/>
        <v>0</v>
      </c>
      <c r="Q96" s="140">
        <v>0</v>
      </c>
      <c r="R96" s="137">
        <f t="shared" si="21"/>
        <v>0</v>
      </c>
      <c r="S96" s="141">
        <f t="shared" si="22"/>
        <v>0</v>
      </c>
      <c r="T96" s="137">
        <f t="shared" si="23"/>
        <v>0</v>
      </c>
      <c r="U96" s="137">
        <f>ROUND(VERİLER!$F$9*T96,3)</f>
        <v>0</v>
      </c>
      <c r="V96" s="336">
        <f t="shared" si="24"/>
        <v>0</v>
      </c>
      <c r="W96" s="113"/>
      <c r="X96" s="113"/>
      <c r="Y96" s="113"/>
    </row>
    <row r="97" spans="1:25" s="143" customFormat="1" ht="15" customHeight="1" x14ac:dyDescent="0.2">
      <c r="A97" s="299" t="str">
        <f>IF('İşçi Bilgileri'!A95="","",'İşçi Bilgileri'!A95)</f>
        <v/>
      </c>
      <c r="B97" s="300" t="str">
        <f>IF($A97="","",VLOOKUP($A97,'İşçi Bilgileri'!$A$2:$D$700,4,FALSE))</f>
        <v/>
      </c>
      <c r="C97" s="301" t="str">
        <f>CONCATENATE(IF($A97="","",VLOOKUP($A97,'İşçi Bilgileri'!$A$2:$D$700,2,FALSE))," ",IF($A97="","",VLOOKUP($A97,'İşçi Bilgileri'!$A$2:$D$700,3,FALSE)))</f>
        <v xml:space="preserve"> </v>
      </c>
      <c r="D97" s="137" t="str">
        <f>IF($A97="","",VERİLER!$C$5)</f>
        <v/>
      </c>
      <c r="E97" s="138" t="str">
        <f>IF($A97="","",Puantaj!AJ102)</f>
        <v/>
      </c>
      <c r="F97" s="137">
        <f t="shared" si="13"/>
        <v>0</v>
      </c>
      <c r="G97" s="137"/>
      <c r="H97" s="137">
        <f t="shared" si="14"/>
        <v>0</v>
      </c>
      <c r="I97" s="137">
        <f t="shared" si="15"/>
        <v>0</v>
      </c>
      <c r="J97" s="137">
        <f>IF(F97&gt;VERİLER!$C$7,'İşçi Bilgileri'!M95+(F97-VERİLER!$C$7),0)</f>
        <v>0</v>
      </c>
      <c r="K97" s="137">
        <f>IF(VERİLER!$C$11&gt;0,ROUND(J97*0.15,2),0)</f>
        <v>0</v>
      </c>
      <c r="L97" s="359">
        <f t="shared" si="16"/>
        <v>0</v>
      </c>
      <c r="M97" s="139">
        <f t="shared" si="17"/>
        <v>0</v>
      </c>
      <c r="N97" s="137">
        <f t="shared" si="18"/>
        <v>0</v>
      </c>
      <c r="O97" s="359">
        <f t="shared" si="19"/>
        <v>0</v>
      </c>
      <c r="P97" s="140">
        <f t="shared" si="20"/>
        <v>0</v>
      </c>
      <c r="Q97" s="140">
        <v>0</v>
      </c>
      <c r="R97" s="137">
        <f t="shared" si="21"/>
        <v>0</v>
      </c>
      <c r="S97" s="141">
        <f t="shared" si="22"/>
        <v>0</v>
      </c>
      <c r="T97" s="137">
        <f t="shared" si="23"/>
        <v>0</v>
      </c>
      <c r="U97" s="137">
        <f>ROUND(VERİLER!$F$9*T97,3)</f>
        <v>0</v>
      </c>
      <c r="V97" s="336">
        <f t="shared" si="24"/>
        <v>0</v>
      </c>
      <c r="W97" s="113"/>
      <c r="X97" s="113"/>
      <c r="Y97" s="113"/>
    </row>
    <row r="98" spans="1:25" s="143" customFormat="1" ht="15" customHeight="1" x14ac:dyDescent="0.2">
      <c r="A98" s="299" t="str">
        <f>IF('İşçi Bilgileri'!A96="","",'İşçi Bilgileri'!A96)</f>
        <v/>
      </c>
      <c r="B98" s="300" t="str">
        <f>IF($A98="","",VLOOKUP($A98,'İşçi Bilgileri'!$A$2:$D$700,4,FALSE))</f>
        <v/>
      </c>
      <c r="C98" s="301" t="str">
        <f>CONCATENATE(IF($A98="","",VLOOKUP($A98,'İşçi Bilgileri'!$A$2:$D$700,2,FALSE))," ",IF($A98="","",VLOOKUP($A98,'İşçi Bilgileri'!$A$2:$D$700,3,FALSE)))</f>
        <v xml:space="preserve"> </v>
      </c>
      <c r="D98" s="137" t="str">
        <f>IF($A98="","",VERİLER!$C$5)</f>
        <v/>
      </c>
      <c r="E98" s="138" t="str">
        <f>IF($A98="","",Puantaj!AJ103)</f>
        <v/>
      </c>
      <c r="F98" s="137">
        <f t="shared" si="13"/>
        <v>0</v>
      </c>
      <c r="G98" s="137"/>
      <c r="H98" s="137">
        <f t="shared" si="14"/>
        <v>0</v>
      </c>
      <c r="I98" s="137">
        <f t="shared" si="15"/>
        <v>0</v>
      </c>
      <c r="J98" s="137">
        <f>IF(F98&gt;VERİLER!$C$7,'İşçi Bilgileri'!M96+(F98-VERİLER!$C$7),0)</f>
        <v>0</v>
      </c>
      <c r="K98" s="137">
        <f>IF(VERİLER!$C$11&gt;0,ROUND(J98*0.15,2),0)</f>
        <v>0</v>
      </c>
      <c r="L98" s="359">
        <f t="shared" si="16"/>
        <v>0</v>
      </c>
      <c r="M98" s="139">
        <f t="shared" si="17"/>
        <v>0</v>
      </c>
      <c r="N98" s="137">
        <f t="shared" si="18"/>
        <v>0</v>
      </c>
      <c r="O98" s="359">
        <f t="shared" si="19"/>
        <v>0</v>
      </c>
      <c r="P98" s="140">
        <f t="shared" si="20"/>
        <v>0</v>
      </c>
      <c r="Q98" s="140">
        <v>0</v>
      </c>
      <c r="R98" s="137">
        <f t="shared" si="21"/>
        <v>0</v>
      </c>
      <c r="S98" s="141">
        <f t="shared" si="22"/>
        <v>0</v>
      </c>
      <c r="T98" s="137">
        <f t="shared" si="23"/>
        <v>0</v>
      </c>
      <c r="U98" s="137">
        <f>ROUND(VERİLER!$F$9*T98,3)</f>
        <v>0</v>
      </c>
      <c r="V98" s="336">
        <f t="shared" si="24"/>
        <v>0</v>
      </c>
      <c r="W98" s="113"/>
      <c r="X98" s="113"/>
      <c r="Y98" s="113"/>
    </row>
    <row r="99" spans="1:25" s="143" customFormat="1" ht="15" customHeight="1" x14ac:dyDescent="0.2">
      <c r="A99" s="299" t="str">
        <f>IF('İşçi Bilgileri'!A97="","",'İşçi Bilgileri'!A97)</f>
        <v/>
      </c>
      <c r="B99" s="300" t="str">
        <f>IF($A99="","",VLOOKUP($A99,'İşçi Bilgileri'!$A$2:$D$700,4,FALSE))</f>
        <v/>
      </c>
      <c r="C99" s="301" t="str">
        <f>CONCATENATE(IF($A99="","",VLOOKUP($A99,'İşçi Bilgileri'!$A$2:$D$700,2,FALSE))," ",IF($A99="","",VLOOKUP($A99,'İşçi Bilgileri'!$A$2:$D$700,3,FALSE)))</f>
        <v xml:space="preserve"> </v>
      </c>
      <c r="D99" s="137" t="str">
        <f>IF($A99="","",VERİLER!$C$5)</f>
        <v/>
      </c>
      <c r="E99" s="138" t="str">
        <f>IF($A99="","",Puantaj!AJ104)</f>
        <v/>
      </c>
      <c r="F99" s="137">
        <f t="shared" si="13"/>
        <v>0</v>
      </c>
      <c r="G99" s="137"/>
      <c r="H99" s="137">
        <f t="shared" si="14"/>
        <v>0</v>
      </c>
      <c r="I99" s="137">
        <f t="shared" si="15"/>
        <v>0</v>
      </c>
      <c r="J99" s="137">
        <f>IF(F99&gt;VERİLER!$C$7,'İşçi Bilgileri'!M97+(F99-VERİLER!$C$7),0)</f>
        <v>0</v>
      </c>
      <c r="K99" s="137">
        <f>IF(VERİLER!$C$11&gt;0,ROUND(J99*0.15,2),0)</f>
        <v>0</v>
      </c>
      <c r="L99" s="359">
        <f t="shared" si="16"/>
        <v>0</v>
      </c>
      <c r="M99" s="139">
        <f t="shared" si="17"/>
        <v>0</v>
      </c>
      <c r="N99" s="137">
        <f t="shared" si="18"/>
        <v>0</v>
      </c>
      <c r="O99" s="359">
        <f t="shared" si="19"/>
        <v>0</v>
      </c>
      <c r="P99" s="140">
        <f t="shared" si="20"/>
        <v>0</v>
      </c>
      <c r="Q99" s="140">
        <v>0</v>
      </c>
      <c r="R99" s="137">
        <f t="shared" si="21"/>
        <v>0</v>
      </c>
      <c r="S99" s="141">
        <f t="shared" si="22"/>
        <v>0</v>
      </c>
      <c r="T99" s="137">
        <f t="shared" si="23"/>
        <v>0</v>
      </c>
      <c r="U99" s="137">
        <f>ROUND(VERİLER!$F$9*T99,3)</f>
        <v>0</v>
      </c>
      <c r="V99" s="336">
        <f t="shared" si="24"/>
        <v>0</v>
      </c>
      <c r="W99" s="113"/>
      <c r="X99" s="113"/>
      <c r="Y99" s="113"/>
    </row>
    <row r="100" spans="1:25" s="143" customFormat="1" ht="15" customHeight="1" x14ac:dyDescent="0.2">
      <c r="A100" s="299" t="str">
        <f>IF('İşçi Bilgileri'!A98="","",'İşçi Bilgileri'!A98)</f>
        <v/>
      </c>
      <c r="B100" s="300" t="str">
        <f>IF($A100="","",VLOOKUP($A100,'İşçi Bilgileri'!$A$2:$D$700,4,FALSE))</f>
        <v/>
      </c>
      <c r="C100" s="301" t="str">
        <f>CONCATENATE(IF($A100="","",VLOOKUP($A100,'İşçi Bilgileri'!$A$2:$D$700,2,FALSE))," ",IF($A100="","",VLOOKUP($A100,'İşçi Bilgileri'!$A$2:$D$700,3,FALSE)))</f>
        <v xml:space="preserve"> </v>
      </c>
      <c r="D100" s="137" t="str">
        <f>IF($A100="","",VERİLER!$C$5)</f>
        <v/>
      </c>
      <c r="E100" s="138" t="str">
        <f>IF($A100="","",Puantaj!AJ105)</f>
        <v/>
      </c>
      <c r="F100" s="137">
        <f t="shared" si="13"/>
        <v>0</v>
      </c>
      <c r="G100" s="137"/>
      <c r="H100" s="137">
        <f t="shared" si="14"/>
        <v>0</v>
      </c>
      <c r="I100" s="137">
        <f t="shared" si="15"/>
        <v>0</v>
      </c>
      <c r="J100" s="137">
        <f>IF(F100&gt;VERİLER!$C$7,'İşçi Bilgileri'!M98+(F100-VERİLER!$C$7),0)</f>
        <v>0</v>
      </c>
      <c r="K100" s="137">
        <f>IF(VERİLER!$C$11&gt;0,ROUND(J100*0.15,2),0)</f>
        <v>0</v>
      </c>
      <c r="L100" s="359">
        <f t="shared" si="16"/>
        <v>0</v>
      </c>
      <c r="M100" s="139">
        <f t="shared" si="17"/>
        <v>0</v>
      </c>
      <c r="N100" s="137">
        <f t="shared" si="18"/>
        <v>0</v>
      </c>
      <c r="O100" s="359">
        <f t="shared" si="19"/>
        <v>0</v>
      </c>
      <c r="P100" s="140">
        <f t="shared" si="20"/>
        <v>0</v>
      </c>
      <c r="Q100" s="140">
        <v>0</v>
      </c>
      <c r="R100" s="137">
        <f t="shared" si="21"/>
        <v>0</v>
      </c>
      <c r="S100" s="141">
        <f t="shared" si="22"/>
        <v>0</v>
      </c>
      <c r="T100" s="137">
        <f t="shared" si="23"/>
        <v>0</v>
      </c>
      <c r="U100" s="137">
        <f>ROUND(VERİLER!$F$9*T100,3)</f>
        <v>0</v>
      </c>
      <c r="V100" s="336">
        <f t="shared" si="24"/>
        <v>0</v>
      </c>
      <c r="W100" s="113"/>
      <c r="X100" s="113"/>
      <c r="Y100" s="113"/>
    </row>
    <row r="101" spans="1:25" s="143" customFormat="1" ht="15" customHeight="1" x14ac:dyDescent="0.2">
      <c r="A101" s="299" t="str">
        <f>IF('İşçi Bilgileri'!A99="","",'İşçi Bilgileri'!A99)</f>
        <v/>
      </c>
      <c r="B101" s="300" t="str">
        <f>IF($A101="","",VLOOKUP($A101,'İşçi Bilgileri'!$A$2:$D$700,4,FALSE))</f>
        <v/>
      </c>
      <c r="C101" s="301" t="str">
        <f>CONCATENATE(IF($A101="","",VLOOKUP($A101,'İşçi Bilgileri'!$A$2:$D$700,2,FALSE))," ",IF($A101="","",VLOOKUP($A101,'İşçi Bilgileri'!$A$2:$D$700,3,FALSE)))</f>
        <v xml:space="preserve"> </v>
      </c>
      <c r="D101" s="137" t="str">
        <f>IF($A101="","",VERİLER!$C$5)</f>
        <v/>
      </c>
      <c r="E101" s="138" t="str">
        <f>IF($A101="","",Puantaj!AJ106)</f>
        <v/>
      </c>
      <c r="F101" s="137">
        <f t="shared" si="13"/>
        <v>0</v>
      </c>
      <c r="G101" s="137"/>
      <c r="H101" s="137">
        <f t="shared" si="14"/>
        <v>0</v>
      </c>
      <c r="I101" s="137">
        <f t="shared" si="15"/>
        <v>0</v>
      </c>
      <c r="J101" s="137">
        <f>IF(F101&gt;VERİLER!$C$7,'İşçi Bilgileri'!M99+(F101-VERİLER!$C$7),0)</f>
        <v>0</v>
      </c>
      <c r="K101" s="137">
        <f>IF(VERİLER!$C$11&gt;0,ROUND(J101*0.15,2),0)</f>
        <v>0</v>
      </c>
      <c r="L101" s="359">
        <f t="shared" si="16"/>
        <v>0</v>
      </c>
      <c r="M101" s="139">
        <f t="shared" si="17"/>
        <v>0</v>
      </c>
      <c r="N101" s="137">
        <f t="shared" si="18"/>
        <v>0</v>
      </c>
      <c r="O101" s="359">
        <f t="shared" si="19"/>
        <v>0</v>
      </c>
      <c r="P101" s="140">
        <f t="shared" si="20"/>
        <v>0</v>
      </c>
      <c r="Q101" s="140">
        <v>0</v>
      </c>
      <c r="R101" s="137">
        <f t="shared" si="21"/>
        <v>0</v>
      </c>
      <c r="S101" s="141">
        <f t="shared" si="22"/>
        <v>0</v>
      </c>
      <c r="T101" s="137">
        <f t="shared" si="23"/>
        <v>0</v>
      </c>
      <c r="U101" s="137">
        <f>ROUND(VERİLER!$F$9*T101,3)</f>
        <v>0</v>
      </c>
      <c r="V101" s="336">
        <f t="shared" si="24"/>
        <v>0</v>
      </c>
      <c r="W101" s="113"/>
      <c r="X101" s="113"/>
      <c r="Y101" s="113"/>
    </row>
    <row r="102" spans="1:25" s="143" customFormat="1" ht="15" customHeight="1" x14ac:dyDescent="0.2">
      <c r="A102" s="299" t="str">
        <f>IF('İşçi Bilgileri'!A100="","",'İşçi Bilgileri'!A100)</f>
        <v/>
      </c>
      <c r="B102" s="300" t="str">
        <f>IF($A102="","",VLOOKUP($A102,'İşçi Bilgileri'!$A$2:$D$700,4,FALSE))</f>
        <v/>
      </c>
      <c r="C102" s="301" t="str">
        <f>CONCATENATE(IF($A102="","",VLOOKUP($A102,'İşçi Bilgileri'!$A$2:$D$700,2,FALSE))," ",IF($A102="","",VLOOKUP($A102,'İşçi Bilgileri'!$A$2:$D$700,3,FALSE)))</f>
        <v xml:space="preserve"> </v>
      </c>
      <c r="D102" s="137" t="str">
        <f>IF($A102="","",VERİLER!$C$5)</f>
        <v/>
      </c>
      <c r="E102" s="138" t="str">
        <f>IF($A102="","",Puantaj!AJ107)</f>
        <v/>
      </c>
      <c r="F102" s="137">
        <f t="shared" si="13"/>
        <v>0</v>
      </c>
      <c r="G102" s="137"/>
      <c r="H102" s="137">
        <f t="shared" si="14"/>
        <v>0</v>
      </c>
      <c r="I102" s="137">
        <f t="shared" si="15"/>
        <v>0</v>
      </c>
      <c r="J102" s="137">
        <f>IF(F102&gt;VERİLER!$C$7,'İşçi Bilgileri'!M100+(F102-VERİLER!$C$7),0)</f>
        <v>0</v>
      </c>
      <c r="K102" s="137">
        <f>IF(VERİLER!$C$11&gt;0,ROUND(J102*0.15,2),0)</f>
        <v>0</v>
      </c>
      <c r="L102" s="359">
        <f t="shared" si="16"/>
        <v>0</v>
      </c>
      <c r="M102" s="139">
        <f t="shared" si="17"/>
        <v>0</v>
      </c>
      <c r="N102" s="137">
        <f t="shared" si="18"/>
        <v>0</v>
      </c>
      <c r="O102" s="359">
        <f t="shared" si="19"/>
        <v>0</v>
      </c>
      <c r="P102" s="140">
        <f t="shared" si="20"/>
        <v>0</v>
      </c>
      <c r="Q102" s="140">
        <v>0</v>
      </c>
      <c r="R102" s="137">
        <f t="shared" si="21"/>
        <v>0</v>
      </c>
      <c r="S102" s="141">
        <f t="shared" si="22"/>
        <v>0</v>
      </c>
      <c r="T102" s="137">
        <f t="shared" si="23"/>
        <v>0</v>
      </c>
      <c r="U102" s="137">
        <f>ROUND(VERİLER!$F$9*T102,3)</f>
        <v>0</v>
      </c>
      <c r="V102" s="336">
        <f t="shared" si="24"/>
        <v>0</v>
      </c>
      <c r="W102" s="113"/>
      <c r="X102" s="113"/>
      <c r="Y102" s="113"/>
    </row>
    <row r="103" spans="1:25" s="143" customFormat="1" ht="15" customHeight="1" x14ac:dyDescent="0.2">
      <c r="A103" s="299" t="str">
        <f>IF('İşçi Bilgileri'!A101="","",'İşçi Bilgileri'!A101)</f>
        <v/>
      </c>
      <c r="B103" s="300" t="str">
        <f>IF($A103="","",VLOOKUP($A103,'İşçi Bilgileri'!$A$2:$D$700,4,FALSE))</f>
        <v/>
      </c>
      <c r="C103" s="301" t="str">
        <f>CONCATENATE(IF($A103="","",VLOOKUP($A103,'İşçi Bilgileri'!$A$2:$D$700,2,FALSE))," ",IF($A103="","",VLOOKUP($A103,'İşçi Bilgileri'!$A$2:$D$700,3,FALSE)))</f>
        <v xml:space="preserve"> </v>
      </c>
      <c r="D103" s="137" t="str">
        <f>IF($A103="","",VERİLER!$C$5)</f>
        <v/>
      </c>
      <c r="E103" s="138" t="str">
        <f>IF($A103="","",Puantaj!AJ108)</f>
        <v/>
      </c>
      <c r="F103" s="137">
        <f t="shared" si="13"/>
        <v>0</v>
      </c>
      <c r="G103" s="137"/>
      <c r="H103" s="137">
        <f t="shared" si="14"/>
        <v>0</v>
      </c>
      <c r="I103" s="137">
        <f t="shared" si="15"/>
        <v>0</v>
      </c>
      <c r="J103" s="137">
        <f>IF(F103&gt;VERİLER!$C$7,'İşçi Bilgileri'!M101+(F103-VERİLER!$C$7),0)</f>
        <v>0</v>
      </c>
      <c r="K103" s="137">
        <f>IF(VERİLER!$C$11&gt;0,ROUND(J103*0.15,2),0)</f>
        <v>0</v>
      </c>
      <c r="L103" s="359">
        <f t="shared" si="16"/>
        <v>0</v>
      </c>
      <c r="M103" s="139">
        <f t="shared" si="17"/>
        <v>0</v>
      </c>
      <c r="N103" s="137">
        <f t="shared" si="18"/>
        <v>0</v>
      </c>
      <c r="O103" s="359">
        <f t="shared" si="19"/>
        <v>0</v>
      </c>
      <c r="P103" s="140">
        <f t="shared" si="20"/>
        <v>0</v>
      </c>
      <c r="Q103" s="140">
        <v>0</v>
      </c>
      <c r="R103" s="137">
        <f t="shared" si="21"/>
        <v>0</v>
      </c>
      <c r="S103" s="141">
        <f t="shared" si="22"/>
        <v>0</v>
      </c>
      <c r="T103" s="137">
        <f t="shared" si="23"/>
        <v>0</v>
      </c>
      <c r="U103" s="137">
        <f>ROUND(VERİLER!$F$9*T103,3)</f>
        <v>0</v>
      </c>
      <c r="V103" s="336">
        <f t="shared" si="24"/>
        <v>0</v>
      </c>
      <c r="W103" s="113"/>
      <c r="X103" s="113"/>
      <c r="Y103" s="113"/>
    </row>
    <row r="104" spans="1:25" s="143" customFormat="1" ht="15" customHeight="1" x14ac:dyDescent="0.2">
      <c r="A104" s="299" t="str">
        <f>IF('İşçi Bilgileri'!A102="","",'İşçi Bilgileri'!A102)</f>
        <v/>
      </c>
      <c r="B104" s="300" t="str">
        <f>IF($A104="","",VLOOKUP($A104,'İşçi Bilgileri'!$A$2:$D$700,4,FALSE))</f>
        <v/>
      </c>
      <c r="C104" s="301" t="str">
        <f>CONCATENATE(IF($A104="","",VLOOKUP($A104,'İşçi Bilgileri'!$A$2:$D$700,2,FALSE))," ",IF($A104="","",VLOOKUP($A104,'İşçi Bilgileri'!$A$2:$D$700,3,FALSE)))</f>
        <v xml:space="preserve"> </v>
      </c>
      <c r="D104" s="137" t="str">
        <f>IF($A104="","",VERİLER!$C$5)</f>
        <v/>
      </c>
      <c r="E104" s="138" t="str">
        <f>IF($A104="","",Puantaj!AJ109)</f>
        <v/>
      </c>
      <c r="F104" s="137">
        <f t="shared" si="13"/>
        <v>0</v>
      </c>
      <c r="G104" s="137"/>
      <c r="H104" s="137">
        <f t="shared" si="14"/>
        <v>0</v>
      </c>
      <c r="I104" s="137">
        <f t="shared" si="15"/>
        <v>0</v>
      </c>
      <c r="J104" s="137">
        <f>IF(F104&gt;VERİLER!$C$7,'İşçi Bilgileri'!M102+(F104-VERİLER!$C$7),0)</f>
        <v>0</v>
      </c>
      <c r="K104" s="137">
        <f>IF(VERİLER!$C$11&gt;0,ROUND(J104*0.15,2),0)</f>
        <v>0</v>
      </c>
      <c r="L104" s="359">
        <f t="shared" si="16"/>
        <v>0</v>
      </c>
      <c r="M104" s="139">
        <f t="shared" si="17"/>
        <v>0</v>
      </c>
      <c r="N104" s="137">
        <f t="shared" si="18"/>
        <v>0</v>
      </c>
      <c r="O104" s="359">
        <f t="shared" si="19"/>
        <v>0</v>
      </c>
      <c r="P104" s="140">
        <f t="shared" si="20"/>
        <v>0</v>
      </c>
      <c r="Q104" s="140">
        <v>0</v>
      </c>
      <c r="R104" s="137">
        <f t="shared" si="21"/>
        <v>0</v>
      </c>
      <c r="S104" s="141">
        <f t="shared" si="22"/>
        <v>0</v>
      </c>
      <c r="T104" s="137">
        <f t="shared" si="23"/>
        <v>0</v>
      </c>
      <c r="U104" s="137">
        <f>ROUND(VERİLER!$F$9*T104,3)</f>
        <v>0</v>
      </c>
      <c r="V104" s="336">
        <f t="shared" si="24"/>
        <v>0</v>
      </c>
      <c r="W104" s="113"/>
      <c r="X104" s="113"/>
      <c r="Y104" s="113"/>
    </row>
    <row r="105" spans="1:25" s="143" customFormat="1" ht="15" customHeight="1" x14ac:dyDescent="0.2">
      <c r="A105" s="299" t="str">
        <f>IF('İşçi Bilgileri'!A103="","",'İşçi Bilgileri'!A103)</f>
        <v/>
      </c>
      <c r="B105" s="300" t="str">
        <f>IF($A105="","",VLOOKUP($A105,'İşçi Bilgileri'!$A$2:$D$700,4,FALSE))</f>
        <v/>
      </c>
      <c r="C105" s="301" t="str">
        <f>CONCATENATE(IF($A105="","",VLOOKUP($A105,'İşçi Bilgileri'!$A$2:$D$700,2,FALSE))," ",IF($A105="","",VLOOKUP($A105,'İşçi Bilgileri'!$A$2:$D$700,3,FALSE)))</f>
        <v xml:space="preserve"> </v>
      </c>
      <c r="D105" s="137" t="str">
        <f>IF($A105="","",VERİLER!$C$5)</f>
        <v/>
      </c>
      <c r="E105" s="138" t="str">
        <f>IF($A105="","",Puantaj!AJ110)</f>
        <v/>
      </c>
      <c r="F105" s="137">
        <f t="shared" si="13"/>
        <v>0</v>
      </c>
      <c r="G105" s="137"/>
      <c r="H105" s="137">
        <f t="shared" si="14"/>
        <v>0</v>
      </c>
      <c r="I105" s="137">
        <f t="shared" si="15"/>
        <v>0</v>
      </c>
      <c r="J105" s="137">
        <f>IF(F105&gt;VERİLER!$C$7,'İşçi Bilgileri'!M103+(F105-VERİLER!$C$7),0)</f>
        <v>0</v>
      </c>
      <c r="K105" s="137">
        <f>IF(VERİLER!$C$11&gt;0,ROUND(J105*0.15,2),0)</f>
        <v>0</v>
      </c>
      <c r="L105" s="359">
        <f t="shared" si="16"/>
        <v>0</v>
      </c>
      <c r="M105" s="139">
        <f t="shared" si="17"/>
        <v>0</v>
      </c>
      <c r="N105" s="137">
        <f t="shared" si="18"/>
        <v>0</v>
      </c>
      <c r="O105" s="359">
        <f t="shared" si="19"/>
        <v>0</v>
      </c>
      <c r="P105" s="140">
        <f t="shared" si="20"/>
        <v>0</v>
      </c>
      <c r="Q105" s="140">
        <v>0</v>
      </c>
      <c r="R105" s="137">
        <f t="shared" si="21"/>
        <v>0</v>
      </c>
      <c r="S105" s="141">
        <f t="shared" si="22"/>
        <v>0</v>
      </c>
      <c r="T105" s="137">
        <f t="shared" si="23"/>
        <v>0</v>
      </c>
      <c r="U105" s="137">
        <f>ROUND(VERİLER!$F$9*T105,3)</f>
        <v>0</v>
      </c>
      <c r="V105" s="336">
        <f t="shared" si="24"/>
        <v>0</v>
      </c>
      <c r="W105" s="113"/>
      <c r="X105" s="113"/>
      <c r="Y105" s="113"/>
    </row>
    <row r="106" spans="1:25" s="143" customFormat="1" ht="15" customHeight="1" x14ac:dyDescent="0.2">
      <c r="A106" s="299" t="str">
        <f>IF('İşçi Bilgileri'!A104="","",'İşçi Bilgileri'!A104)</f>
        <v/>
      </c>
      <c r="B106" s="300" t="str">
        <f>IF($A106="","",VLOOKUP($A106,'İşçi Bilgileri'!$A$2:$D$700,4,FALSE))</f>
        <v/>
      </c>
      <c r="C106" s="301" t="str">
        <f>CONCATENATE(IF($A106="","",VLOOKUP($A106,'İşçi Bilgileri'!$A$2:$D$700,2,FALSE))," ",IF($A106="","",VLOOKUP($A106,'İşçi Bilgileri'!$A$2:$D$700,3,FALSE)))</f>
        <v xml:space="preserve"> </v>
      </c>
      <c r="D106" s="137" t="str">
        <f>IF($A106="","",VERİLER!$C$5)</f>
        <v/>
      </c>
      <c r="E106" s="138" t="str">
        <f>IF($A106="","",Puantaj!AJ111)</f>
        <v/>
      </c>
      <c r="F106" s="137">
        <f t="shared" si="13"/>
        <v>0</v>
      </c>
      <c r="G106" s="137"/>
      <c r="H106" s="137">
        <f t="shared" si="14"/>
        <v>0</v>
      </c>
      <c r="I106" s="137">
        <f t="shared" si="15"/>
        <v>0</v>
      </c>
      <c r="J106" s="137">
        <f>IF(F106&gt;VERİLER!$C$7,'İşçi Bilgileri'!M104+(F106-VERİLER!$C$7),0)</f>
        <v>0</v>
      </c>
      <c r="K106" s="137">
        <f>IF(VERİLER!$C$11&gt;0,ROUND(J106*0.15,2),0)</f>
        <v>0</v>
      </c>
      <c r="L106" s="359">
        <f t="shared" si="16"/>
        <v>0</v>
      </c>
      <c r="M106" s="139">
        <f t="shared" si="17"/>
        <v>0</v>
      </c>
      <c r="N106" s="137">
        <f t="shared" si="18"/>
        <v>0</v>
      </c>
      <c r="O106" s="359">
        <f t="shared" si="19"/>
        <v>0</v>
      </c>
      <c r="P106" s="140">
        <f t="shared" si="20"/>
        <v>0</v>
      </c>
      <c r="Q106" s="140">
        <v>0</v>
      </c>
      <c r="R106" s="137">
        <f t="shared" si="21"/>
        <v>0</v>
      </c>
      <c r="S106" s="141">
        <f t="shared" si="22"/>
        <v>0</v>
      </c>
      <c r="T106" s="137">
        <f t="shared" si="23"/>
        <v>0</v>
      </c>
      <c r="U106" s="137">
        <f>ROUND(VERİLER!$F$9*T106,3)</f>
        <v>0</v>
      </c>
      <c r="V106" s="336">
        <f t="shared" si="24"/>
        <v>0</v>
      </c>
      <c r="W106" s="113"/>
      <c r="X106" s="113"/>
      <c r="Y106" s="113"/>
    </row>
    <row r="107" spans="1:25" s="143" customFormat="1" ht="15" customHeight="1" x14ac:dyDescent="0.2">
      <c r="A107" s="299" t="str">
        <f>IF('İşçi Bilgileri'!A105="","",'İşçi Bilgileri'!A105)</f>
        <v/>
      </c>
      <c r="B107" s="300" t="str">
        <f>IF($A107="","",VLOOKUP($A107,'İşçi Bilgileri'!$A$2:$D$700,4,FALSE))</f>
        <v/>
      </c>
      <c r="C107" s="301" t="str">
        <f>CONCATENATE(IF($A107="","",VLOOKUP($A107,'İşçi Bilgileri'!$A$2:$D$700,2,FALSE))," ",IF($A107="","",VLOOKUP($A107,'İşçi Bilgileri'!$A$2:$D$700,3,FALSE)))</f>
        <v xml:space="preserve"> </v>
      </c>
      <c r="D107" s="137" t="str">
        <f>IF($A107="","",VERİLER!$C$5)</f>
        <v/>
      </c>
      <c r="E107" s="138" t="str">
        <f>IF($A107="","",Puantaj!AJ112)</f>
        <v/>
      </c>
      <c r="F107" s="137">
        <f t="shared" si="13"/>
        <v>0</v>
      </c>
      <c r="G107" s="137"/>
      <c r="H107" s="137">
        <f t="shared" si="14"/>
        <v>0</v>
      </c>
      <c r="I107" s="137">
        <f t="shared" si="15"/>
        <v>0</v>
      </c>
      <c r="J107" s="137">
        <f>IF(F107&gt;VERİLER!$C$7,'İşçi Bilgileri'!M105+(F107-VERİLER!$C$7),0)</f>
        <v>0</v>
      </c>
      <c r="K107" s="137">
        <f>IF(VERİLER!$C$11&gt;0,ROUND(J107*0.15,2),0)</f>
        <v>0</v>
      </c>
      <c r="L107" s="359">
        <f t="shared" si="16"/>
        <v>0</v>
      </c>
      <c r="M107" s="139">
        <f t="shared" si="17"/>
        <v>0</v>
      </c>
      <c r="N107" s="137">
        <f t="shared" si="18"/>
        <v>0</v>
      </c>
      <c r="O107" s="359">
        <f t="shared" si="19"/>
        <v>0</v>
      </c>
      <c r="P107" s="140">
        <f t="shared" si="20"/>
        <v>0</v>
      </c>
      <c r="Q107" s="140">
        <v>0</v>
      </c>
      <c r="R107" s="137">
        <f t="shared" si="21"/>
        <v>0</v>
      </c>
      <c r="S107" s="141">
        <f t="shared" si="22"/>
        <v>0</v>
      </c>
      <c r="T107" s="137">
        <f t="shared" si="23"/>
        <v>0</v>
      </c>
      <c r="U107" s="137">
        <f>ROUND(VERİLER!$F$9*T107,3)</f>
        <v>0</v>
      </c>
      <c r="V107" s="336">
        <f t="shared" si="24"/>
        <v>0</v>
      </c>
      <c r="W107" s="113"/>
      <c r="X107" s="113"/>
      <c r="Y107" s="113"/>
    </row>
    <row r="108" spans="1:25" s="143" customFormat="1" ht="15" customHeight="1" x14ac:dyDescent="0.2">
      <c r="A108" s="299" t="str">
        <f>IF('İşçi Bilgileri'!A106="","",'İşçi Bilgileri'!A106)</f>
        <v/>
      </c>
      <c r="B108" s="300" t="str">
        <f>IF($A108="","",VLOOKUP($A108,'İşçi Bilgileri'!$A$2:$D$700,4,FALSE))</f>
        <v/>
      </c>
      <c r="C108" s="301" t="str">
        <f>CONCATENATE(IF($A108="","",VLOOKUP($A108,'İşçi Bilgileri'!$A$2:$D$700,2,FALSE))," ",IF($A108="","",VLOOKUP($A108,'İşçi Bilgileri'!$A$2:$D$700,3,FALSE)))</f>
        <v xml:space="preserve"> </v>
      </c>
      <c r="D108" s="137" t="str">
        <f>IF($A108="","",VERİLER!$C$5)</f>
        <v/>
      </c>
      <c r="E108" s="138" t="str">
        <f>IF($A108="","",Puantaj!AJ113)</f>
        <v/>
      </c>
      <c r="F108" s="137">
        <f t="shared" si="13"/>
        <v>0</v>
      </c>
      <c r="G108" s="137"/>
      <c r="H108" s="137">
        <f t="shared" si="14"/>
        <v>0</v>
      </c>
      <c r="I108" s="137">
        <f t="shared" si="15"/>
        <v>0</v>
      </c>
      <c r="J108" s="137">
        <f>IF(F108&gt;VERİLER!$C$7,'İşçi Bilgileri'!M106+(F108-VERİLER!$C$7),0)</f>
        <v>0</v>
      </c>
      <c r="K108" s="137">
        <f>IF(VERİLER!$C$11&gt;0,ROUND(J108*0.15,2),0)</f>
        <v>0</v>
      </c>
      <c r="L108" s="359">
        <f t="shared" si="16"/>
        <v>0</v>
      </c>
      <c r="M108" s="139">
        <f t="shared" si="17"/>
        <v>0</v>
      </c>
      <c r="N108" s="137">
        <f t="shared" si="18"/>
        <v>0</v>
      </c>
      <c r="O108" s="359">
        <f t="shared" si="19"/>
        <v>0</v>
      </c>
      <c r="P108" s="140">
        <f t="shared" si="20"/>
        <v>0</v>
      </c>
      <c r="Q108" s="140">
        <v>0</v>
      </c>
      <c r="R108" s="137">
        <f t="shared" si="21"/>
        <v>0</v>
      </c>
      <c r="S108" s="141">
        <f t="shared" si="22"/>
        <v>0</v>
      </c>
      <c r="T108" s="137">
        <f t="shared" si="23"/>
        <v>0</v>
      </c>
      <c r="U108" s="137">
        <f>ROUND(VERİLER!$F$9*T108,3)</f>
        <v>0</v>
      </c>
      <c r="V108" s="336">
        <f t="shared" si="24"/>
        <v>0</v>
      </c>
      <c r="W108" s="113"/>
      <c r="X108" s="113"/>
      <c r="Y108" s="113"/>
    </row>
    <row r="109" spans="1:25" s="143" customFormat="1" ht="15" customHeight="1" x14ac:dyDescent="0.2">
      <c r="A109" s="299" t="str">
        <f>IF('İşçi Bilgileri'!A107="","",'İşçi Bilgileri'!A107)</f>
        <v/>
      </c>
      <c r="B109" s="300" t="str">
        <f>IF($A109="","",VLOOKUP($A109,'İşçi Bilgileri'!$A$2:$D$700,4,FALSE))</f>
        <v/>
      </c>
      <c r="C109" s="301" t="str">
        <f>CONCATENATE(IF($A109="","",VLOOKUP($A109,'İşçi Bilgileri'!$A$2:$D$700,2,FALSE))," ",IF($A109="","",VLOOKUP($A109,'İşçi Bilgileri'!$A$2:$D$700,3,FALSE)))</f>
        <v xml:space="preserve"> </v>
      </c>
      <c r="D109" s="137" t="str">
        <f>IF($A109="","",VERİLER!$C$5)</f>
        <v/>
      </c>
      <c r="E109" s="138" t="str">
        <f>IF($A109="","",Puantaj!AJ114)</f>
        <v/>
      </c>
      <c r="F109" s="137">
        <f t="shared" si="13"/>
        <v>0</v>
      </c>
      <c r="G109" s="137"/>
      <c r="H109" s="137">
        <f t="shared" si="14"/>
        <v>0</v>
      </c>
      <c r="I109" s="137">
        <f t="shared" si="15"/>
        <v>0</v>
      </c>
      <c r="J109" s="137">
        <f>IF(F109&gt;VERİLER!$C$7,'İşçi Bilgileri'!M107+(F109-VERİLER!$C$7),0)</f>
        <v>0</v>
      </c>
      <c r="K109" s="137">
        <f>IF(VERİLER!$C$11&gt;0,ROUND(J109*0.15,2),0)</f>
        <v>0</v>
      </c>
      <c r="L109" s="359">
        <f t="shared" si="16"/>
        <v>0</v>
      </c>
      <c r="M109" s="139">
        <f t="shared" si="17"/>
        <v>0</v>
      </c>
      <c r="N109" s="137">
        <f t="shared" si="18"/>
        <v>0</v>
      </c>
      <c r="O109" s="359">
        <f t="shared" si="19"/>
        <v>0</v>
      </c>
      <c r="P109" s="140">
        <f t="shared" si="20"/>
        <v>0</v>
      </c>
      <c r="Q109" s="140">
        <v>0</v>
      </c>
      <c r="R109" s="137">
        <f t="shared" si="21"/>
        <v>0</v>
      </c>
      <c r="S109" s="141">
        <f t="shared" si="22"/>
        <v>0</v>
      </c>
      <c r="T109" s="137">
        <f t="shared" si="23"/>
        <v>0</v>
      </c>
      <c r="U109" s="137">
        <f>ROUND(VERİLER!$F$9*T109,3)</f>
        <v>0</v>
      </c>
      <c r="V109" s="336">
        <f t="shared" si="24"/>
        <v>0</v>
      </c>
      <c r="W109" s="113"/>
      <c r="X109" s="113"/>
      <c r="Y109" s="113"/>
    </row>
    <row r="110" spans="1:25" s="143" customFormat="1" ht="15" customHeight="1" x14ac:dyDescent="0.2">
      <c r="A110" s="299" t="str">
        <f>IF('İşçi Bilgileri'!A108="","",'İşçi Bilgileri'!A108)</f>
        <v/>
      </c>
      <c r="B110" s="300" t="str">
        <f>IF($A110="","",VLOOKUP($A110,'İşçi Bilgileri'!$A$2:$D$700,4,FALSE))</f>
        <v/>
      </c>
      <c r="C110" s="301" t="str">
        <f>CONCATENATE(IF($A110="","",VLOOKUP($A110,'İşçi Bilgileri'!$A$2:$D$700,2,FALSE))," ",IF($A110="","",VLOOKUP($A110,'İşçi Bilgileri'!$A$2:$D$700,3,FALSE)))</f>
        <v xml:space="preserve"> </v>
      </c>
      <c r="D110" s="137" t="str">
        <f>IF($A110="","",VERİLER!$C$5)</f>
        <v/>
      </c>
      <c r="E110" s="138" t="str">
        <f>IF($A110="","",Puantaj!AJ115)</f>
        <v/>
      </c>
      <c r="F110" s="137">
        <f t="shared" si="13"/>
        <v>0</v>
      </c>
      <c r="G110" s="137"/>
      <c r="H110" s="137">
        <f t="shared" si="14"/>
        <v>0</v>
      </c>
      <c r="I110" s="137">
        <f t="shared" si="15"/>
        <v>0</v>
      </c>
      <c r="J110" s="137">
        <f>IF(F110&gt;VERİLER!$C$7,'İşçi Bilgileri'!M108+(F110-VERİLER!$C$7),0)</f>
        <v>0</v>
      </c>
      <c r="K110" s="137">
        <f>IF(VERİLER!$C$11&gt;0,ROUND(J110*0.15,2),0)</f>
        <v>0</v>
      </c>
      <c r="L110" s="359">
        <f t="shared" si="16"/>
        <v>0</v>
      </c>
      <c r="M110" s="139">
        <f t="shared" si="17"/>
        <v>0</v>
      </c>
      <c r="N110" s="137">
        <f t="shared" si="18"/>
        <v>0</v>
      </c>
      <c r="O110" s="359">
        <f t="shared" si="19"/>
        <v>0</v>
      </c>
      <c r="P110" s="140">
        <f t="shared" si="20"/>
        <v>0</v>
      </c>
      <c r="Q110" s="140">
        <v>0</v>
      </c>
      <c r="R110" s="137">
        <f t="shared" si="21"/>
        <v>0</v>
      </c>
      <c r="S110" s="141">
        <f t="shared" si="22"/>
        <v>0</v>
      </c>
      <c r="T110" s="137">
        <f t="shared" si="23"/>
        <v>0</v>
      </c>
      <c r="U110" s="137">
        <f>ROUND(VERİLER!$F$9*T110,3)</f>
        <v>0</v>
      </c>
      <c r="V110" s="336">
        <f t="shared" si="24"/>
        <v>0</v>
      </c>
      <c r="W110" s="113"/>
      <c r="X110" s="113"/>
      <c r="Y110" s="113"/>
    </row>
    <row r="111" spans="1:25" s="143" customFormat="1" ht="15" customHeight="1" x14ac:dyDescent="0.2">
      <c r="A111" s="299" t="str">
        <f>IF('İşçi Bilgileri'!A109="","",'İşçi Bilgileri'!A109)</f>
        <v/>
      </c>
      <c r="B111" s="300" t="str">
        <f>IF($A111="","",VLOOKUP($A111,'İşçi Bilgileri'!$A$2:$D$700,4,FALSE))</f>
        <v/>
      </c>
      <c r="C111" s="301" t="str">
        <f>CONCATENATE(IF($A111="","",VLOOKUP($A111,'İşçi Bilgileri'!$A$2:$D$700,2,FALSE))," ",IF($A111="","",VLOOKUP($A111,'İşçi Bilgileri'!$A$2:$D$700,3,FALSE)))</f>
        <v xml:space="preserve"> </v>
      </c>
      <c r="D111" s="137" t="str">
        <f>IF($A111="","",VERİLER!$C$5)</f>
        <v/>
      </c>
      <c r="E111" s="138" t="str">
        <f>IF($A111="","",Puantaj!AJ116)</f>
        <v/>
      </c>
      <c r="F111" s="137">
        <f t="shared" si="13"/>
        <v>0</v>
      </c>
      <c r="G111" s="137"/>
      <c r="H111" s="137">
        <f t="shared" si="14"/>
        <v>0</v>
      </c>
      <c r="I111" s="137">
        <f t="shared" si="15"/>
        <v>0</v>
      </c>
      <c r="J111" s="137">
        <f>IF(F111&gt;VERİLER!$C$7,'İşçi Bilgileri'!M109+(F111-VERİLER!$C$7),0)</f>
        <v>0</v>
      </c>
      <c r="K111" s="137">
        <f>IF(VERİLER!$C$11&gt;0,ROUND(J111*0.15,2),0)</f>
        <v>0</v>
      </c>
      <c r="L111" s="359">
        <f t="shared" si="16"/>
        <v>0</v>
      </c>
      <c r="M111" s="139">
        <f t="shared" si="17"/>
        <v>0</v>
      </c>
      <c r="N111" s="137">
        <f t="shared" si="18"/>
        <v>0</v>
      </c>
      <c r="O111" s="359">
        <f t="shared" si="19"/>
        <v>0</v>
      </c>
      <c r="P111" s="140">
        <f t="shared" si="20"/>
        <v>0</v>
      </c>
      <c r="Q111" s="140">
        <v>0</v>
      </c>
      <c r="R111" s="137">
        <f t="shared" si="21"/>
        <v>0</v>
      </c>
      <c r="S111" s="141">
        <f t="shared" si="22"/>
        <v>0</v>
      </c>
      <c r="T111" s="137">
        <f t="shared" si="23"/>
        <v>0</v>
      </c>
      <c r="U111" s="137">
        <f>ROUND(VERİLER!$F$9*T111,3)</f>
        <v>0</v>
      </c>
      <c r="V111" s="336">
        <f t="shared" si="24"/>
        <v>0</v>
      </c>
      <c r="W111" s="113"/>
      <c r="X111" s="113"/>
      <c r="Y111" s="113"/>
    </row>
    <row r="112" spans="1:25" s="143" customFormat="1" ht="15" customHeight="1" x14ac:dyDescent="0.2">
      <c r="A112" s="299" t="str">
        <f>IF('İşçi Bilgileri'!A110="","",'İşçi Bilgileri'!A110)</f>
        <v/>
      </c>
      <c r="B112" s="300" t="str">
        <f>IF($A112="","",VLOOKUP($A112,'İşçi Bilgileri'!$A$2:$D$700,4,FALSE))</f>
        <v/>
      </c>
      <c r="C112" s="301" t="str">
        <f>CONCATENATE(IF($A112="","",VLOOKUP($A112,'İşçi Bilgileri'!$A$2:$D$700,2,FALSE))," ",IF($A112="","",VLOOKUP($A112,'İşçi Bilgileri'!$A$2:$D$700,3,FALSE)))</f>
        <v xml:space="preserve"> </v>
      </c>
      <c r="D112" s="137" t="str">
        <f>IF($A112="","",VERİLER!$C$5)</f>
        <v/>
      </c>
      <c r="E112" s="138" t="str">
        <f>IF($A112="","",Puantaj!AJ117)</f>
        <v/>
      </c>
      <c r="F112" s="137">
        <f t="shared" si="13"/>
        <v>0</v>
      </c>
      <c r="G112" s="137"/>
      <c r="H112" s="137">
        <f t="shared" si="14"/>
        <v>0</v>
      </c>
      <c r="I112" s="137">
        <f t="shared" si="15"/>
        <v>0</v>
      </c>
      <c r="J112" s="137">
        <f>IF(F112&gt;VERİLER!$C$7,'İşçi Bilgileri'!M110+(F112-VERİLER!$C$7),0)</f>
        <v>0</v>
      </c>
      <c r="K112" s="137">
        <f>IF(VERİLER!$C$11&gt;0,ROUND(J112*0.15,2),0)</f>
        <v>0</v>
      </c>
      <c r="L112" s="359">
        <f t="shared" si="16"/>
        <v>0</v>
      </c>
      <c r="M112" s="139">
        <f t="shared" si="17"/>
        <v>0</v>
      </c>
      <c r="N112" s="137">
        <f t="shared" si="18"/>
        <v>0</v>
      </c>
      <c r="O112" s="359">
        <f t="shared" si="19"/>
        <v>0</v>
      </c>
      <c r="P112" s="140">
        <f t="shared" si="20"/>
        <v>0</v>
      </c>
      <c r="Q112" s="140">
        <v>0</v>
      </c>
      <c r="R112" s="137">
        <f t="shared" si="21"/>
        <v>0</v>
      </c>
      <c r="S112" s="141">
        <f t="shared" si="22"/>
        <v>0</v>
      </c>
      <c r="T112" s="137">
        <f t="shared" si="23"/>
        <v>0</v>
      </c>
      <c r="U112" s="137">
        <f>ROUND(VERİLER!$F$9*T112,3)</f>
        <v>0</v>
      </c>
      <c r="V112" s="336">
        <f t="shared" si="24"/>
        <v>0</v>
      </c>
      <c r="W112" s="113"/>
      <c r="X112" s="113"/>
      <c r="Y112" s="113"/>
    </row>
    <row r="113" spans="1:25" s="143" customFormat="1" ht="15" customHeight="1" x14ac:dyDescent="0.2">
      <c r="A113" s="299" t="str">
        <f>IF('İşçi Bilgileri'!A111="","",'İşçi Bilgileri'!A111)</f>
        <v/>
      </c>
      <c r="B113" s="300" t="str">
        <f>IF($A113="","",VLOOKUP($A113,'İşçi Bilgileri'!$A$2:$D$700,4,FALSE))</f>
        <v/>
      </c>
      <c r="C113" s="301" t="str">
        <f>CONCATENATE(IF($A113="","",VLOOKUP($A113,'İşçi Bilgileri'!$A$2:$D$700,2,FALSE))," ",IF($A113="","",VLOOKUP($A113,'İşçi Bilgileri'!$A$2:$D$700,3,FALSE)))</f>
        <v xml:space="preserve"> </v>
      </c>
      <c r="D113" s="137" t="str">
        <f>IF($A113="","",VERİLER!$C$5)</f>
        <v/>
      </c>
      <c r="E113" s="138" t="str">
        <f>IF($A113="","",Puantaj!AJ118)</f>
        <v/>
      </c>
      <c r="F113" s="137">
        <f t="shared" si="13"/>
        <v>0</v>
      </c>
      <c r="G113" s="137"/>
      <c r="H113" s="137">
        <f t="shared" si="14"/>
        <v>0</v>
      </c>
      <c r="I113" s="137">
        <f t="shared" si="15"/>
        <v>0</v>
      </c>
      <c r="J113" s="137">
        <f>IF(F113&gt;VERİLER!$C$7,'İşçi Bilgileri'!M111+(F113-VERİLER!$C$7),0)</f>
        <v>0</v>
      </c>
      <c r="K113" s="137">
        <f>IF(VERİLER!$C$11&gt;0,ROUND(J113*0.15,2),0)</f>
        <v>0</v>
      </c>
      <c r="L113" s="359">
        <f t="shared" si="16"/>
        <v>0</v>
      </c>
      <c r="M113" s="139">
        <f t="shared" si="17"/>
        <v>0</v>
      </c>
      <c r="N113" s="137">
        <f t="shared" si="18"/>
        <v>0</v>
      </c>
      <c r="O113" s="359">
        <f t="shared" si="19"/>
        <v>0</v>
      </c>
      <c r="P113" s="140">
        <f t="shared" si="20"/>
        <v>0</v>
      </c>
      <c r="Q113" s="140">
        <v>0</v>
      </c>
      <c r="R113" s="137">
        <f t="shared" si="21"/>
        <v>0</v>
      </c>
      <c r="S113" s="141">
        <f t="shared" si="22"/>
        <v>0</v>
      </c>
      <c r="T113" s="137">
        <f t="shared" si="23"/>
        <v>0</v>
      </c>
      <c r="U113" s="137">
        <f>ROUND(VERİLER!$F$9*T113,3)</f>
        <v>0</v>
      </c>
      <c r="V113" s="336">
        <f t="shared" si="24"/>
        <v>0</v>
      </c>
      <c r="W113" s="113"/>
      <c r="X113" s="113"/>
      <c r="Y113" s="113"/>
    </row>
    <row r="114" spans="1:25" s="143" customFormat="1" ht="15" customHeight="1" x14ac:dyDescent="0.2">
      <c r="A114" s="299" t="str">
        <f>IF('İşçi Bilgileri'!A112="","",'İşçi Bilgileri'!A112)</f>
        <v/>
      </c>
      <c r="B114" s="300" t="str">
        <f>IF($A114="","",VLOOKUP($A114,'İşçi Bilgileri'!$A$2:$D$700,4,FALSE))</f>
        <v/>
      </c>
      <c r="C114" s="301" t="str">
        <f>CONCATENATE(IF($A114="","",VLOOKUP($A114,'İşçi Bilgileri'!$A$2:$D$700,2,FALSE))," ",IF($A114="","",VLOOKUP($A114,'İşçi Bilgileri'!$A$2:$D$700,3,FALSE)))</f>
        <v xml:space="preserve"> </v>
      </c>
      <c r="D114" s="137" t="str">
        <f>IF($A114="","",VERİLER!$C$5)</f>
        <v/>
      </c>
      <c r="E114" s="138" t="str">
        <f>IF($A114="","",Puantaj!AJ119)</f>
        <v/>
      </c>
      <c r="F114" s="137">
        <f t="shared" si="13"/>
        <v>0</v>
      </c>
      <c r="G114" s="137"/>
      <c r="H114" s="137">
        <f t="shared" si="14"/>
        <v>0</v>
      </c>
      <c r="I114" s="137">
        <f t="shared" si="15"/>
        <v>0</v>
      </c>
      <c r="J114" s="137">
        <f>IF(F114&gt;VERİLER!$C$7,'İşçi Bilgileri'!M112+(F114-VERİLER!$C$7),0)</f>
        <v>0</v>
      </c>
      <c r="K114" s="137">
        <f>IF(VERİLER!$C$11&gt;0,ROUND(J114*0.15,2),0)</f>
        <v>0</v>
      </c>
      <c r="L114" s="359">
        <f t="shared" si="16"/>
        <v>0</v>
      </c>
      <c r="M114" s="139">
        <f t="shared" si="17"/>
        <v>0</v>
      </c>
      <c r="N114" s="137">
        <f t="shared" si="18"/>
        <v>0</v>
      </c>
      <c r="O114" s="359">
        <f t="shared" si="19"/>
        <v>0</v>
      </c>
      <c r="P114" s="140">
        <f t="shared" si="20"/>
        <v>0</v>
      </c>
      <c r="Q114" s="140">
        <v>0</v>
      </c>
      <c r="R114" s="137">
        <f t="shared" si="21"/>
        <v>0</v>
      </c>
      <c r="S114" s="141">
        <f t="shared" si="22"/>
        <v>0</v>
      </c>
      <c r="T114" s="137">
        <f t="shared" si="23"/>
        <v>0</v>
      </c>
      <c r="U114" s="137">
        <f>ROUND(VERİLER!$F$9*T114,3)</f>
        <v>0</v>
      </c>
      <c r="V114" s="336">
        <f t="shared" si="24"/>
        <v>0</v>
      </c>
      <c r="W114" s="113"/>
      <c r="X114" s="113"/>
      <c r="Y114" s="113"/>
    </row>
    <row r="115" spans="1:25" s="143" customFormat="1" ht="15" customHeight="1" x14ac:dyDescent="0.2">
      <c r="A115" s="299" t="str">
        <f>IF('İşçi Bilgileri'!A113="","",'İşçi Bilgileri'!A113)</f>
        <v/>
      </c>
      <c r="B115" s="300" t="str">
        <f>IF($A115="","",VLOOKUP($A115,'İşçi Bilgileri'!$A$2:$D$700,4,FALSE))</f>
        <v/>
      </c>
      <c r="C115" s="301" t="str">
        <f>CONCATENATE(IF($A115="","",VLOOKUP($A115,'İşçi Bilgileri'!$A$2:$D$700,2,FALSE))," ",IF($A115="","",VLOOKUP($A115,'İşçi Bilgileri'!$A$2:$D$700,3,FALSE)))</f>
        <v xml:space="preserve"> </v>
      </c>
      <c r="D115" s="137" t="str">
        <f>IF($A115="","",VERİLER!$C$5)</f>
        <v/>
      </c>
      <c r="E115" s="138" t="str">
        <f>IF($A115="","",Puantaj!AJ120)</f>
        <v/>
      </c>
      <c r="F115" s="137">
        <f t="shared" si="13"/>
        <v>0</v>
      </c>
      <c r="G115" s="137"/>
      <c r="H115" s="137">
        <f t="shared" si="14"/>
        <v>0</v>
      </c>
      <c r="I115" s="137">
        <f t="shared" si="15"/>
        <v>0</v>
      </c>
      <c r="J115" s="137">
        <f>IF(F115&gt;VERİLER!$C$7,'İşçi Bilgileri'!M113+(F115-VERİLER!$C$7),0)</f>
        <v>0</v>
      </c>
      <c r="K115" s="137">
        <f>IF(VERİLER!$C$11&gt;0,ROUND(J115*0.15,2),0)</f>
        <v>0</v>
      </c>
      <c r="L115" s="359">
        <f t="shared" si="16"/>
        <v>0</v>
      </c>
      <c r="M115" s="139">
        <f t="shared" si="17"/>
        <v>0</v>
      </c>
      <c r="N115" s="137">
        <f t="shared" si="18"/>
        <v>0</v>
      </c>
      <c r="O115" s="359">
        <f t="shared" si="19"/>
        <v>0</v>
      </c>
      <c r="P115" s="140">
        <f t="shared" si="20"/>
        <v>0</v>
      </c>
      <c r="Q115" s="140">
        <v>0</v>
      </c>
      <c r="R115" s="137">
        <f t="shared" si="21"/>
        <v>0</v>
      </c>
      <c r="S115" s="141">
        <f t="shared" si="22"/>
        <v>0</v>
      </c>
      <c r="T115" s="137">
        <f t="shared" si="23"/>
        <v>0</v>
      </c>
      <c r="U115" s="137">
        <f>ROUND(VERİLER!$F$9*T115,3)</f>
        <v>0</v>
      </c>
      <c r="V115" s="336">
        <f t="shared" si="24"/>
        <v>0</v>
      </c>
      <c r="W115" s="113"/>
      <c r="X115" s="113"/>
      <c r="Y115" s="113"/>
    </row>
    <row r="116" spans="1:25" s="143" customFormat="1" ht="15" customHeight="1" x14ac:dyDescent="0.2">
      <c r="A116" s="299" t="str">
        <f>IF('İşçi Bilgileri'!A114="","",'İşçi Bilgileri'!A114)</f>
        <v/>
      </c>
      <c r="B116" s="300" t="str">
        <f>IF($A116="","",VLOOKUP($A116,'İşçi Bilgileri'!$A$2:$D$700,4,FALSE))</f>
        <v/>
      </c>
      <c r="C116" s="301" t="str">
        <f>CONCATENATE(IF($A116="","",VLOOKUP($A116,'İşçi Bilgileri'!$A$2:$D$700,2,FALSE))," ",IF($A116="","",VLOOKUP($A116,'İşçi Bilgileri'!$A$2:$D$700,3,FALSE)))</f>
        <v xml:space="preserve"> </v>
      </c>
      <c r="D116" s="137" t="str">
        <f>IF($A116="","",VERİLER!$C$5)</f>
        <v/>
      </c>
      <c r="E116" s="138" t="str">
        <f>IF($A116="","",Puantaj!AJ121)</f>
        <v/>
      </c>
      <c r="F116" s="137">
        <f t="shared" si="13"/>
        <v>0</v>
      </c>
      <c r="G116" s="137"/>
      <c r="H116" s="137">
        <f t="shared" si="14"/>
        <v>0</v>
      </c>
      <c r="I116" s="137">
        <f t="shared" si="15"/>
        <v>0</v>
      </c>
      <c r="J116" s="137">
        <f>IF(F116&gt;VERİLER!$C$7,'İşçi Bilgileri'!M114+(F116-VERİLER!$C$7),0)</f>
        <v>0</v>
      </c>
      <c r="K116" s="137">
        <f>IF(VERİLER!$C$11&gt;0,ROUND(J116*0.15,2),0)</f>
        <v>0</v>
      </c>
      <c r="L116" s="359">
        <f t="shared" si="16"/>
        <v>0</v>
      </c>
      <c r="M116" s="139">
        <f t="shared" si="17"/>
        <v>0</v>
      </c>
      <c r="N116" s="137">
        <f t="shared" si="18"/>
        <v>0</v>
      </c>
      <c r="O116" s="359">
        <f t="shared" si="19"/>
        <v>0</v>
      </c>
      <c r="P116" s="140">
        <f t="shared" si="20"/>
        <v>0</v>
      </c>
      <c r="Q116" s="140">
        <v>0</v>
      </c>
      <c r="R116" s="137">
        <f t="shared" si="21"/>
        <v>0</v>
      </c>
      <c r="S116" s="141">
        <f t="shared" si="22"/>
        <v>0</v>
      </c>
      <c r="T116" s="137">
        <f t="shared" si="23"/>
        <v>0</v>
      </c>
      <c r="U116" s="137">
        <f>ROUND(VERİLER!$F$9*T116,3)</f>
        <v>0</v>
      </c>
      <c r="V116" s="336">
        <f t="shared" si="24"/>
        <v>0</v>
      </c>
      <c r="W116" s="113"/>
      <c r="X116" s="113"/>
      <c r="Y116" s="113"/>
    </row>
    <row r="117" spans="1:25" s="143" customFormat="1" ht="15" customHeight="1" x14ac:dyDescent="0.2">
      <c r="A117" s="299" t="str">
        <f>IF('İşçi Bilgileri'!A115="","",'İşçi Bilgileri'!A115)</f>
        <v/>
      </c>
      <c r="B117" s="300" t="str">
        <f>IF($A117="","",VLOOKUP($A117,'İşçi Bilgileri'!$A$2:$D$700,4,FALSE))</f>
        <v/>
      </c>
      <c r="C117" s="301" t="str">
        <f>CONCATENATE(IF($A117="","",VLOOKUP($A117,'İşçi Bilgileri'!$A$2:$D$700,2,FALSE))," ",IF($A117="","",VLOOKUP($A117,'İşçi Bilgileri'!$A$2:$D$700,3,FALSE)))</f>
        <v xml:space="preserve"> </v>
      </c>
      <c r="D117" s="137" t="str">
        <f>IF($A117="","",VERİLER!$C$5)</f>
        <v/>
      </c>
      <c r="E117" s="138" t="str">
        <f>IF($A117="","",Puantaj!AJ122)</f>
        <v/>
      </c>
      <c r="F117" s="137">
        <f t="shared" si="13"/>
        <v>0</v>
      </c>
      <c r="G117" s="137"/>
      <c r="H117" s="137">
        <f t="shared" si="14"/>
        <v>0</v>
      </c>
      <c r="I117" s="137">
        <f t="shared" si="15"/>
        <v>0</v>
      </c>
      <c r="J117" s="137">
        <f>IF(F117&gt;VERİLER!$C$7,'İşçi Bilgileri'!M115+(F117-VERİLER!$C$7),0)</f>
        <v>0</v>
      </c>
      <c r="K117" s="137">
        <f>IF(VERİLER!$C$11&gt;0,ROUND(J117*0.15,2),0)</f>
        <v>0</v>
      </c>
      <c r="L117" s="359">
        <f t="shared" si="16"/>
        <v>0</v>
      </c>
      <c r="M117" s="139">
        <f t="shared" si="17"/>
        <v>0</v>
      </c>
      <c r="N117" s="137">
        <f t="shared" si="18"/>
        <v>0</v>
      </c>
      <c r="O117" s="359">
        <f t="shared" si="19"/>
        <v>0</v>
      </c>
      <c r="P117" s="140">
        <f t="shared" si="20"/>
        <v>0</v>
      </c>
      <c r="Q117" s="140">
        <v>0</v>
      </c>
      <c r="R117" s="137">
        <f t="shared" si="21"/>
        <v>0</v>
      </c>
      <c r="S117" s="141">
        <f t="shared" si="22"/>
        <v>0</v>
      </c>
      <c r="T117" s="137">
        <f t="shared" si="23"/>
        <v>0</v>
      </c>
      <c r="U117" s="137">
        <f>ROUND(VERİLER!$F$9*T117,3)</f>
        <v>0</v>
      </c>
      <c r="V117" s="336">
        <f t="shared" si="24"/>
        <v>0</v>
      </c>
      <c r="W117" s="113"/>
      <c r="X117" s="113"/>
      <c r="Y117" s="113"/>
    </row>
    <row r="118" spans="1:25" s="143" customFormat="1" ht="15" customHeight="1" x14ac:dyDescent="0.2">
      <c r="A118" s="299" t="str">
        <f>IF('İşçi Bilgileri'!A116="","",'İşçi Bilgileri'!A116)</f>
        <v/>
      </c>
      <c r="B118" s="300" t="str">
        <f>IF($A118="","",VLOOKUP($A118,'İşçi Bilgileri'!$A$2:$D$700,4,FALSE))</f>
        <v/>
      </c>
      <c r="C118" s="301" t="str">
        <f>CONCATENATE(IF($A118="","",VLOOKUP($A118,'İşçi Bilgileri'!$A$2:$D$700,2,FALSE))," ",IF($A118="","",VLOOKUP($A118,'İşçi Bilgileri'!$A$2:$D$700,3,FALSE)))</f>
        <v xml:space="preserve"> </v>
      </c>
      <c r="D118" s="137" t="str">
        <f>IF($A118="","",VERİLER!$C$5)</f>
        <v/>
      </c>
      <c r="E118" s="138" t="str">
        <f>IF($A118="","",Puantaj!AJ123)</f>
        <v/>
      </c>
      <c r="F118" s="137">
        <f t="shared" si="13"/>
        <v>0</v>
      </c>
      <c r="G118" s="137"/>
      <c r="H118" s="137">
        <f t="shared" si="14"/>
        <v>0</v>
      </c>
      <c r="I118" s="137">
        <f t="shared" si="15"/>
        <v>0</v>
      </c>
      <c r="J118" s="137">
        <f>IF(F118&gt;VERİLER!$C$7,'İşçi Bilgileri'!M116+(F118-VERİLER!$C$7),0)</f>
        <v>0</v>
      </c>
      <c r="K118" s="137">
        <f>IF(VERİLER!$C$11&gt;0,ROUND(J118*0.15,2),0)</f>
        <v>0</v>
      </c>
      <c r="L118" s="359">
        <f t="shared" si="16"/>
        <v>0</v>
      </c>
      <c r="M118" s="139">
        <f t="shared" si="17"/>
        <v>0</v>
      </c>
      <c r="N118" s="137">
        <f t="shared" si="18"/>
        <v>0</v>
      </c>
      <c r="O118" s="359">
        <f t="shared" si="19"/>
        <v>0</v>
      </c>
      <c r="P118" s="140">
        <f t="shared" si="20"/>
        <v>0</v>
      </c>
      <c r="Q118" s="140">
        <v>0</v>
      </c>
      <c r="R118" s="137">
        <f t="shared" si="21"/>
        <v>0</v>
      </c>
      <c r="S118" s="141">
        <f t="shared" si="22"/>
        <v>0</v>
      </c>
      <c r="T118" s="137">
        <f t="shared" si="23"/>
        <v>0</v>
      </c>
      <c r="U118" s="137">
        <f>ROUND(VERİLER!$F$9*T118,3)</f>
        <v>0</v>
      </c>
      <c r="V118" s="336">
        <f t="shared" si="24"/>
        <v>0</v>
      </c>
      <c r="W118" s="113"/>
      <c r="X118" s="113"/>
      <c r="Y118" s="113"/>
    </row>
    <row r="119" spans="1:25" s="143" customFormat="1" ht="15" customHeight="1" x14ac:dyDescent="0.2">
      <c r="A119" s="299" t="str">
        <f>IF('İşçi Bilgileri'!A117="","",'İşçi Bilgileri'!A117)</f>
        <v/>
      </c>
      <c r="B119" s="300" t="str">
        <f>IF($A119="","",VLOOKUP($A119,'İşçi Bilgileri'!$A$2:$D$700,4,FALSE))</f>
        <v/>
      </c>
      <c r="C119" s="301" t="str">
        <f>CONCATENATE(IF($A119="","",VLOOKUP($A119,'İşçi Bilgileri'!$A$2:$D$700,2,FALSE))," ",IF($A119="","",VLOOKUP($A119,'İşçi Bilgileri'!$A$2:$D$700,3,FALSE)))</f>
        <v xml:space="preserve"> </v>
      </c>
      <c r="D119" s="137" t="str">
        <f>IF($A119="","",VERİLER!$C$5)</f>
        <v/>
      </c>
      <c r="E119" s="138" t="str">
        <f>IF($A119="","",Puantaj!AJ124)</f>
        <v/>
      </c>
      <c r="F119" s="137">
        <f t="shared" si="13"/>
        <v>0</v>
      </c>
      <c r="G119" s="137"/>
      <c r="H119" s="137">
        <f t="shared" si="14"/>
        <v>0</v>
      </c>
      <c r="I119" s="137">
        <f t="shared" si="15"/>
        <v>0</v>
      </c>
      <c r="J119" s="137">
        <f>IF(F119&gt;VERİLER!$C$7,'İşçi Bilgileri'!M117+(F119-VERİLER!$C$7),0)</f>
        <v>0</v>
      </c>
      <c r="K119" s="137">
        <f>IF(VERİLER!$C$11&gt;0,ROUND(J119*0.15,2),0)</f>
        <v>0</v>
      </c>
      <c r="L119" s="359">
        <f t="shared" si="16"/>
        <v>0</v>
      </c>
      <c r="M119" s="139">
        <f t="shared" si="17"/>
        <v>0</v>
      </c>
      <c r="N119" s="137">
        <f t="shared" si="18"/>
        <v>0</v>
      </c>
      <c r="O119" s="359">
        <f t="shared" si="19"/>
        <v>0</v>
      </c>
      <c r="P119" s="140">
        <f t="shared" si="20"/>
        <v>0</v>
      </c>
      <c r="Q119" s="140">
        <v>0</v>
      </c>
      <c r="R119" s="137">
        <f t="shared" si="21"/>
        <v>0</v>
      </c>
      <c r="S119" s="141">
        <f t="shared" si="22"/>
        <v>0</v>
      </c>
      <c r="T119" s="137">
        <f t="shared" si="23"/>
        <v>0</v>
      </c>
      <c r="U119" s="137">
        <f>ROUND(VERİLER!$F$9*T119,3)</f>
        <v>0</v>
      </c>
      <c r="V119" s="336">
        <f t="shared" si="24"/>
        <v>0</v>
      </c>
      <c r="W119" s="113"/>
      <c r="X119" s="113"/>
      <c r="Y119" s="113"/>
    </row>
    <row r="120" spans="1:25" s="143" customFormat="1" ht="15" customHeight="1" x14ac:dyDescent="0.2">
      <c r="A120" s="299" t="str">
        <f>IF('İşçi Bilgileri'!A118="","",'İşçi Bilgileri'!A118)</f>
        <v/>
      </c>
      <c r="B120" s="300" t="str">
        <f>IF($A120="","",VLOOKUP($A120,'İşçi Bilgileri'!$A$2:$D$700,4,FALSE))</f>
        <v/>
      </c>
      <c r="C120" s="301" t="str">
        <f>CONCATENATE(IF($A120="","",VLOOKUP($A120,'İşçi Bilgileri'!$A$2:$D$700,2,FALSE))," ",IF($A120="","",VLOOKUP($A120,'İşçi Bilgileri'!$A$2:$D$700,3,FALSE)))</f>
        <v xml:space="preserve"> </v>
      </c>
      <c r="D120" s="137" t="str">
        <f>IF($A120="","",VERİLER!$C$5)</f>
        <v/>
      </c>
      <c r="E120" s="138" t="str">
        <f>IF($A120="","",Puantaj!AJ125)</f>
        <v/>
      </c>
      <c r="F120" s="137">
        <f t="shared" si="13"/>
        <v>0</v>
      </c>
      <c r="G120" s="137"/>
      <c r="H120" s="137">
        <f t="shared" si="14"/>
        <v>0</v>
      </c>
      <c r="I120" s="137">
        <f t="shared" si="15"/>
        <v>0</v>
      </c>
      <c r="J120" s="137">
        <f>IF(F120&gt;VERİLER!$C$7,'İşçi Bilgileri'!M118+(F120-VERİLER!$C$7),0)</f>
        <v>0</v>
      </c>
      <c r="K120" s="137">
        <f>IF(VERİLER!$C$11&gt;0,ROUND(J120*0.15,2),0)</f>
        <v>0</v>
      </c>
      <c r="L120" s="359">
        <f t="shared" si="16"/>
        <v>0</v>
      </c>
      <c r="M120" s="139">
        <f t="shared" si="17"/>
        <v>0</v>
      </c>
      <c r="N120" s="137">
        <f t="shared" si="18"/>
        <v>0</v>
      </c>
      <c r="O120" s="359">
        <f t="shared" si="19"/>
        <v>0</v>
      </c>
      <c r="P120" s="140">
        <f t="shared" si="20"/>
        <v>0</v>
      </c>
      <c r="Q120" s="140">
        <v>0</v>
      </c>
      <c r="R120" s="137">
        <f t="shared" si="21"/>
        <v>0</v>
      </c>
      <c r="S120" s="141">
        <f t="shared" si="22"/>
        <v>0</v>
      </c>
      <c r="T120" s="137">
        <f t="shared" si="23"/>
        <v>0</v>
      </c>
      <c r="U120" s="137">
        <f>ROUND(VERİLER!$F$9*T120,3)</f>
        <v>0</v>
      </c>
      <c r="V120" s="336">
        <f t="shared" si="24"/>
        <v>0</v>
      </c>
      <c r="W120" s="113"/>
      <c r="X120" s="113"/>
      <c r="Y120" s="113"/>
    </row>
    <row r="121" spans="1:25" s="143" customFormat="1" ht="15" customHeight="1" x14ac:dyDescent="0.2">
      <c r="A121" s="299" t="str">
        <f>IF('İşçi Bilgileri'!A119="","",'İşçi Bilgileri'!A119)</f>
        <v/>
      </c>
      <c r="B121" s="300" t="str">
        <f>IF($A121="","",VLOOKUP($A121,'İşçi Bilgileri'!$A$2:$D$700,4,FALSE))</f>
        <v/>
      </c>
      <c r="C121" s="301" t="str">
        <f>CONCATENATE(IF($A121="","",VLOOKUP($A121,'İşçi Bilgileri'!$A$2:$D$700,2,FALSE))," ",IF($A121="","",VLOOKUP($A121,'İşçi Bilgileri'!$A$2:$D$700,3,FALSE)))</f>
        <v xml:space="preserve"> </v>
      </c>
      <c r="D121" s="137" t="str">
        <f>IF($A121="","",VERİLER!$C$5)</f>
        <v/>
      </c>
      <c r="E121" s="138" t="str">
        <f>IF($A121="","",Puantaj!AJ126)</f>
        <v/>
      </c>
      <c r="F121" s="137">
        <f t="shared" si="13"/>
        <v>0</v>
      </c>
      <c r="G121" s="137"/>
      <c r="H121" s="137">
        <f t="shared" si="14"/>
        <v>0</v>
      </c>
      <c r="I121" s="137">
        <f t="shared" si="15"/>
        <v>0</v>
      </c>
      <c r="J121" s="137">
        <f>IF(F121&gt;VERİLER!$C$7,'İşçi Bilgileri'!M119+(F121-VERİLER!$C$7),0)</f>
        <v>0</v>
      </c>
      <c r="K121" s="137">
        <f>IF(VERİLER!$C$11&gt;0,ROUND(J121*0.15,2),0)</f>
        <v>0</v>
      </c>
      <c r="L121" s="359">
        <f t="shared" si="16"/>
        <v>0</v>
      </c>
      <c r="M121" s="139">
        <f t="shared" si="17"/>
        <v>0</v>
      </c>
      <c r="N121" s="137">
        <f t="shared" si="18"/>
        <v>0</v>
      </c>
      <c r="O121" s="359">
        <f t="shared" si="19"/>
        <v>0</v>
      </c>
      <c r="P121" s="140">
        <f t="shared" si="20"/>
        <v>0</v>
      </c>
      <c r="Q121" s="140">
        <v>0</v>
      </c>
      <c r="R121" s="137">
        <f t="shared" si="21"/>
        <v>0</v>
      </c>
      <c r="S121" s="141">
        <f t="shared" si="22"/>
        <v>0</v>
      </c>
      <c r="T121" s="137">
        <f t="shared" si="23"/>
        <v>0</v>
      </c>
      <c r="U121" s="137">
        <f>ROUND(VERİLER!$F$9*T121,3)</f>
        <v>0</v>
      </c>
      <c r="V121" s="336">
        <f t="shared" si="24"/>
        <v>0</v>
      </c>
      <c r="W121" s="113"/>
      <c r="X121" s="113"/>
      <c r="Y121" s="113"/>
    </row>
    <row r="122" spans="1:25" s="143" customFormat="1" ht="15" customHeight="1" x14ac:dyDescent="0.2">
      <c r="A122" s="299" t="str">
        <f>IF('İşçi Bilgileri'!A120="","",'İşçi Bilgileri'!A120)</f>
        <v/>
      </c>
      <c r="B122" s="300" t="str">
        <f>IF($A122="","",VLOOKUP($A122,'İşçi Bilgileri'!$A$2:$D$700,4,FALSE))</f>
        <v/>
      </c>
      <c r="C122" s="301" t="str">
        <f>CONCATENATE(IF($A122="","",VLOOKUP($A122,'İşçi Bilgileri'!$A$2:$D$700,2,FALSE))," ",IF($A122="","",VLOOKUP($A122,'İşçi Bilgileri'!$A$2:$D$700,3,FALSE)))</f>
        <v xml:space="preserve"> </v>
      </c>
      <c r="D122" s="137" t="str">
        <f>IF($A122="","",VERİLER!$C$5)</f>
        <v/>
      </c>
      <c r="E122" s="138" t="str">
        <f>IF($A122="","",Puantaj!AJ127)</f>
        <v/>
      </c>
      <c r="F122" s="137">
        <f t="shared" si="13"/>
        <v>0</v>
      </c>
      <c r="G122" s="137"/>
      <c r="H122" s="137">
        <f t="shared" si="14"/>
        <v>0</v>
      </c>
      <c r="I122" s="137">
        <f t="shared" si="15"/>
        <v>0</v>
      </c>
      <c r="J122" s="137">
        <f>IF(F122&gt;VERİLER!$C$7,'İşçi Bilgileri'!M120+(F122-VERİLER!$C$7),0)</f>
        <v>0</v>
      </c>
      <c r="K122" s="137">
        <f>IF(VERİLER!$C$11&gt;0,ROUND(J122*0.15,2),0)</f>
        <v>0</v>
      </c>
      <c r="L122" s="359">
        <f t="shared" si="16"/>
        <v>0</v>
      </c>
      <c r="M122" s="139">
        <f t="shared" si="17"/>
        <v>0</v>
      </c>
      <c r="N122" s="137">
        <f t="shared" si="18"/>
        <v>0</v>
      </c>
      <c r="O122" s="359">
        <f t="shared" si="19"/>
        <v>0</v>
      </c>
      <c r="P122" s="140">
        <f t="shared" si="20"/>
        <v>0</v>
      </c>
      <c r="Q122" s="140">
        <v>0</v>
      </c>
      <c r="R122" s="137">
        <f t="shared" si="21"/>
        <v>0</v>
      </c>
      <c r="S122" s="141">
        <f t="shared" si="22"/>
        <v>0</v>
      </c>
      <c r="T122" s="137">
        <f t="shared" si="23"/>
        <v>0</v>
      </c>
      <c r="U122" s="137">
        <f>ROUND(VERİLER!$F$9*T122,3)</f>
        <v>0</v>
      </c>
      <c r="V122" s="336">
        <f t="shared" si="24"/>
        <v>0</v>
      </c>
      <c r="W122" s="113"/>
      <c r="X122" s="113"/>
      <c r="Y122" s="113"/>
    </row>
    <row r="123" spans="1:25" s="143" customFormat="1" ht="15" customHeight="1" x14ac:dyDescent="0.2">
      <c r="A123" s="299" t="str">
        <f>IF('İşçi Bilgileri'!A121="","",'İşçi Bilgileri'!A121)</f>
        <v/>
      </c>
      <c r="B123" s="300" t="str">
        <f>IF($A123="","",VLOOKUP($A123,'İşçi Bilgileri'!$A$2:$D$700,4,FALSE))</f>
        <v/>
      </c>
      <c r="C123" s="301" t="str">
        <f>CONCATENATE(IF($A123="","",VLOOKUP($A123,'İşçi Bilgileri'!$A$2:$D$700,2,FALSE))," ",IF($A123="","",VLOOKUP($A123,'İşçi Bilgileri'!$A$2:$D$700,3,FALSE)))</f>
        <v xml:space="preserve"> </v>
      </c>
      <c r="D123" s="137" t="str">
        <f>IF($A123="","",VERİLER!$C$5)</f>
        <v/>
      </c>
      <c r="E123" s="138" t="str">
        <f>IF($A123="","",Puantaj!AJ128)</f>
        <v/>
      </c>
      <c r="F123" s="137">
        <f t="shared" si="13"/>
        <v>0</v>
      </c>
      <c r="G123" s="137"/>
      <c r="H123" s="137">
        <f t="shared" si="14"/>
        <v>0</v>
      </c>
      <c r="I123" s="137">
        <f t="shared" si="15"/>
        <v>0</v>
      </c>
      <c r="J123" s="137">
        <f>IF(F123&gt;VERİLER!$C$7,'İşçi Bilgileri'!M121+(F123-VERİLER!$C$7),0)</f>
        <v>0</v>
      </c>
      <c r="K123" s="137">
        <f>IF(VERİLER!$C$11&gt;0,ROUND(J123*0.15,2),0)</f>
        <v>0</v>
      </c>
      <c r="L123" s="359">
        <f t="shared" si="16"/>
        <v>0</v>
      </c>
      <c r="M123" s="139">
        <f t="shared" si="17"/>
        <v>0</v>
      </c>
      <c r="N123" s="137">
        <f t="shared" si="18"/>
        <v>0</v>
      </c>
      <c r="O123" s="359">
        <f t="shared" si="19"/>
        <v>0</v>
      </c>
      <c r="P123" s="140">
        <f t="shared" si="20"/>
        <v>0</v>
      </c>
      <c r="Q123" s="140">
        <v>0</v>
      </c>
      <c r="R123" s="137">
        <f t="shared" si="21"/>
        <v>0</v>
      </c>
      <c r="S123" s="141">
        <f t="shared" si="22"/>
        <v>0</v>
      </c>
      <c r="T123" s="137">
        <f t="shared" si="23"/>
        <v>0</v>
      </c>
      <c r="U123" s="137">
        <f>ROUND(VERİLER!$F$9*T123,3)</f>
        <v>0</v>
      </c>
      <c r="V123" s="336">
        <f t="shared" si="24"/>
        <v>0</v>
      </c>
      <c r="W123" s="113"/>
      <c r="X123" s="113"/>
      <c r="Y123" s="113"/>
    </row>
    <row r="124" spans="1:25" s="143" customFormat="1" ht="15" customHeight="1" x14ac:dyDescent="0.2">
      <c r="A124" s="299" t="str">
        <f>IF('İşçi Bilgileri'!A122="","",'İşçi Bilgileri'!A122)</f>
        <v/>
      </c>
      <c r="B124" s="300" t="str">
        <f>IF($A124="","",VLOOKUP($A124,'İşçi Bilgileri'!$A$2:$D$700,4,FALSE))</f>
        <v/>
      </c>
      <c r="C124" s="301" t="str">
        <f>CONCATENATE(IF($A124="","",VLOOKUP($A124,'İşçi Bilgileri'!$A$2:$D$700,2,FALSE))," ",IF($A124="","",VLOOKUP($A124,'İşçi Bilgileri'!$A$2:$D$700,3,FALSE)))</f>
        <v xml:space="preserve"> </v>
      </c>
      <c r="D124" s="137" t="str">
        <f>IF($A124="","",VERİLER!$C$5)</f>
        <v/>
      </c>
      <c r="E124" s="138" t="str">
        <f>IF($A124="","",Puantaj!AJ129)</f>
        <v/>
      </c>
      <c r="F124" s="137">
        <f t="shared" si="13"/>
        <v>0</v>
      </c>
      <c r="G124" s="137"/>
      <c r="H124" s="137">
        <f t="shared" si="14"/>
        <v>0</v>
      </c>
      <c r="I124" s="137">
        <f t="shared" si="15"/>
        <v>0</v>
      </c>
      <c r="J124" s="137">
        <f>IF(F124&gt;VERİLER!$C$7,'İşçi Bilgileri'!M122+(F124-VERİLER!$C$7),0)</f>
        <v>0</v>
      </c>
      <c r="K124" s="137">
        <f>IF(VERİLER!$C$11&gt;0,ROUND(J124*0.15,2),0)</f>
        <v>0</v>
      </c>
      <c r="L124" s="359">
        <f t="shared" si="16"/>
        <v>0</v>
      </c>
      <c r="M124" s="139">
        <f t="shared" si="17"/>
        <v>0</v>
      </c>
      <c r="N124" s="137">
        <f t="shared" si="18"/>
        <v>0</v>
      </c>
      <c r="O124" s="359">
        <f t="shared" si="19"/>
        <v>0</v>
      </c>
      <c r="P124" s="140">
        <f t="shared" si="20"/>
        <v>0</v>
      </c>
      <c r="Q124" s="140">
        <v>0</v>
      </c>
      <c r="R124" s="137">
        <f t="shared" si="21"/>
        <v>0</v>
      </c>
      <c r="S124" s="141">
        <f t="shared" si="22"/>
        <v>0</v>
      </c>
      <c r="T124" s="137">
        <f t="shared" si="23"/>
        <v>0</v>
      </c>
      <c r="U124" s="137">
        <f>ROUND(VERİLER!$F$9*T124,3)</f>
        <v>0</v>
      </c>
      <c r="V124" s="336">
        <f t="shared" si="24"/>
        <v>0</v>
      </c>
      <c r="W124" s="113"/>
      <c r="X124" s="113"/>
      <c r="Y124" s="113"/>
    </row>
    <row r="125" spans="1:25" s="143" customFormat="1" ht="15" customHeight="1" x14ac:dyDescent="0.2">
      <c r="A125" s="299" t="str">
        <f>IF('İşçi Bilgileri'!A123="","",'İşçi Bilgileri'!A123)</f>
        <v/>
      </c>
      <c r="B125" s="300" t="str">
        <f>IF($A125="","",VLOOKUP($A125,'İşçi Bilgileri'!$A$2:$D$700,4,FALSE))</f>
        <v/>
      </c>
      <c r="C125" s="301" t="str">
        <f>CONCATENATE(IF($A125="","",VLOOKUP($A125,'İşçi Bilgileri'!$A$2:$D$700,2,FALSE))," ",IF($A125="","",VLOOKUP($A125,'İşçi Bilgileri'!$A$2:$D$700,3,FALSE)))</f>
        <v xml:space="preserve"> </v>
      </c>
      <c r="D125" s="137" t="str">
        <f>IF($A125="","",VERİLER!$C$5)</f>
        <v/>
      </c>
      <c r="E125" s="138" t="str">
        <f>IF($A125="","",Puantaj!AJ130)</f>
        <v/>
      </c>
      <c r="F125" s="137">
        <f t="shared" si="13"/>
        <v>0</v>
      </c>
      <c r="G125" s="137"/>
      <c r="H125" s="137">
        <f t="shared" si="14"/>
        <v>0</v>
      </c>
      <c r="I125" s="137">
        <f t="shared" si="15"/>
        <v>0</v>
      </c>
      <c r="J125" s="137">
        <f>IF(F125&gt;VERİLER!$C$7,'İşçi Bilgileri'!M123+(F125-VERİLER!$C$7),0)</f>
        <v>0</v>
      </c>
      <c r="K125" s="137">
        <f>IF(VERİLER!$C$11&gt;0,ROUND(J125*0.15,2),0)</f>
        <v>0</v>
      </c>
      <c r="L125" s="359">
        <f t="shared" si="16"/>
        <v>0</v>
      </c>
      <c r="M125" s="139">
        <f t="shared" si="17"/>
        <v>0</v>
      </c>
      <c r="N125" s="137">
        <f t="shared" si="18"/>
        <v>0</v>
      </c>
      <c r="O125" s="359">
        <f t="shared" si="19"/>
        <v>0</v>
      </c>
      <c r="P125" s="140">
        <f t="shared" si="20"/>
        <v>0</v>
      </c>
      <c r="Q125" s="140">
        <v>0</v>
      </c>
      <c r="R125" s="137">
        <f t="shared" si="21"/>
        <v>0</v>
      </c>
      <c r="S125" s="141">
        <f t="shared" si="22"/>
        <v>0</v>
      </c>
      <c r="T125" s="137">
        <f t="shared" si="23"/>
        <v>0</v>
      </c>
      <c r="U125" s="137">
        <f>ROUND(VERİLER!$F$9*T125,3)</f>
        <v>0</v>
      </c>
      <c r="V125" s="336">
        <f t="shared" si="24"/>
        <v>0</v>
      </c>
      <c r="W125" s="113"/>
      <c r="X125" s="113"/>
      <c r="Y125" s="113"/>
    </row>
    <row r="126" spans="1:25" s="143" customFormat="1" ht="15" customHeight="1" x14ac:dyDescent="0.2">
      <c r="A126" s="299" t="str">
        <f>IF('İşçi Bilgileri'!A124="","",'İşçi Bilgileri'!A124)</f>
        <v/>
      </c>
      <c r="B126" s="300" t="str">
        <f>IF($A126="","",VLOOKUP($A126,'İşçi Bilgileri'!$A$2:$D$700,4,FALSE))</f>
        <v/>
      </c>
      <c r="C126" s="301" t="str">
        <f>CONCATENATE(IF($A126="","",VLOOKUP($A126,'İşçi Bilgileri'!$A$2:$D$700,2,FALSE))," ",IF($A126="","",VLOOKUP($A126,'İşçi Bilgileri'!$A$2:$D$700,3,FALSE)))</f>
        <v xml:space="preserve"> </v>
      </c>
      <c r="D126" s="137" t="str">
        <f>IF($A126="","",VERİLER!$C$5)</f>
        <v/>
      </c>
      <c r="E126" s="138" t="str">
        <f>IF($A126="","",Puantaj!AJ131)</f>
        <v/>
      </c>
      <c r="F126" s="137">
        <f t="shared" si="13"/>
        <v>0</v>
      </c>
      <c r="G126" s="137"/>
      <c r="H126" s="137">
        <f t="shared" si="14"/>
        <v>0</v>
      </c>
      <c r="I126" s="137">
        <f t="shared" si="15"/>
        <v>0</v>
      </c>
      <c r="J126" s="137">
        <f>IF(F126&gt;VERİLER!$C$7,'İşçi Bilgileri'!M124+(F126-VERİLER!$C$7),0)</f>
        <v>0</v>
      </c>
      <c r="K126" s="137">
        <f>IF(VERİLER!$C$11&gt;0,ROUND(J126*0.15,2),0)</f>
        <v>0</v>
      </c>
      <c r="L126" s="359">
        <f t="shared" si="16"/>
        <v>0</v>
      </c>
      <c r="M126" s="139">
        <f t="shared" si="17"/>
        <v>0</v>
      </c>
      <c r="N126" s="137">
        <f t="shared" si="18"/>
        <v>0</v>
      </c>
      <c r="O126" s="359">
        <f t="shared" si="19"/>
        <v>0</v>
      </c>
      <c r="P126" s="140">
        <f t="shared" si="20"/>
        <v>0</v>
      </c>
      <c r="Q126" s="140">
        <v>0</v>
      </c>
      <c r="R126" s="137">
        <f t="shared" si="21"/>
        <v>0</v>
      </c>
      <c r="S126" s="141">
        <f t="shared" si="22"/>
        <v>0</v>
      </c>
      <c r="T126" s="137">
        <f t="shared" si="23"/>
        <v>0</v>
      </c>
      <c r="U126" s="137">
        <f>ROUND(VERİLER!$F$9*T126,3)</f>
        <v>0</v>
      </c>
      <c r="V126" s="336">
        <f t="shared" si="24"/>
        <v>0</v>
      </c>
      <c r="W126" s="113"/>
      <c r="X126" s="113"/>
      <c r="Y126" s="113"/>
    </row>
    <row r="127" spans="1:25" s="143" customFormat="1" ht="15" customHeight="1" x14ac:dyDescent="0.2">
      <c r="A127" s="299" t="str">
        <f>IF('İşçi Bilgileri'!A125="","",'İşçi Bilgileri'!A125)</f>
        <v/>
      </c>
      <c r="B127" s="300" t="str">
        <f>IF($A127="","",VLOOKUP($A127,'İşçi Bilgileri'!$A$2:$D$700,4,FALSE))</f>
        <v/>
      </c>
      <c r="C127" s="301" t="str">
        <f>CONCATENATE(IF($A127="","",VLOOKUP($A127,'İşçi Bilgileri'!$A$2:$D$700,2,FALSE))," ",IF($A127="","",VLOOKUP($A127,'İşçi Bilgileri'!$A$2:$D$700,3,FALSE)))</f>
        <v xml:space="preserve"> </v>
      </c>
      <c r="D127" s="137" t="str">
        <f>IF($A127="","",VERİLER!$C$5)</f>
        <v/>
      </c>
      <c r="E127" s="138" t="str">
        <f>IF($A127="","",Puantaj!AJ132)</f>
        <v/>
      </c>
      <c r="F127" s="137">
        <f t="shared" si="13"/>
        <v>0</v>
      </c>
      <c r="G127" s="137"/>
      <c r="H127" s="137">
        <f t="shared" si="14"/>
        <v>0</v>
      </c>
      <c r="I127" s="137">
        <f t="shared" si="15"/>
        <v>0</v>
      </c>
      <c r="J127" s="137">
        <f>IF(F127&gt;VERİLER!$C$7,'İşçi Bilgileri'!M125+(F127-VERİLER!$C$7),0)</f>
        <v>0</v>
      </c>
      <c r="K127" s="137">
        <f>IF(VERİLER!$C$11&gt;0,ROUND(J127*0.15,2),0)</f>
        <v>0</v>
      </c>
      <c r="L127" s="359">
        <f t="shared" si="16"/>
        <v>0</v>
      </c>
      <c r="M127" s="139">
        <f t="shared" si="17"/>
        <v>0</v>
      </c>
      <c r="N127" s="137">
        <f t="shared" si="18"/>
        <v>0</v>
      </c>
      <c r="O127" s="359">
        <f t="shared" si="19"/>
        <v>0</v>
      </c>
      <c r="P127" s="140">
        <f t="shared" si="20"/>
        <v>0</v>
      </c>
      <c r="Q127" s="140">
        <v>0</v>
      </c>
      <c r="R127" s="137">
        <f t="shared" si="21"/>
        <v>0</v>
      </c>
      <c r="S127" s="141">
        <f t="shared" si="22"/>
        <v>0</v>
      </c>
      <c r="T127" s="137">
        <f t="shared" si="23"/>
        <v>0</v>
      </c>
      <c r="U127" s="137">
        <f>ROUND(VERİLER!$F$9*T127,3)</f>
        <v>0</v>
      </c>
      <c r="V127" s="336">
        <f t="shared" si="24"/>
        <v>0</v>
      </c>
      <c r="W127" s="113"/>
      <c r="X127" s="113"/>
      <c r="Y127" s="113"/>
    </row>
    <row r="128" spans="1:25" s="143" customFormat="1" ht="15" customHeight="1" x14ac:dyDescent="0.2">
      <c r="A128" s="299" t="str">
        <f>IF('İşçi Bilgileri'!A126="","",'İşçi Bilgileri'!A126)</f>
        <v/>
      </c>
      <c r="B128" s="300" t="str">
        <f>IF($A128="","",VLOOKUP($A128,'İşçi Bilgileri'!$A$2:$D$700,4,FALSE))</f>
        <v/>
      </c>
      <c r="C128" s="301" t="str">
        <f>CONCATENATE(IF($A128="","",VLOOKUP($A128,'İşçi Bilgileri'!$A$2:$D$700,2,FALSE))," ",IF($A128="","",VLOOKUP($A128,'İşçi Bilgileri'!$A$2:$D$700,3,FALSE)))</f>
        <v xml:space="preserve"> </v>
      </c>
      <c r="D128" s="137" t="str">
        <f>IF($A128="","",VERİLER!$C$5)</f>
        <v/>
      </c>
      <c r="E128" s="138" t="str">
        <f>IF($A128="","",Puantaj!AJ133)</f>
        <v/>
      </c>
      <c r="F128" s="137">
        <f t="shared" si="13"/>
        <v>0</v>
      </c>
      <c r="G128" s="137"/>
      <c r="H128" s="137">
        <f t="shared" si="14"/>
        <v>0</v>
      </c>
      <c r="I128" s="137">
        <f t="shared" si="15"/>
        <v>0</v>
      </c>
      <c r="J128" s="137">
        <f>IF(F128&gt;VERİLER!$C$7,'İşçi Bilgileri'!M126+(F128-VERİLER!$C$7),0)</f>
        <v>0</v>
      </c>
      <c r="K128" s="137">
        <f>IF(VERİLER!$C$11&gt;0,ROUND(J128*0.15,2),0)</f>
        <v>0</v>
      </c>
      <c r="L128" s="359">
        <f t="shared" si="16"/>
        <v>0</v>
      </c>
      <c r="M128" s="139">
        <f t="shared" si="17"/>
        <v>0</v>
      </c>
      <c r="N128" s="137">
        <f t="shared" si="18"/>
        <v>0</v>
      </c>
      <c r="O128" s="359">
        <f t="shared" si="19"/>
        <v>0</v>
      </c>
      <c r="P128" s="140">
        <f t="shared" si="20"/>
        <v>0</v>
      </c>
      <c r="Q128" s="140">
        <v>0</v>
      </c>
      <c r="R128" s="137">
        <f t="shared" si="21"/>
        <v>0</v>
      </c>
      <c r="S128" s="141">
        <f t="shared" si="22"/>
        <v>0</v>
      </c>
      <c r="T128" s="137">
        <f t="shared" si="23"/>
        <v>0</v>
      </c>
      <c r="U128" s="137">
        <f>ROUND(VERİLER!$F$9*T128,3)</f>
        <v>0</v>
      </c>
      <c r="V128" s="336">
        <f t="shared" si="24"/>
        <v>0</v>
      </c>
      <c r="W128" s="113"/>
      <c r="X128" s="113"/>
      <c r="Y128" s="113"/>
    </row>
    <row r="129" spans="1:25" s="143" customFormat="1" ht="15" customHeight="1" x14ac:dyDescent="0.2">
      <c r="A129" s="299" t="str">
        <f>IF('İşçi Bilgileri'!A127="","",'İşçi Bilgileri'!A127)</f>
        <v/>
      </c>
      <c r="B129" s="300" t="str">
        <f>IF($A129="","",VLOOKUP($A129,'İşçi Bilgileri'!$A$2:$D$700,4,FALSE))</f>
        <v/>
      </c>
      <c r="C129" s="301" t="str">
        <f>CONCATENATE(IF($A129="","",VLOOKUP($A129,'İşçi Bilgileri'!$A$2:$D$700,2,FALSE))," ",IF($A129="","",VLOOKUP($A129,'İşçi Bilgileri'!$A$2:$D$700,3,FALSE)))</f>
        <v xml:space="preserve"> </v>
      </c>
      <c r="D129" s="137" t="str">
        <f>IF($A129="","",VERİLER!$C$5)</f>
        <v/>
      </c>
      <c r="E129" s="138" t="str">
        <f>IF($A129="","",Puantaj!AJ134)</f>
        <v/>
      </c>
      <c r="F129" s="137">
        <f t="shared" si="13"/>
        <v>0</v>
      </c>
      <c r="G129" s="137"/>
      <c r="H129" s="137">
        <f t="shared" si="14"/>
        <v>0</v>
      </c>
      <c r="I129" s="137">
        <f t="shared" si="15"/>
        <v>0</v>
      </c>
      <c r="J129" s="137">
        <f>IF(F129&gt;VERİLER!$C$7,'İşçi Bilgileri'!M127+(F129-VERİLER!$C$7),0)</f>
        <v>0</v>
      </c>
      <c r="K129" s="137">
        <f>IF(VERİLER!$C$11&gt;0,ROUND(J129*0.15,2),0)</f>
        <v>0</v>
      </c>
      <c r="L129" s="359">
        <f t="shared" si="16"/>
        <v>0</v>
      </c>
      <c r="M129" s="139">
        <f t="shared" si="17"/>
        <v>0</v>
      </c>
      <c r="N129" s="137">
        <f t="shared" si="18"/>
        <v>0</v>
      </c>
      <c r="O129" s="359">
        <f t="shared" si="19"/>
        <v>0</v>
      </c>
      <c r="P129" s="140">
        <f t="shared" si="20"/>
        <v>0</v>
      </c>
      <c r="Q129" s="140">
        <v>0</v>
      </c>
      <c r="R129" s="137">
        <f t="shared" si="21"/>
        <v>0</v>
      </c>
      <c r="S129" s="141">
        <f t="shared" si="22"/>
        <v>0</v>
      </c>
      <c r="T129" s="137">
        <f t="shared" si="23"/>
        <v>0</v>
      </c>
      <c r="U129" s="137">
        <f>ROUND(VERİLER!$F$9*T129,3)</f>
        <v>0</v>
      </c>
      <c r="V129" s="336">
        <f t="shared" si="24"/>
        <v>0</v>
      </c>
      <c r="W129" s="113"/>
      <c r="X129" s="113"/>
      <c r="Y129" s="113"/>
    </row>
    <row r="130" spans="1:25" s="143" customFormat="1" ht="15" customHeight="1" x14ac:dyDescent="0.2">
      <c r="A130" s="299" t="str">
        <f>IF('İşçi Bilgileri'!A128="","",'İşçi Bilgileri'!A128)</f>
        <v/>
      </c>
      <c r="B130" s="300" t="str">
        <f>IF($A130="","",VLOOKUP($A130,'İşçi Bilgileri'!$A$2:$D$700,4,FALSE))</f>
        <v/>
      </c>
      <c r="C130" s="301" t="str">
        <f>CONCATENATE(IF($A130="","",VLOOKUP($A130,'İşçi Bilgileri'!$A$2:$D$700,2,FALSE))," ",IF($A130="","",VLOOKUP($A130,'İşçi Bilgileri'!$A$2:$D$700,3,FALSE)))</f>
        <v xml:space="preserve"> </v>
      </c>
      <c r="D130" s="137" t="str">
        <f>IF($A130="","",VERİLER!$C$5)</f>
        <v/>
      </c>
      <c r="E130" s="138" t="str">
        <f>IF($A130="","",Puantaj!AJ135)</f>
        <v/>
      </c>
      <c r="F130" s="137">
        <f t="shared" si="13"/>
        <v>0</v>
      </c>
      <c r="G130" s="137"/>
      <c r="H130" s="137">
        <f t="shared" si="14"/>
        <v>0</v>
      </c>
      <c r="I130" s="137">
        <f t="shared" si="15"/>
        <v>0</v>
      </c>
      <c r="J130" s="137">
        <f>IF(F130&gt;VERİLER!$C$7,'İşçi Bilgileri'!M128+(F130-VERİLER!$C$7),0)</f>
        <v>0</v>
      </c>
      <c r="K130" s="137">
        <f>IF(VERİLER!$C$11&gt;0,ROUND(J130*0.15,2),0)</f>
        <v>0</v>
      </c>
      <c r="L130" s="359">
        <f t="shared" si="16"/>
        <v>0</v>
      </c>
      <c r="M130" s="139">
        <f t="shared" si="17"/>
        <v>0</v>
      </c>
      <c r="N130" s="137">
        <f t="shared" si="18"/>
        <v>0</v>
      </c>
      <c r="O130" s="359">
        <f t="shared" si="19"/>
        <v>0</v>
      </c>
      <c r="P130" s="140">
        <f t="shared" si="20"/>
        <v>0</v>
      </c>
      <c r="Q130" s="140">
        <v>0</v>
      </c>
      <c r="R130" s="137">
        <f t="shared" si="21"/>
        <v>0</v>
      </c>
      <c r="S130" s="141">
        <f t="shared" si="22"/>
        <v>0</v>
      </c>
      <c r="T130" s="137">
        <f t="shared" si="23"/>
        <v>0</v>
      </c>
      <c r="U130" s="137">
        <f>ROUND(VERİLER!$F$9*T130,3)</f>
        <v>0</v>
      </c>
      <c r="V130" s="336">
        <f t="shared" si="24"/>
        <v>0</v>
      </c>
      <c r="W130" s="113"/>
      <c r="X130" s="113"/>
      <c r="Y130" s="113"/>
    </row>
    <row r="131" spans="1:25" s="143" customFormat="1" ht="15" customHeight="1" x14ac:dyDescent="0.2">
      <c r="A131" s="299" t="str">
        <f>IF('İşçi Bilgileri'!A129="","",'İşçi Bilgileri'!A129)</f>
        <v/>
      </c>
      <c r="B131" s="300" t="str">
        <f>IF($A131="","",VLOOKUP($A131,'İşçi Bilgileri'!$A$2:$D$700,4,FALSE))</f>
        <v/>
      </c>
      <c r="C131" s="301" t="str">
        <f>CONCATENATE(IF($A131="","",VLOOKUP($A131,'İşçi Bilgileri'!$A$2:$D$700,2,FALSE))," ",IF($A131="","",VLOOKUP($A131,'İşçi Bilgileri'!$A$2:$D$700,3,FALSE)))</f>
        <v xml:space="preserve"> </v>
      </c>
      <c r="D131" s="137" t="str">
        <f>IF($A131="","",VERİLER!$C$5)</f>
        <v/>
      </c>
      <c r="E131" s="138" t="str">
        <f>IF($A131="","",Puantaj!AJ136)</f>
        <v/>
      </c>
      <c r="F131" s="137">
        <f t="shared" si="13"/>
        <v>0</v>
      </c>
      <c r="G131" s="137"/>
      <c r="H131" s="137">
        <f t="shared" si="14"/>
        <v>0</v>
      </c>
      <c r="I131" s="137">
        <f t="shared" si="15"/>
        <v>0</v>
      </c>
      <c r="J131" s="137">
        <f>IF(F131&gt;VERİLER!$C$7,'İşçi Bilgileri'!M129+(F131-VERİLER!$C$7),0)</f>
        <v>0</v>
      </c>
      <c r="K131" s="137">
        <f>IF(VERİLER!$C$11&gt;0,ROUND(J131*0.15,2),0)</f>
        <v>0</v>
      </c>
      <c r="L131" s="359">
        <f t="shared" si="16"/>
        <v>0</v>
      </c>
      <c r="M131" s="139">
        <f t="shared" si="17"/>
        <v>0</v>
      </c>
      <c r="N131" s="137">
        <f t="shared" si="18"/>
        <v>0</v>
      </c>
      <c r="O131" s="359">
        <f t="shared" si="19"/>
        <v>0</v>
      </c>
      <c r="P131" s="140">
        <f t="shared" si="20"/>
        <v>0</v>
      </c>
      <c r="Q131" s="140">
        <v>0</v>
      </c>
      <c r="R131" s="137">
        <f t="shared" si="21"/>
        <v>0</v>
      </c>
      <c r="S131" s="141">
        <f t="shared" si="22"/>
        <v>0</v>
      </c>
      <c r="T131" s="137">
        <f t="shared" si="23"/>
        <v>0</v>
      </c>
      <c r="U131" s="137">
        <f>ROUND(VERİLER!$F$9*T131,3)</f>
        <v>0</v>
      </c>
      <c r="V131" s="336">
        <f t="shared" si="24"/>
        <v>0</v>
      </c>
      <c r="W131" s="113"/>
      <c r="X131" s="113"/>
      <c r="Y131" s="113"/>
    </row>
    <row r="132" spans="1:25" s="143" customFormat="1" ht="15" customHeight="1" x14ac:dyDescent="0.2">
      <c r="A132" s="299" t="str">
        <f>IF('İşçi Bilgileri'!A130="","",'İşçi Bilgileri'!A130)</f>
        <v/>
      </c>
      <c r="B132" s="300" t="str">
        <f>IF($A132="","",VLOOKUP($A132,'İşçi Bilgileri'!$A$2:$D$700,4,FALSE))</f>
        <v/>
      </c>
      <c r="C132" s="301" t="str">
        <f>CONCATENATE(IF($A132="","",VLOOKUP($A132,'İşçi Bilgileri'!$A$2:$D$700,2,FALSE))," ",IF($A132="","",VLOOKUP($A132,'İşçi Bilgileri'!$A$2:$D$700,3,FALSE)))</f>
        <v xml:space="preserve"> </v>
      </c>
      <c r="D132" s="137" t="str">
        <f>IF($A132="","",VERİLER!$C$5)</f>
        <v/>
      </c>
      <c r="E132" s="138" t="str">
        <f>IF($A132="","",Puantaj!AJ137)</f>
        <v/>
      </c>
      <c r="F132" s="137">
        <f t="shared" si="13"/>
        <v>0</v>
      </c>
      <c r="G132" s="137"/>
      <c r="H132" s="137">
        <f t="shared" si="14"/>
        <v>0</v>
      </c>
      <c r="I132" s="137">
        <f t="shared" si="15"/>
        <v>0</v>
      </c>
      <c r="J132" s="137">
        <f>IF(F132&gt;VERİLER!$C$7,'İşçi Bilgileri'!M130+(F132-VERİLER!$C$7),0)</f>
        <v>0</v>
      </c>
      <c r="K132" s="137">
        <f>IF(VERİLER!$C$11&gt;0,ROUND(J132*0.15,2),0)</f>
        <v>0</v>
      </c>
      <c r="L132" s="359">
        <f t="shared" si="16"/>
        <v>0</v>
      </c>
      <c r="M132" s="139">
        <f t="shared" si="17"/>
        <v>0</v>
      </c>
      <c r="N132" s="137">
        <f t="shared" si="18"/>
        <v>0</v>
      </c>
      <c r="O132" s="359">
        <f t="shared" si="19"/>
        <v>0</v>
      </c>
      <c r="P132" s="140">
        <f t="shared" si="20"/>
        <v>0</v>
      </c>
      <c r="Q132" s="140">
        <v>0</v>
      </c>
      <c r="R132" s="137">
        <f t="shared" si="21"/>
        <v>0</v>
      </c>
      <c r="S132" s="141">
        <f t="shared" si="22"/>
        <v>0</v>
      </c>
      <c r="T132" s="137">
        <f t="shared" si="23"/>
        <v>0</v>
      </c>
      <c r="U132" s="137">
        <f>ROUND(VERİLER!$F$9*T132,3)</f>
        <v>0</v>
      </c>
      <c r="V132" s="336">
        <f t="shared" si="24"/>
        <v>0</v>
      </c>
      <c r="W132" s="113"/>
      <c r="X132" s="113"/>
      <c r="Y132" s="113"/>
    </row>
    <row r="133" spans="1:25" s="143" customFormat="1" ht="15" customHeight="1" x14ac:dyDescent="0.2">
      <c r="A133" s="299" t="str">
        <f>IF('İşçi Bilgileri'!A131="","",'İşçi Bilgileri'!A131)</f>
        <v/>
      </c>
      <c r="B133" s="300" t="str">
        <f>IF($A133="","",VLOOKUP($A133,'İşçi Bilgileri'!$A$2:$D$700,4,FALSE))</f>
        <v/>
      </c>
      <c r="C133" s="301" t="str">
        <f>CONCATENATE(IF($A133="","",VLOOKUP($A133,'İşçi Bilgileri'!$A$2:$D$700,2,FALSE))," ",IF($A133="","",VLOOKUP($A133,'İşçi Bilgileri'!$A$2:$D$700,3,FALSE)))</f>
        <v xml:space="preserve"> </v>
      </c>
      <c r="D133" s="137" t="str">
        <f>IF($A133="","",VERİLER!$C$5)</f>
        <v/>
      </c>
      <c r="E133" s="138" t="str">
        <f>IF($A133="","",Puantaj!AJ138)</f>
        <v/>
      </c>
      <c r="F133" s="137">
        <f t="shared" ref="F133:F196" si="25">IFERROR(ROUND(D133*E133,2),0)</f>
        <v>0</v>
      </c>
      <c r="G133" s="137"/>
      <c r="H133" s="137">
        <f t="shared" ref="H133:H196" si="26">ROUND(T133*0.045,3)</f>
        <v>0</v>
      </c>
      <c r="I133" s="137">
        <f t="shared" ref="I133:I196" si="27">ROUND(F133*0.01,2)</f>
        <v>0</v>
      </c>
      <c r="J133" s="137">
        <f>IF(F133&gt;VERİLER!$C$7,'İşçi Bilgileri'!M131+(F133-VERİLER!$C$7),0)</f>
        <v>0</v>
      </c>
      <c r="K133" s="137">
        <f>IF(VERİLER!$C$11&gt;0,ROUND(J133*0.15,2),0)</f>
        <v>0</v>
      </c>
      <c r="L133" s="359">
        <f t="shared" ref="L133:L196" si="28">K133</f>
        <v>0</v>
      </c>
      <c r="M133" s="139">
        <f t="shared" ref="M133:M196" si="29">K133-L133</f>
        <v>0</v>
      </c>
      <c r="N133" s="137">
        <f t="shared" ref="N133:N196" si="30">F133*0.00759</f>
        <v>0</v>
      </c>
      <c r="O133" s="359">
        <f t="shared" ref="O133:O196" si="31">N133</f>
        <v>0</v>
      </c>
      <c r="P133" s="140">
        <f t="shared" ref="P133:P196" si="32">N133-O133</f>
        <v>0</v>
      </c>
      <c r="Q133" s="140">
        <v>0</v>
      </c>
      <c r="R133" s="137">
        <f t="shared" ref="R133:R196" si="33">ROUND(H133+I133,2)</f>
        <v>0</v>
      </c>
      <c r="S133" s="141">
        <f t="shared" ref="S133:S196" si="34">ROUND(F133,3)</f>
        <v>0</v>
      </c>
      <c r="T133" s="137">
        <f t="shared" ref="T133:T196" si="35">F133</f>
        <v>0</v>
      </c>
      <c r="U133" s="137">
        <f>ROUND(VERİLER!$F$9*T133,3)</f>
        <v>0</v>
      </c>
      <c r="V133" s="336">
        <f t="shared" ref="V133:V196" si="36">T133+U133+H133+I133</f>
        <v>0</v>
      </c>
      <c r="W133" s="113"/>
      <c r="X133" s="113"/>
      <c r="Y133" s="113"/>
    </row>
    <row r="134" spans="1:25" s="143" customFormat="1" ht="15" customHeight="1" x14ac:dyDescent="0.2">
      <c r="A134" s="299" t="str">
        <f>IF('İşçi Bilgileri'!A132="","",'İşçi Bilgileri'!A132)</f>
        <v/>
      </c>
      <c r="B134" s="300" t="str">
        <f>IF($A134="","",VLOOKUP($A134,'İşçi Bilgileri'!$A$2:$D$700,4,FALSE))</f>
        <v/>
      </c>
      <c r="C134" s="301" t="str">
        <f>CONCATENATE(IF($A134="","",VLOOKUP($A134,'İşçi Bilgileri'!$A$2:$D$700,2,FALSE))," ",IF($A134="","",VLOOKUP($A134,'İşçi Bilgileri'!$A$2:$D$700,3,FALSE)))</f>
        <v xml:space="preserve"> </v>
      </c>
      <c r="D134" s="137" t="str">
        <f>IF($A134="","",VERİLER!$C$5)</f>
        <v/>
      </c>
      <c r="E134" s="138" t="str">
        <f>IF($A134="","",Puantaj!AJ139)</f>
        <v/>
      </c>
      <c r="F134" s="137">
        <f t="shared" si="25"/>
        <v>0</v>
      </c>
      <c r="G134" s="137"/>
      <c r="H134" s="137">
        <f t="shared" si="26"/>
        <v>0</v>
      </c>
      <c r="I134" s="137">
        <f t="shared" si="27"/>
        <v>0</v>
      </c>
      <c r="J134" s="137">
        <f>IF(F134&gt;VERİLER!$C$7,'İşçi Bilgileri'!M132+(F134-VERİLER!$C$7),0)</f>
        <v>0</v>
      </c>
      <c r="K134" s="137">
        <f>IF(VERİLER!$C$11&gt;0,ROUND(J134*0.15,2),0)</f>
        <v>0</v>
      </c>
      <c r="L134" s="359">
        <f t="shared" si="28"/>
        <v>0</v>
      </c>
      <c r="M134" s="139">
        <f t="shared" si="29"/>
        <v>0</v>
      </c>
      <c r="N134" s="137">
        <f t="shared" si="30"/>
        <v>0</v>
      </c>
      <c r="O134" s="359">
        <f t="shared" si="31"/>
        <v>0</v>
      </c>
      <c r="P134" s="140">
        <f t="shared" si="32"/>
        <v>0</v>
      </c>
      <c r="Q134" s="140">
        <v>0</v>
      </c>
      <c r="R134" s="137">
        <f t="shared" si="33"/>
        <v>0</v>
      </c>
      <c r="S134" s="141">
        <f t="shared" si="34"/>
        <v>0</v>
      </c>
      <c r="T134" s="137">
        <f t="shared" si="35"/>
        <v>0</v>
      </c>
      <c r="U134" s="137">
        <f>ROUND(VERİLER!$F$9*T134,3)</f>
        <v>0</v>
      </c>
      <c r="V134" s="336">
        <f t="shared" si="36"/>
        <v>0</v>
      </c>
      <c r="W134" s="113"/>
      <c r="X134" s="113"/>
      <c r="Y134" s="113"/>
    </row>
    <row r="135" spans="1:25" s="143" customFormat="1" ht="15" customHeight="1" x14ac:dyDescent="0.2">
      <c r="A135" s="299" t="str">
        <f>IF('İşçi Bilgileri'!A133="","",'İşçi Bilgileri'!A133)</f>
        <v/>
      </c>
      <c r="B135" s="300" t="str">
        <f>IF($A135="","",VLOOKUP($A135,'İşçi Bilgileri'!$A$2:$D$700,4,FALSE))</f>
        <v/>
      </c>
      <c r="C135" s="301" t="str">
        <f>CONCATENATE(IF($A135="","",VLOOKUP($A135,'İşçi Bilgileri'!$A$2:$D$700,2,FALSE))," ",IF($A135="","",VLOOKUP($A135,'İşçi Bilgileri'!$A$2:$D$700,3,FALSE)))</f>
        <v xml:space="preserve"> </v>
      </c>
      <c r="D135" s="137" t="str">
        <f>IF($A135="","",VERİLER!$C$5)</f>
        <v/>
      </c>
      <c r="E135" s="138" t="str">
        <f>IF($A135="","",Puantaj!AJ140)</f>
        <v/>
      </c>
      <c r="F135" s="137">
        <f t="shared" si="25"/>
        <v>0</v>
      </c>
      <c r="G135" s="137"/>
      <c r="H135" s="137">
        <f t="shared" si="26"/>
        <v>0</v>
      </c>
      <c r="I135" s="137">
        <f t="shared" si="27"/>
        <v>0</v>
      </c>
      <c r="J135" s="137">
        <f>IF(F135&gt;VERİLER!$C$7,'İşçi Bilgileri'!M133+(F135-VERİLER!$C$7),0)</f>
        <v>0</v>
      </c>
      <c r="K135" s="137">
        <f>IF(VERİLER!$C$11&gt;0,ROUND(J135*0.15,2),0)</f>
        <v>0</v>
      </c>
      <c r="L135" s="359">
        <f t="shared" si="28"/>
        <v>0</v>
      </c>
      <c r="M135" s="139">
        <f t="shared" si="29"/>
        <v>0</v>
      </c>
      <c r="N135" s="137">
        <f t="shared" si="30"/>
        <v>0</v>
      </c>
      <c r="O135" s="359">
        <f t="shared" si="31"/>
        <v>0</v>
      </c>
      <c r="P135" s="140">
        <f t="shared" si="32"/>
        <v>0</v>
      </c>
      <c r="Q135" s="140">
        <v>0</v>
      </c>
      <c r="R135" s="137">
        <f t="shared" si="33"/>
        <v>0</v>
      </c>
      <c r="S135" s="141">
        <f t="shared" si="34"/>
        <v>0</v>
      </c>
      <c r="T135" s="137">
        <f t="shared" si="35"/>
        <v>0</v>
      </c>
      <c r="U135" s="137">
        <f>ROUND(VERİLER!$F$9*T135,3)</f>
        <v>0</v>
      </c>
      <c r="V135" s="336">
        <f t="shared" si="36"/>
        <v>0</v>
      </c>
      <c r="W135" s="113"/>
      <c r="X135" s="113"/>
      <c r="Y135" s="113"/>
    </row>
    <row r="136" spans="1:25" s="143" customFormat="1" ht="15" customHeight="1" x14ac:dyDescent="0.2">
      <c r="A136" s="299" t="str">
        <f>IF('İşçi Bilgileri'!A134="","",'İşçi Bilgileri'!A134)</f>
        <v/>
      </c>
      <c r="B136" s="300" t="str">
        <f>IF($A136="","",VLOOKUP($A136,'İşçi Bilgileri'!$A$2:$D$700,4,FALSE))</f>
        <v/>
      </c>
      <c r="C136" s="301" t="str">
        <f>CONCATENATE(IF($A136="","",VLOOKUP($A136,'İşçi Bilgileri'!$A$2:$D$700,2,FALSE))," ",IF($A136="","",VLOOKUP($A136,'İşçi Bilgileri'!$A$2:$D$700,3,FALSE)))</f>
        <v xml:space="preserve"> </v>
      </c>
      <c r="D136" s="137" t="str">
        <f>IF($A136="","",VERİLER!$C$5)</f>
        <v/>
      </c>
      <c r="E136" s="138" t="str">
        <f>IF($A136="","",Puantaj!AJ141)</f>
        <v/>
      </c>
      <c r="F136" s="137">
        <f t="shared" si="25"/>
        <v>0</v>
      </c>
      <c r="G136" s="137"/>
      <c r="H136" s="137">
        <f t="shared" si="26"/>
        <v>0</v>
      </c>
      <c r="I136" s="137">
        <f t="shared" si="27"/>
        <v>0</v>
      </c>
      <c r="J136" s="137">
        <f>IF(F136&gt;VERİLER!$C$7,'İşçi Bilgileri'!M134+(F136-VERİLER!$C$7),0)</f>
        <v>0</v>
      </c>
      <c r="K136" s="137">
        <f>IF(VERİLER!$C$11&gt;0,ROUND(J136*0.15,2),0)</f>
        <v>0</v>
      </c>
      <c r="L136" s="359">
        <f t="shared" si="28"/>
        <v>0</v>
      </c>
      <c r="M136" s="139">
        <f t="shared" si="29"/>
        <v>0</v>
      </c>
      <c r="N136" s="137">
        <f t="shared" si="30"/>
        <v>0</v>
      </c>
      <c r="O136" s="359">
        <f t="shared" si="31"/>
        <v>0</v>
      </c>
      <c r="P136" s="140">
        <f t="shared" si="32"/>
        <v>0</v>
      </c>
      <c r="Q136" s="140">
        <v>0</v>
      </c>
      <c r="R136" s="137">
        <f t="shared" si="33"/>
        <v>0</v>
      </c>
      <c r="S136" s="141">
        <f t="shared" si="34"/>
        <v>0</v>
      </c>
      <c r="T136" s="137">
        <f t="shared" si="35"/>
        <v>0</v>
      </c>
      <c r="U136" s="137">
        <f>ROUND(VERİLER!$F$9*T136,3)</f>
        <v>0</v>
      </c>
      <c r="V136" s="336">
        <f t="shared" si="36"/>
        <v>0</v>
      </c>
      <c r="W136" s="113"/>
      <c r="X136" s="113"/>
      <c r="Y136" s="113"/>
    </row>
    <row r="137" spans="1:25" s="143" customFormat="1" ht="15" customHeight="1" x14ac:dyDescent="0.2">
      <c r="A137" s="299" t="str">
        <f>IF('İşçi Bilgileri'!A135="","",'İşçi Bilgileri'!A135)</f>
        <v/>
      </c>
      <c r="B137" s="300" t="str">
        <f>IF($A137="","",VLOOKUP($A137,'İşçi Bilgileri'!$A$2:$D$700,4,FALSE))</f>
        <v/>
      </c>
      <c r="C137" s="301" t="str">
        <f>CONCATENATE(IF($A137="","",VLOOKUP($A137,'İşçi Bilgileri'!$A$2:$D$700,2,FALSE))," ",IF($A137="","",VLOOKUP($A137,'İşçi Bilgileri'!$A$2:$D$700,3,FALSE)))</f>
        <v xml:space="preserve"> </v>
      </c>
      <c r="D137" s="137" t="str">
        <f>IF($A137="","",VERİLER!$C$5)</f>
        <v/>
      </c>
      <c r="E137" s="138" t="str">
        <f>IF($A137="","",Puantaj!AJ142)</f>
        <v/>
      </c>
      <c r="F137" s="137">
        <f t="shared" si="25"/>
        <v>0</v>
      </c>
      <c r="G137" s="137"/>
      <c r="H137" s="137">
        <f t="shared" si="26"/>
        <v>0</v>
      </c>
      <c r="I137" s="137">
        <f t="shared" si="27"/>
        <v>0</v>
      </c>
      <c r="J137" s="137">
        <f>IF(F137&gt;VERİLER!$C$7,'İşçi Bilgileri'!M135+(F137-VERİLER!$C$7),0)</f>
        <v>0</v>
      </c>
      <c r="K137" s="137">
        <f>IF(VERİLER!$C$11&gt;0,ROUND(J137*0.15,2),0)</f>
        <v>0</v>
      </c>
      <c r="L137" s="359">
        <f t="shared" si="28"/>
        <v>0</v>
      </c>
      <c r="M137" s="139">
        <f t="shared" si="29"/>
        <v>0</v>
      </c>
      <c r="N137" s="137">
        <f t="shared" si="30"/>
        <v>0</v>
      </c>
      <c r="O137" s="359">
        <f t="shared" si="31"/>
        <v>0</v>
      </c>
      <c r="P137" s="140">
        <f t="shared" si="32"/>
        <v>0</v>
      </c>
      <c r="Q137" s="140">
        <v>0</v>
      </c>
      <c r="R137" s="137">
        <f t="shared" si="33"/>
        <v>0</v>
      </c>
      <c r="S137" s="141">
        <f t="shared" si="34"/>
        <v>0</v>
      </c>
      <c r="T137" s="137">
        <f t="shared" si="35"/>
        <v>0</v>
      </c>
      <c r="U137" s="137">
        <f>ROUND(VERİLER!$F$9*T137,3)</f>
        <v>0</v>
      </c>
      <c r="V137" s="336">
        <f t="shared" si="36"/>
        <v>0</v>
      </c>
      <c r="W137" s="113"/>
      <c r="X137" s="113"/>
      <c r="Y137" s="113"/>
    </row>
    <row r="138" spans="1:25" s="143" customFormat="1" ht="15" customHeight="1" x14ac:dyDescent="0.2">
      <c r="A138" s="299" t="str">
        <f>IF('İşçi Bilgileri'!A136="","",'İşçi Bilgileri'!A136)</f>
        <v/>
      </c>
      <c r="B138" s="300" t="str">
        <f>IF($A138="","",VLOOKUP($A138,'İşçi Bilgileri'!$A$2:$D$700,4,FALSE))</f>
        <v/>
      </c>
      <c r="C138" s="301" t="str">
        <f>CONCATENATE(IF($A138="","",VLOOKUP($A138,'İşçi Bilgileri'!$A$2:$D$700,2,FALSE))," ",IF($A138="","",VLOOKUP($A138,'İşçi Bilgileri'!$A$2:$D$700,3,FALSE)))</f>
        <v xml:space="preserve"> </v>
      </c>
      <c r="D138" s="137" t="str">
        <f>IF($A138="","",VERİLER!$C$5)</f>
        <v/>
      </c>
      <c r="E138" s="138" t="str">
        <f>IF($A138="","",Puantaj!AJ143)</f>
        <v/>
      </c>
      <c r="F138" s="137">
        <f t="shared" si="25"/>
        <v>0</v>
      </c>
      <c r="G138" s="137"/>
      <c r="H138" s="137">
        <f t="shared" si="26"/>
        <v>0</v>
      </c>
      <c r="I138" s="137">
        <f t="shared" si="27"/>
        <v>0</v>
      </c>
      <c r="J138" s="137">
        <f>IF(F138&gt;VERİLER!$C$7,'İşçi Bilgileri'!M136+(F138-VERİLER!$C$7),0)</f>
        <v>0</v>
      </c>
      <c r="K138" s="137">
        <f>IF(VERİLER!$C$11&gt;0,ROUND(J138*0.15,2),0)</f>
        <v>0</v>
      </c>
      <c r="L138" s="359">
        <f t="shared" si="28"/>
        <v>0</v>
      </c>
      <c r="M138" s="139">
        <f t="shared" si="29"/>
        <v>0</v>
      </c>
      <c r="N138" s="137">
        <f t="shared" si="30"/>
        <v>0</v>
      </c>
      <c r="O138" s="359">
        <f t="shared" si="31"/>
        <v>0</v>
      </c>
      <c r="P138" s="140">
        <f t="shared" si="32"/>
        <v>0</v>
      </c>
      <c r="Q138" s="140">
        <v>0</v>
      </c>
      <c r="R138" s="137">
        <f t="shared" si="33"/>
        <v>0</v>
      </c>
      <c r="S138" s="141">
        <f t="shared" si="34"/>
        <v>0</v>
      </c>
      <c r="T138" s="137">
        <f t="shared" si="35"/>
        <v>0</v>
      </c>
      <c r="U138" s="137">
        <f>ROUND(VERİLER!$F$9*T138,3)</f>
        <v>0</v>
      </c>
      <c r="V138" s="336">
        <f t="shared" si="36"/>
        <v>0</v>
      </c>
      <c r="W138" s="113"/>
      <c r="X138" s="113"/>
      <c r="Y138" s="113"/>
    </row>
    <row r="139" spans="1:25" s="143" customFormat="1" ht="15" customHeight="1" x14ac:dyDescent="0.2">
      <c r="A139" s="299" t="str">
        <f>IF('İşçi Bilgileri'!A137="","",'İşçi Bilgileri'!A137)</f>
        <v/>
      </c>
      <c r="B139" s="300" t="str">
        <f>IF($A139="","",VLOOKUP($A139,'İşçi Bilgileri'!$A$2:$D$700,4,FALSE))</f>
        <v/>
      </c>
      <c r="C139" s="301" t="str">
        <f>CONCATENATE(IF($A139="","",VLOOKUP($A139,'İşçi Bilgileri'!$A$2:$D$700,2,FALSE))," ",IF($A139="","",VLOOKUP($A139,'İşçi Bilgileri'!$A$2:$D$700,3,FALSE)))</f>
        <v xml:space="preserve"> </v>
      </c>
      <c r="D139" s="137" t="str">
        <f>IF($A139="","",VERİLER!$C$5)</f>
        <v/>
      </c>
      <c r="E139" s="138" t="str">
        <f>IF($A139="","",Puantaj!AJ144)</f>
        <v/>
      </c>
      <c r="F139" s="137">
        <f t="shared" si="25"/>
        <v>0</v>
      </c>
      <c r="G139" s="137"/>
      <c r="H139" s="137">
        <f t="shared" si="26"/>
        <v>0</v>
      </c>
      <c r="I139" s="137">
        <f t="shared" si="27"/>
        <v>0</v>
      </c>
      <c r="J139" s="137">
        <f>IF(F139&gt;VERİLER!$C$7,'İşçi Bilgileri'!M137+(F139-VERİLER!$C$7),0)</f>
        <v>0</v>
      </c>
      <c r="K139" s="137">
        <f>IF(VERİLER!$C$11&gt;0,ROUND(J139*0.15,2),0)</f>
        <v>0</v>
      </c>
      <c r="L139" s="359">
        <f t="shared" si="28"/>
        <v>0</v>
      </c>
      <c r="M139" s="139">
        <f t="shared" si="29"/>
        <v>0</v>
      </c>
      <c r="N139" s="137">
        <f t="shared" si="30"/>
        <v>0</v>
      </c>
      <c r="O139" s="359">
        <f t="shared" si="31"/>
        <v>0</v>
      </c>
      <c r="P139" s="140">
        <f t="shared" si="32"/>
        <v>0</v>
      </c>
      <c r="Q139" s="140">
        <v>0</v>
      </c>
      <c r="R139" s="137">
        <f t="shared" si="33"/>
        <v>0</v>
      </c>
      <c r="S139" s="141">
        <f t="shared" si="34"/>
        <v>0</v>
      </c>
      <c r="T139" s="137">
        <f t="shared" si="35"/>
        <v>0</v>
      </c>
      <c r="U139" s="137">
        <f>ROUND(VERİLER!$F$9*T139,3)</f>
        <v>0</v>
      </c>
      <c r="V139" s="336">
        <f t="shared" si="36"/>
        <v>0</v>
      </c>
      <c r="W139" s="113"/>
      <c r="X139" s="113"/>
      <c r="Y139" s="113"/>
    </row>
    <row r="140" spans="1:25" s="143" customFormat="1" ht="15" customHeight="1" x14ac:dyDescent="0.2">
      <c r="A140" s="299" t="str">
        <f>IF('İşçi Bilgileri'!A138="","",'İşçi Bilgileri'!A138)</f>
        <v/>
      </c>
      <c r="B140" s="300" t="str">
        <f>IF($A140="","",VLOOKUP($A140,'İşçi Bilgileri'!$A$2:$D$700,4,FALSE))</f>
        <v/>
      </c>
      <c r="C140" s="301" t="str">
        <f>CONCATENATE(IF($A140="","",VLOOKUP($A140,'İşçi Bilgileri'!$A$2:$D$700,2,FALSE))," ",IF($A140="","",VLOOKUP($A140,'İşçi Bilgileri'!$A$2:$D$700,3,FALSE)))</f>
        <v xml:space="preserve"> </v>
      </c>
      <c r="D140" s="137" t="str">
        <f>IF($A140="","",VERİLER!$C$5)</f>
        <v/>
      </c>
      <c r="E140" s="138" t="str">
        <f>IF($A140="","",Puantaj!AJ145)</f>
        <v/>
      </c>
      <c r="F140" s="137">
        <f t="shared" si="25"/>
        <v>0</v>
      </c>
      <c r="G140" s="137"/>
      <c r="H140" s="137">
        <f t="shared" si="26"/>
        <v>0</v>
      </c>
      <c r="I140" s="137">
        <f t="shared" si="27"/>
        <v>0</v>
      </c>
      <c r="J140" s="137">
        <f>IF(F140&gt;VERİLER!$C$7,'İşçi Bilgileri'!M138+(F140-VERİLER!$C$7),0)</f>
        <v>0</v>
      </c>
      <c r="K140" s="137">
        <f>IF(VERİLER!$C$11&gt;0,ROUND(J140*0.15,2),0)</f>
        <v>0</v>
      </c>
      <c r="L140" s="359">
        <f t="shared" si="28"/>
        <v>0</v>
      </c>
      <c r="M140" s="139">
        <f t="shared" si="29"/>
        <v>0</v>
      </c>
      <c r="N140" s="137">
        <f t="shared" si="30"/>
        <v>0</v>
      </c>
      <c r="O140" s="359">
        <f t="shared" si="31"/>
        <v>0</v>
      </c>
      <c r="P140" s="140">
        <f t="shared" si="32"/>
        <v>0</v>
      </c>
      <c r="Q140" s="140">
        <v>0</v>
      </c>
      <c r="R140" s="137">
        <f t="shared" si="33"/>
        <v>0</v>
      </c>
      <c r="S140" s="141">
        <f t="shared" si="34"/>
        <v>0</v>
      </c>
      <c r="T140" s="137">
        <f t="shared" si="35"/>
        <v>0</v>
      </c>
      <c r="U140" s="137">
        <f>ROUND(VERİLER!$F$9*T140,3)</f>
        <v>0</v>
      </c>
      <c r="V140" s="336">
        <f t="shared" si="36"/>
        <v>0</v>
      </c>
      <c r="W140" s="113"/>
      <c r="X140" s="113"/>
      <c r="Y140" s="113"/>
    </row>
    <row r="141" spans="1:25" s="143" customFormat="1" ht="15" customHeight="1" x14ac:dyDescent="0.2">
      <c r="A141" s="299" t="str">
        <f>IF('İşçi Bilgileri'!A139="","",'İşçi Bilgileri'!A139)</f>
        <v/>
      </c>
      <c r="B141" s="300" t="str">
        <f>IF($A141="","",VLOOKUP($A141,'İşçi Bilgileri'!$A$2:$D$700,4,FALSE))</f>
        <v/>
      </c>
      <c r="C141" s="301" t="str">
        <f>CONCATENATE(IF($A141="","",VLOOKUP($A141,'İşçi Bilgileri'!$A$2:$D$700,2,FALSE))," ",IF($A141="","",VLOOKUP($A141,'İşçi Bilgileri'!$A$2:$D$700,3,FALSE)))</f>
        <v xml:space="preserve"> </v>
      </c>
      <c r="D141" s="137" t="str">
        <f>IF($A141="","",VERİLER!$C$5)</f>
        <v/>
      </c>
      <c r="E141" s="138" t="str">
        <f>IF($A141="","",Puantaj!AJ146)</f>
        <v/>
      </c>
      <c r="F141" s="137">
        <f t="shared" si="25"/>
        <v>0</v>
      </c>
      <c r="G141" s="137"/>
      <c r="H141" s="137">
        <f t="shared" si="26"/>
        <v>0</v>
      </c>
      <c r="I141" s="137">
        <f t="shared" si="27"/>
        <v>0</v>
      </c>
      <c r="J141" s="137">
        <f>IF(F141&gt;VERİLER!$C$7,'İşçi Bilgileri'!M139+(F141-VERİLER!$C$7),0)</f>
        <v>0</v>
      </c>
      <c r="K141" s="137">
        <f>IF(VERİLER!$C$11&gt;0,ROUND(J141*0.15,2),0)</f>
        <v>0</v>
      </c>
      <c r="L141" s="359">
        <f t="shared" si="28"/>
        <v>0</v>
      </c>
      <c r="M141" s="139">
        <f t="shared" si="29"/>
        <v>0</v>
      </c>
      <c r="N141" s="137">
        <f t="shared" si="30"/>
        <v>0</v>
      </c>
      <c r="O141" s="359">
        <f t="shared" si="31"/>
        <v>0</v>
      </c>
      <c r="P141" s="140">
        <f t="shared" si="32"/>
        <v>0</v>
      </c>
      <c r="Q141" s="140">
        <v>0</v>
      </c>
      <c r="R141" s="137">
        <f t="shared" si="33"/>
        <v>0</v>
      </c>
      <c r="S141" s="141">
        <f t="shared" si="34"/>
        <v>0</v>
      </c>
      <c r="T141" s="137">
        <f t="shared" si="35"/>
        <v>0</v>
      </c>
      <c r="U141" s="137">
        <f>ROUND(VERİLER!$F$9*T141,3)</f>
        <v>0</v>
      </c>
      <c r="V141" s="336">
        <f t="shared" si="36"/>
        <v>0</v>
      </c>
      <c r="W141" s="113"/>
      <c r="X141" s="113"/>
      <c r="Y141" s="113"/>
    </row>
    <row r="142" spans="1:25" s="143" customFormat="1" ht="15" customHeight="1" x14ac:dyDescent="0.2">
      <c r="A142" s="299" t="str">
        <f>IF('İşçi Bilgileri'!A140="","",'İşçi Bilgileri'!A140)</f>
        <v/>
      </c>
      <c r="B142" s="300" t="str">
        <f>IF($A142="","",VLOOKUP($A142,'İşçi Bilgileri'!$A$2:$D$700,4,FALSE))</f>
        <v/>
      </c>
      <c r="C142" s="301" t="str">
        <f>CONCATENATE(IF($A142="","",VLOOKUP($A142,'İşçi Bilgileri'!$A$2:$D$700,2,FALSE))," ",IF($A142="","",VLOOKUP($A142,'İşçi Bilgileri'!$A$2:$D$700,3,FALSE)))</f>
        <v xml:space="preserve"> </v>
      </c>
      <c r="D142" s="137" t="str">
        <f>IF($A142="","",VERİLER!$C$5)</f>
        <v/>
      </c>
      <c r="E142" s="138" t="str">
        <f>IF($A142="","",Puantaj!AJ147)</f>
        <v/>
      </c>
      <c r="F142" s="137">
        <f t="shared" si="25"/>
        <v>0</v>
      </c>
      <c r="G142" s="137"/>
      <c r="H142" s="137">
        <f t="shared" si="26"/>
        <v>0</v>
      </c>
      <c r="I142" s="137">
        <f t="shared" si="27"/>
        <v>0</v>
      </c>
      <c r="J142" s="137">
        <f>IF(F142&gt;VERİLER!$C$7,'İşçi Bilgileri'!M140+(F142-VERİLER!$C$7),0)</f>
        <v>0</v>
      </c>
      <c r="K142" s="137">
        <f>IF(VERİLER!$C$11&gt;0,ROUND(J142*0.15,2),0)</f>
        <v>0</v>
      </c>
      <c r="L142" s="359">
        <f t="shared" si="28"/>
        <v>0</v>
      </c>
      <c r="M142" s="139">
        <f t="shared" si="29"/>
        <v>0</v>
      </c>
      <c r="N142" s="137">
        <f t="shared" si="30"/>
        <v>0</v>
      </c>
      <c r="O142" s="359">
        <f t="shared" si="31"/>
        <v>0</v>
      </c>
      <c r="P142" s="140">
        <f t="shared" si="32"/>
        <v>0</v>
      </c>
      <c r="Q142" s="140">
        <v>0</v>
      </c>
      <c r="R142" s="137">
        <f t="shared" si="33"/>
        <v>0</v>
      </c>
      <c r="S142" s="141">
        <f t="shared" si="34"/>
        <v>0</v>
      </c>
      <c r="T142" s="137">
        <f t="shared" si="35"/>
        <v>0</v>
      </c>
      <c r="U142" s="137">
        <f>ROUND(VERİLER!$F$9*T142,3)</f>
        <v>0</v>
      </c>
      <c r="V142" s="336">
        <f t="shared" si="36"/>
        <v>0</v>
      </c>
      <c r="W142" s="113"/>
      <c r="X142" s="113"/>
      <c r="Y142" s="113"/>
    </row>
    <row r="143" spans="1:25" s="143" customFormat="1" ht="15" customHeight="1" x14ac:dyDescent="0.2">
      <c r="A143" s="299" t="str">
        <f>IF('İşçi Bilgileri'!A141="","",'İşçi Bilgileri'!A141)</f>
        <v/>
      </c>
      <c r="B143" s="300" t="str">
        <f>IF($A143="","",VLOOKUP($A143,'İşçi Bilgileri'!$A$2:$D$700,4,FALSE))</f>
        <v/>
      </c>
      <c r="C143" s="301" t="str">
        <f>CONCATENATE(IF($A143="","",VLOOKUP($A143,'İşçi Bilgileri'!$A$2:$D$700,2,FALSE))," ",IF($A143="","",VLOOKUP($A143,'İşçi Bilgileri'!$A$2:$D$700,3,FALSE)))</f>
        <v xml:space="preserve"> </v>
      </c>
      <c r="D143" s="137" t="str">
        <f>IF($A143="","",VERİLER!$C$5)</f>
        <v/>
      </c>
      <c r="E143" s="138" t="str">
        <f>IF($A143="","",Puantaj!AJ148)</f>
        <v/>
      </c>
      <c r="F143" s="137">
        <f t="shared" si="25"/>
        <v>0</v>
      </c>
      <c r="G143" s="137"/>
      <c r="H143" s="137">
        <f t="shared" si="26"/>
        <v>0</v>
      </c>
      <c r="I143" s="137">
        <f t="shared" si="27"/>
        <v>0</v>
      </c>
      <c r="J143" s="137">
        <f>IF(F143&gt;VERİLER!$C$7,'İşçi Bilgileri'!M141+(F143-VERİLER!$C$7),0)</f>
        <v>0</v>
      </c>
      <c r="K143" s="137">
        <f>IF(VERİLER!$C$11&gt;0,ROUND(J143*0.15,2),0)</f>
        <v>0</v>
      </c>
      <c r="L143" s="359">
        <f t="shared" si="28"/>
        <v>0</v>
      </c>
      <c r="M143" s="139">
        <f t="shared" si="29"/>
        <v>0</v>
      </c>
      <c r="N143" s="137">
        <f t="shared" si="30"/>
        <v>0</v>
      </c>
      <c r="O143" s="359">
        <f t="shared" si="31"/>
        <v>0</v>
      </c>
      <c r="P143" s="140">
        <f t="shared" si="32"/>
        <v>0</v>
      </c>
      <c r="Q143" s="140">
        <v>0</v>
      </c>
      <c r="R143" s="137">
        <f t="shared" si="33"/>
        <v>0</v>
      </c>
      <c r="S143" s="141">
        <f t="shared" si="34"/>
        <v>0</v>
      </c>
      <c r="T143" s="137">
        <f t="shared" si="35"/>
        <v>0</v>
      </c>
      <c r="U143" s="137">
        <f>ROUND(VERİLER!$F$9*T143,3)</f>
        <v>0</v>
      </c>
      <c r="V143" s="336">
        <f t="shared" si="36"/>
        <v>0</v>
      </c>
      <c r="W143" s="113"/>
      <c r="X143" s="113"/>
      <c r="Y143" s="113"/>
    </row>
    <row r="144" spans="1:25" s="143" customFormat="1" ht="15" customHeight="1" x14ac:dyDescent="0.2">
      <c r="A144" s="299" t="str">
        <f>IF('İşçi Bilgileri'!A142="","",'İşçi Bilgileri'!A142)</f>
        <v/>
      </c>
      <c r="B144" s="300" t="str">
        <f>IF($A144="","",VLOOKUP($A144,'İşçi Bilgileri'!$A$2:$D$700,4,FALSE))</f>
        <v/>
      </c>
      <c r="C144" s="301" t="str">
        <f>CONCATENATE(IF($A144="","",VLOOKUP($A144,'İşçi Bilgileri'!$A$2:$D$700,2,FALSE))," ",IF($A144="","",VLOOKUP($A144,'İşçi Bilgileri'!$A$2:$D$700,3,FALSE)))</f>
        <v xml:space="preserve"> </v>
      </c>
      <c r="D144" s="137" t="str">
        <f>IF($A144="","",VERİLER!$C$5)</f>
        <v/>
      </c>
      <c r="E144" s="138" t="str">
        <f>IF($A144="","",Puantaj!AJ149)</f>
        <v/>
      </c>
      <c r="F144" s="137">
        <f t="shared" si="25"/>
        <v>0</v>
      </c>
      <c r="G144" s="137"/>
      <c r="H144" s="137">
        <f t="shared" si="26"/>
        <v>0</v>
      </c>
      <c r="I144" s="137">
        <f t="shared" si="27"/>
        <v>0</v>
      </c>
      <c r="J144" s="137">
        <f>IF(F144&gt;VERİLER!$C$7,'İşçi Bilgileri'!M142+(F144-VERİLER!$C$7),0)</f>
        <v>0</v>
      </c>
      <c r="K144" s="137">
        <f>IF(VERİLER!$C$11&gt;0,ROUND(J144*0.15,2),0)</f>
        <v>0</v>
      </c>
      <c r="L144" s="359">
        <f t="shared" si="28"/>
        <v>0</v>
      </c>
      <c r="M144" s="139">
        <f t="shared" si="29"/>
        <v>0</v>
      </c>
      <c r="N144" s="137">
        <f t="shared" si="30"/>
        <v>0</v>
      </c>
      <c r="O144" s="359">
        <f t="shared" si="31"/>
        <v>0</v>
      </c>
      <c r="P144" s="140">
        <f t="shared" si="32"/>
        <v>0</v>
      </c>
      <c r="Q144" s="140">
        <v>0</v>
      </c>
      <c r="R144" s="137">
        <f t="shared" si="33"/>
        <v>0</v>
      </c>
      <c r="S144" s="141">
        <f t="shared" si="34"/>
        <v>0</v>
      </c>
      <c r="T144" s="137">
        <f t="shared" si="35"/>
        <v>0</v>
      </c>
      <c r="U144" s="137">
        <f>ROUND(VERİLER!$F$9*T144,3)</f>
        <v>0</v>
      </c>
      <c r="V144" s="336">
        <f t="shared" si="36"/>
        <v>0</v>
      </c>
      <c r="W144" s="113"/>
      <c r="X144" s="113"/>
      <c r="Y144" s="113"/>
    </row>
    <row r="145" spans="1:25" s="143" customFormat="1" ht="15" customHeight="1" x14ac:dyDescent="0.2">
      <c r="A145" s="299" t="str">
        <f>IF('İşçi Bilgileri'!A143="","",'İşçi Bilgileri'!A143)</f>
        <v/>
      </c>
      <c r="B145" s="300" t="str">
        <f>IF($A145="","",VLOOKUP($A145,'İşçi Bilgileri'!$A$2:$D$700,4,FALSE))</f>
        <v/>
      </c>
      <c r="C145" s="301" t="str">
        <f>CONCATENATE(IF($A145="","",VLOOKUP($A145,'İşçi Bilgileri'!$A$2:$D$700,2,FALSE))," ",IF($A145="","",VLOOKUP($A145,'İşçi Bilgileri'!$A$2:$D$700,3,FALSE)))</f>
        <v xml:space="preserve"> </v>
      </c>
      <c r="D145" s="137" t="str">
        <f>IF($A145="","",VERİLER!$C$5)</f>
        <v/>
      </c>
      <c r="E145" s="138" t="str">
        <f>IF($A145="","",Puantaj!AJ150)</f>
        <v/>
      </c>
      <c r="F145" s="137">
        <f t="shared" si="25"/>
        <v>0</v>
      </c>
      <c r="G145" s="137"/>
      <c r="H145" s="137">
        <f t="shared" si="26"/>
        <v>0</v>
      </c>
      <c r="I145" s="137">
        <f t="shared" si="27"/>
        <v>0</v>
      </c>
      <c r="J145" s="137">
        <f>IF(F145&gt;VERİLER!$C$7,'İşçi Bilgileri'!M143+(F145-VERİLER!$C$7),0)</f>
        <v>0</v>
      </c>
      <c r="K145" s="137">
        <f>IF(VERİLER!$C$11&gt;0,ROUND(J145*0.15,2),0)</f>
        <v>0</v>
      </c>
      <c r="L145" s="359">
        <f t="shared" si="28"/>
        <v>0</v>
      </c>
      <c r="M145" s="139">
        <f t="shared" si="29"/>
        <v>0</v>
      </c>
      <c r="N145" s="137">
        <f t="shared" si="30"/>
        <v>0</v>
      </c>
      <c r="O145" s="359">
        <f t="shared" si="31"/>
        <v>0</v>
      </c>
      <c r="P145" s="140">
        <f t="shared" si="32"/>
        <v>0</v>
      </c>
      <c r="Q145" s="140">
        <v>0</v>
      </c>
      <c r="R145" s="137">
        <f t="shared" si="33"/>
        <v>0</v>
      </c>
      <c r="S145" s="141">
        <f t="shared" si="34"/>
        <v>0</v>
      </c>
      <c r="T145" s="137">
        <f t="shared" si="35"/>
        <v>0</v>
      </c>
      <c r="U145" s="137">
        <f>ROUND(VERİLER!$F$9*T145,3)</f>
        <v>0</v>
      </c>
      <c r="V145" s="336">
        <f t="shared" si="36"/>
        <v>0</v>
      </c>
      <c r="W145" s="113"/>
      <c r="X145" s="113"/>
      <c r="Y145" s="113"/>
    </row>
    <row r="146" spans="1:25" s="143" customFormat="1" ht="15" customHeight="1" x14ac:dyDescent="0.2">
      <c r="A146" s="299" t="str">
        <f>IF('İşçi Bilgileri'!A144="","",'İşçi Bilgileri'!A144)</f>
        <v/>
      </c>
      <c r="B146" s="300" t="str">
        <f>IF($A146="","",VLOOKUP($A146,'İşçi Bilgileri'!$A$2:$D$700,4,FALSE))</f>
        <v/>
      </c>
      <c r="C146" s="301" t="str">
        <f>CONCATENATE(IF($A146="","",VLOOKUP($A146,'İşçi Bilgileri'!$A$2:$D$700,2,FALSE))," ",IF($A146="","",VLOOKUP($A146,'İşçi Bilgileri'!$A$2:$D$700,3,FALSE)))</f>
        <v xml:space="preserve"> </v>
      </c>
      <c r="D146" s="137" t="str">
        <f>IF($A146="","",VERİLER!$C$5)</f>
        <v/>
      </c>
      <c r="E146" s="138" t="str">
        <f>IF($A146="","",Puantaj!AJ151)</f>
        <v/>
      </c>
      <c r="F146" s="137">
        <f t="shared" si="25"/>
        <v>0</v>
      </c>
      <c r="G146" s="137"/>
      <c r="H146" s="137">
        <f t="shared" si="26"/>
        <v>0</v>
      </c>
      <c r="I146" s="137">
        <f t="shared" si="27"/>
        <v>0</v>
      </c>
      <c r="J146" s="137">
        <f>IF(F146&gt;VERİLER!$C$7,'İşçi Bilgileri'!M144+(F146-VERİLER!$C$7),0)</f>
        <v>0</v>
      </c>
      <c r="K146" s="137">
        <f>IF(VERİLER!$C$11&gt;0,ROUND(J146*0.15,2),0)</f>
        <v>0</v>
      </c>
      <c r="L146" s="359">
        <f t="shared" si="28"/>
        <v>0</v>
      </c>
      <c r="M146" s="139">
        <f t="shared" si="29"/>
        <v>0</v>
      </c>
      <c r="N146" s="137">
        <f t="shared" si="30"/>
        <v>0</v>
      </c>
      <c r="O146" s="359">
        <f t="shared" si="31"/>
        <v>0</v>
      </c>
      <c r="P146" s="140">
        <f t="shared" si="32"/>
        <v>0</v>
      </c>
      <c r="Q146" s="140">
        <v>0</v>
      </c>
      <c r="R146" s="137">
        <f t="shared" si="33"/>
        <v>0</v>
      </c>
      <c r="S146" s="141">
        <f t="shared" si="34"/>
        <v>0</v>
      </c>
      <c r="T146" s="137">
        <f t="shared" si="35"/>
        <v>0</v>
      </c>
      <c r="U146" s="137">
        <f>ROUND(VERİLER!$F$9*T146,3)</f>
        <v>0</v>
      </c>
      <c r="V146" s="336">
        <f t="shared" si="36"/>
        <v>0</v>
      </c>
      <c r="W146" s="113"/>
      <c r="X146" s="113"/>
      <c r="Y146" s="113"/>
    </row>
    <row r="147" spans="1:25" s="143" customFormat="1" ht="15" customHeight="1" x14ac:dyDescent="0.2">
      <c r="A147" s="299" t="str">
        <f>IF('İşçi Bilgileri'!A145="","",'İşçi Bilgileri'!A145)</f>
        <v/>
      </c>
      <c r="B147" s="300" t="str">
        <f>IF($A147="","",VLOOKUP($A147,'İşçi Bilgileri'!$A$2:$D$700,4,FALSE))</f>
        <v/>
      </c>
      <c r="C147" s="301" t="str">
        <f>CONCATENATE(IF($A147="","",VLOOKUP($A147,'İşçi Bilgileri'!$A$2:$D$700,2,FALSE))," ",IF($A147="","",VLOOKUP($A147,'İşçi Bilgileri'!$A$2:$D$700,3,FALSE)))</f>
        <v xml:space="preserve"> </v>
      </c>
      <c r="D147" s="137" t="str">
        <f>IF($A147="","",VERİLER!$C$5)</f>
        <v/>
      </c>
      <c r="E147" s="138" t="str">
        <f>IF($A147="","",Puantaj!AJ152)</f>
        <v/>
      </c>
      <c r="F147" s="137">
        <f t="shared" si="25"/>
        <v>0</v>
      </c>
      <c r="G147" s="137"/>
      <c r="H147" s="137">
        <f t="shared" si="26"/>
        <v>0</v>
      </c>
      <c r="I147" s="137">
        <f t="shared" si="27"/>
        <v>0</v>
      </c>
      <c r="J147" s="137">
        <f>IF(F147&gt;VERİLER!$C$7,'İşçi Bilgileri'!M145+(F147-VERİLER!$C$7),0)</f>
        <v>0</v>
      </c>
      <c r="K147" s="137">
        <f>IF(VERİLER!$C$11&gt;0,ROUND(J147*0.15,2),0)</f>
        <v>0</v>
      </c>
      <c r="L147" s="359">
        <f t="shared" si="28"/>
        <v>0</v>
      </c>
      <c r="M147" s="139">
        <f t="shared" si="29"/>
        <v>0</v>
      </c>
      <c r="N147" s="137">
        <f t="shared" si="30"/>
        <v>0</v>
      </c>
      <c r="O147" s="359">
        <f t="shared" si="31"/>
        <v>0</v>
      </c>
      <c r="P147" s="140">
        <f t="shared" si="32"/>
        <v>0</v>
      </c>
      <c r="Q147" s="140">
        <v>0</v>
      </c>
      <c r="R147" s="137">
        <f t="shared" si="33"/>
        <v>0</v>
      </c>
      <c r="S147" s="141">
        <f t="shared" si="34"/>
        <v>0</v>
      </c>
      <c r="T147" s="137">
        <f t="shared" si="35"/>
        <v>0</v>
      </c>
      <c r="U147" s="137">
        <f>ROUND(VERİLER!$F$9*T147,3)</f>
        <v>0</v>
      </c>
      <c r="V147" s="336">
        <f t="shared" si="36"/>
        <v>0</v>
      </c>
      <c r="W147" s="113"/>
      <c r="X147" s="113"/>
      <c r="Y147" s="113"/>
    </row>
    <row r="148" spans="1:25" s="143" customFormat="1" ht="15" customHeight="1" x14ac:dyDescent="0.2">
      <c r="A148" s="299" t="str">
        <f>IF('İşçi Bilgileri'!A146="","",'İşçi Bilgileri'!A146)</f>
        <v/>
      </c>
      <c r="B148" s="300" t="str">
        <f>IF($A148="","",VLOOKUP($A148,'İşçi Bilgileri'!$A$2:$D$700,4,FALSE))</f>
        <v/>
      </c>
      <c r="C148" s="301" t="str">
        <f>CONCATENATE(IF($A148="","",VLOOKUP($A148,'İşçi Bilgileri'!$A$2:$D$700,2,FALSE))," ",IF($A148="","",VLOOKUP($A148,'İşçi Bilgileri'!$A$2:$D$700,3,FALSE)))</f>
        <v xml:space="preserve"> </v>
      </c>
      <c r="D148" s="137" t="str">
        <f>IF($A148="","",VERİLER!$C$5)</f>
        <v/>
      </c>
      <c r="E148" s="138" t="str">
        <f>IF($A148="","",Puantaj!AJ153)</f>
        <v/>
      </c>
      <c r="F148" s="137">
        <f t="shared" si="25"/>
        <v>0</v>
      </c>
      <c r="G148" s="137"/>
      <c r="H148" s="137">
        <f t="shared" si="26"/>
        <v>0</v>
      </c>
      <c r="I148" s="137">
        <f t="shared" si="27"/>
        <v>0</v>
      </c>
      <c r="J148" s="137">
        <f>IF(F148&gt;VERİLER!$C$7,'İşçi Bilgileri'!M146+(F148-VERİLER!$C$7),0)</f>
        <v>0</v>
      </c>
      <c r="K148" s="137">
        <f>IF(VERİLER!$C$11&gt;0,ROUND(J148*0.15,2),0)</f>
        <v>0</v>
      </c>
      <c r="L148" s="359">
        <f t="shared" si="28"/>
        <v>0</v>
      </c>
      <c r="M148" s="139">
        <f t="shared" si="29"/>
        <v>0</v>
      </c>
      <c r="N148" s="137">
        <f t="shared" si="30"/>
        <v>0</v>
      </c>
      <c r="O148" s="359">
        <f t="shared" si="31"/>
        <v>0</v>
      </c>
      <c r="P148" s="140">
        <f t="shared" si="32"/>
        <v>0</v>
      </c>
      <c r="Q148" s="140">
        <v>0</v>
      </c>
      <c r="R148" s="137">
        <f t="shared" si="33"/>
        <v>0</v>
      </c>
      <c r="S148" s="141">
        <f t="shared" si="34"/>
        <v>0</v>
      </c>
      <c r="T148" s="137">
        <f t="shared" si="35"/>
        <v>0</v>
      </c>
      <c r="U148" s="137">
        <f>ROUND(VERİLER!$F$9*T148,3)</f>
        <v>0</v>
      </c>
      <c r="V148" s="336">
        <f t="shared" si="36"/>
        <v>0</v>
      </c>
      <c r="W148" s="113"/>
      <c r="X148" s="113"/>
      <c r="Y148" s="113"/>
    </row>
    <row r="149" spans="1:25" s="143" customFormat="1" ht="15" customHeight="1" x14ac:dyDescent="0.2">
      <c r="A149" s="299" t="str">
        <f>IF('İşçi Bilgileri'!A147="","",'İşçi Bilgileri'!A147)</f>
        <v/>
      </c>
      <c r="B149" s="300" t="str">
        <f>IF($A149="","",VLOOKUP($A149,'İşçi Bilgileri'!$A$2:$D$700,4,FALSE))</f>
        <v/>
      </c>
      <c r="C149" s="301" t="str">
        <f>CONCATENATE(IF($A149="","",VLOOKUP($A149,'İşçi Bilgileri'!$A$2:$D$700,2,FALSE))," ",IF($A149="","",VLOOKUP($A149,'İşçi Bilgileri'!$A$2:$D$700,3,FALSE)))</f>
        <v xml:space="preserve"> </v>
      </c>
      <c r="D149" s="137" t="str">
        <f>IF($A149="","",VERİLER!$C$5)</f>
        <v/>
      </c>
      <c r="E149" s="138" t="str">
        <f>IF($A149="","",Puantaj!AJ154)</f>
        <v/>
      </c>
      <c r="F149" s="137">
        <f t="shared" si="25"/>
        <v>0</v>
      </c>
      <c r="G149" s="137"/>
      <c r="H149" s="137">
        <f t="shared" si="26"/>
        <v>0</v>
      </c>
      <c r="I149" s="137">
        <f t="shared" si="27"/>
        <v>0</v>
      </c>
      <c r="J149" s="137">
        <f>IF(F149&gt;VERİLER!$C$7,'İşçi Bilgileri'!M147+(F149-VERİLER!$C$7),0)</f>
        <v>0</v>
      </c>
      <c r="K149" s="137">
        <f>IF(VERİLER!$C$11&gt;0,ROUND(J149*0.15,2),0)</f>
        <v>0</v>
      </c>
      <c r="L149" s="359">
        <f t="shared" si="28"/>
        <v>0</v>
      </c>
      <c r="M149" s="139">
        <f t="shared" si="29"/>
        <v>0</v>
      </c>
      <c r="N149" s="137">
        <f t="shared" si="30"/>
        <v>0</v>
      </c>
      <c r="O149" s="359">
        <f t="shared" si="31"/>
        <v>0</v>
      </c>
      <c r="P149" s="140">
        <f t="shared" si="32"/>
        <v>0</v>
      </c>
      <c r="Q149" s="140">
        <v>0</v>
      </c>
      <c r="R149" s="137">
        <f t="shared" si="33"/>
        <v>0</v>
      </c>
      <c r="S149" s="141">
        <f t="shared" si="34"/>
        <v>0</v>
      </c>
      <c r="T149" s="137">
        <f t="shared" si="35"/>
        <v>0</v>
      </c>
      <c r="U149" s="137">
        <f>ROUND(VERİLER!$F$9*T149,3)</f>
        <v>0</v>
      </c>
      <c r="V149" s="336">
        <f t="shared" si="36"/>
        <v>0</v>
      </c>
      <c r="W149" s="113"/>
      <c r="X149" s="113"/>
      <c r="Y149" s="113"/>
    </row>
    <row r="150" spans="1:25" s="143" customFormat="1" ht="15" customHeight="1" x14ac:dyDescent="0.2">
      <c r="A150" s="299" t="str">
        <f>IF('İşçi Bilgileri'!A148="","",'İşçi Bilgileri'!A148)</f>
        <v/>
      </c>
      <c r="B150" s="300" t="str">
        <f>IF($A150="","",VLOOKUP($A150,'İşçi Bilgileri'!$A$2:$D$700,4,FALSE))</f>
        <v/>
      </c>
      <c r="C150" s="301" t="str">
        <f>CONCATENATE(IF($A150="","",VLOOKUP($A150,'İşçi Bilgileri'!$A$2:$D$700,2,FALSE))," ",IF($A150="","",VLOOKUP($A150,'İşçi Bilgileri'!$A$2:$D$700,3,FALSE)))</f>
        <v xml:space="preserve"> </v>
      </c>
      <c r="D150" s="137" t="str">
        <f>IF($A150="","",VERİLER!$C$5)</f>
        <v/>
      </c>
      <c r="E150" s="138" t="str">
        <f>IF($A150="","",Puantaj!AJ155)</f>
        <v/>
      </c>
      <c r="F150" s="137">
        <f t="shared" si="25"/>
        <v>0</v>
      </c>
      <c r="G150" s="137"/>
      <c r="H150" s="137">
        <f t="shared" si="26"/>
        <v>0</v>
      </c>
      <c r="I150" s="137">
        <f t="shared" si="27"/>
        <v>0</v>
      </c>
      <c r="J150" s="137">
        <f>IF(F150&gt;VERİLER!$C$7,'İşçi Bilgileri'!M148+(F150-VERİLER!$C$7),0)</f>
        <v>0</v>
      </c>
      <c r="K150" s="137">
        <f>IF(VERİLER!$C$11&gt;0,ROUND(J150*0.15,2),0)</f>
        <v>0</v>
      </c>
      <c r="L150" s="359">
        <f t="shared" si="28"/>
        <v>0</v>
      </c>
      <c r="M150" s="139">
        <f t="shared" si="29"/>
        <v>0</v>
      </c>
      <c r="N150" s="137">
        <f t="shared" si="30"/>
        <v>0</v>
      </c>
      <c r="O150" s="359">
        <f t="shared" si="31"/>
        <v>0</v>
      </c>
      <c r="P150" s="140">
        <f t="shared" si="32"/>
        <v>0</v>
      </c>
      <c r="Q150" s="140">
        <v>0</v>
      </c>
      <c r="R150" s="137">
        <f t="shared" si="33"/>
        <v>0</v>
      </c>
      <c r="S150" s="141">
        <f t="shared" si="34"/>
        <v>0</v>
      </c>
      <c r="T150" s="137">
        <f t="shared" si="35"/>
        <v>0</v>
      </c>
      <c r="U150" s="137">
        <f>ROUND(VERİLER!$F$9*T150,3)</f>
        <v>0</v>
      </c>
      <c r="V150" s="336">
        <f t="shared" si="36"/>
        <v>0</v>
      </c>
      <c r="W150" s="113"/>
      <c r="X150" s="113"/>
      <c r="Y150" s="113"/>
    </row>
    <row r="151" spans="1:25" s="143" customFormat="1" ht="15" customHeight="1" x14ac:dyDescent="0.2">
      <c r="A151" s="299" t="str">
        <f>IF('İşçi Bilgileri'!A149="","",'İşçi Bilgileri'!A149)</f>
        <v/>
      </c>
      <c r="B151" s="300" t="str">
        <f>IF($A151="","",VLOOKUP($A151,'İşçi Bilgileri'!$A$2:$D$700,4,FALSE))</f>
        <v/>
      </c>
      <c r="C151" s="301" t="str">
        <f>CONCATENATE(IF($A151="","",VLOOKUP($A151,'İşçi Bilgileri'!$A$2:$D$700,2,FALSE))," ",IF($A151="","",VLOOKUP($A151,'İşçi Bilgileri'!$A$2:$D$700,3,FALSE)))</f>
        <v xml:space="preserve"> </v>
      </c>
      <c r="D151" s="137" t="str">
        <f>IF($A151="","",VERİLER!$C$5)</f>
        <v/>
      </c>
      <c r="E151" s="138" t="str">
        <f>IF($A151="","",Puantaj!AJ156)</f>
        <v/>
      </c>
      <c r="F151" s="137">
        <f t="shared" si="25"/>
        <v>0</v>
      </c>
      <c r="G151" s="137"/>
      <c r="H151" s="137">
        <f t="shared" si="26"/>
        <v>0</v>
      </c>
      <c r="I151" s="137">
        <f t="shared" si="27"/>
        <v>0</v>
      </c>
      <c r="J151" s="137">
        <f>IF(F151&gt;VERİLER!$C$7,'İşçi Bilgileri'!M149+(F151-VERİLER!$C$7),0)</f>
        <v>0</v>
      </c>
      <c r="K151" s="137">
        <f>IF(VERİLER!$C$11&gt;0,ROUND(J151*0.15,2),0)</f>
        <v>0</v>
      </c>
      <c r="L151" s="359">
        <f t="shared" si="28"/>
        <v>0</v>
      </c>
      <c r="M151" s="139">
        <f t="shared" si="29"/>
        <v>0</v>
      </c>
      <c r="N151" s="137">
        <f t="shared" si="30"/>
        <v>0</v>
      </c>
      <c r="O151" s="359">
        <f t="shared" si="31"/>
        <v>0</v>
      </c>
      <c r="P151" s="140">
        <f t="shared" si="32"/>
        <v>0</v>
      </c>
      <c r="Q151" s="140">
        <v>0</v>
      </c>
      <c r="R151" s="137">
        <f t="shared" si="33"/>
        <v>0</v>
      </c>
      <c r="S151" s="141">
        <f t="shared" si="34"/>
        <v>0</v>
      </c>
      <c r="T151" s="137">
        <f t="shared" si="35"/>
        <v>0</v>
      </c>
      <c r="U151" s="137">
        <f>ROUND(VERİLER!$F$9*T151,3)</f>
        <v>0</v>
      </c>
      <c r="V151" s="336">
        <f t="shared" si="36"/>
        <v>0</v>
      </c>
      <c r="W151" s="113"/>
      <c r="X151" s="113"/>
      <c r="Y151" s="113"/>
    </row>
    <row r="152" spans="1:25" s="143" customFormat="1" ht="11.25" customHeight="1" x14ac:dyDescent="0.2">
      <c r="A152" s="299" t="str">
        <f>IF('İşçi Bilgileri'!A150="","",'İşçi Bilgileri'!A150)</f>
        <v/>
      </c>
      <c r="B152" s="300" t="str">
        <f>IF($A152="","",VLOOKUP($A152,'İşçi Bilgileri'!$A$2:$D$700,4,FALSE))</f>
        <v/>
      </c>
      <c r="C152" s="301" t="str">
        <f>CONCATENATE(IF($A152="","",VLOOKUP($A152,'İşçi Bilgileri'!$A$2:$D$700,2,FALSE))," ",IF($A152="","",VLOOKUP($A152,'İşçi Bilgileri'!$A$2:$D$700,3,FALSE)))</f>
        <v xml:space="preserve"> </v>
      </c>
      <c r="D152" s="137" t="str">
        <f>IF($A152="","",VERİLER!$C$5)</f>
        <v/>
      </c>
      <c r="E152" s="138" t="str">
        <f>IF($A152="","",Puantaj!AJ157)</f>
        <v/>
      </c>
      <c r="F152" s="137">
        <f t="shared" si="25"/>
        <v>0</v>
      </c>
      <c r="G152" s="137"/>
      <c r="H152" s="137">
        <f t="shared" si="26"/>
        <v>0</v>
      </c>
      <c r="I152" s="137">
        <f t="shared" si="27"/>
        <v>0</v>
      </c>
      <c r="J152" s="137">
        <f>IF(F152&gt;VERİLER!$C$7,'İşçi Bilgileri'!M150+(F152-VERİLER!$C$7),0)</f>
        <v>0</v>
      </c>
      <c r="K152" s="137">
        <f>IF(VERİLER!$C$11&gt;0,ROUND(J152*0.15,2),0)</f>
        <v>0</v>
      </c>
      <c r="L152" s="359">
        <f t="shared" si="28"/>
        <v>0</v>
      </c>
      <c r="M152" s="139">
        <f t="shared" si="29"/>
        <v>0</v>
      </c>
      <c r="N152" s="137">
        <f t="shared" si="30"/>
        <v>0</v>
      </c>
      <c r="O152" s="359">
        <f t="shared" si="31"/>
        <v>0</v>
      </c>
      <c r="P152" s="140">
        <f t="shared" si="32"/>
        <v>0</v>
      </c>
      <c r="Q152" s="140">
        <v>0</v>
      </c>
      <c r="R152" s="137">
        <f t="shared" si="33"/>
        <v>0</v>
      </c>
      <c r="S152" s="141">
        <f t="shared" si="34"/>
        <v>0</v>
      </c>
      <c r="T152" s="137">
        <f t="shared" si="35"/>
        <v>0</v>
      </c>
      <c r="U152" s="137">
        <f>ROUND(VERİLER!$F$9*T152,3)</f>
        <v>0</v>
      </c>
      <c r="V152" s="336">
        <f t="shared" si="36"/>
        <v>0</v>
      </c>
      <c r="W152" s="113"/>
      <c r="X152" s="113"/>
      <c r="Y152" s="113"/>
    </row>
    <row r="153" spans="1:25" s="143" customFormat="1" ht="15" customHeight="1" x14ac:dyDescent="0.2">
      <c r="A153" s="299" t="str">
        <f>IF('İşçi Bilgileri'!A151="","",'İşçi Bilgileri'!A151)</f>
        <v/>
      </c>
      <c r="B153" s="300" t="str">
        <f>IF($A153="","",VLOOKUP($A153,'İşçi Bilgileri'!$A$2:$D$700,4,FALSE))</f>
        <v/>
      </c>
      <c r="C153" s="301" t="str">
        <f>CONCATENATE(IF($A153="","",VLOOKUP($A153,'İşçi Bilgileri'!$A$2:$D$700,2,FALSE))," ",IF($A153="","",VLOOKUP($A153,'İşçi Bilgileri'!$A$2:$D$700,3,FALSE)))</f>
        <v xml:space="preserve"> </v>
      </c>
      <c r="D153" s="137" t="str">
        <f>IF($A153="","",VERİLER!$C$5)</f>
        <v/>
      </c>
      <c r="E153" s="138" t="str">
        <f>IF($A153="","",Puantaj!AJ158)</f>
        <v/>
      </c>
      <c r="F153" s="137">
        <f t="shared" si="25"/>
        <v>0</v>
      </c>
      <c r="G153" s="137"/>
      <c r="H153" s="137">
        <f t="shared" si="26"/>
        <v>0</v>
      </c>
      <c r="I153" s="137">
        <f t="shared" si="27"/>
        <v>0</v>
      </c>
      <c r="J153" s="137">
        <f>IF(F153&gt;VERİLER!$C$7,'İşçi Bilgileri'!M151+(F153-VERİLER!$C$7),0)</f>
        <v>0</v>
      </c>
      <c r="K153" s="137">
        <f>IF(VERİLER!$C$11&gt;0,ROUND(J153*0.15,2),0)</f>
        <v>0</v>
      </c>
      <c r="L153" s="359">
        <f t="shared" si="28"/>
        <v>0</v>
      </c>
      <c r="M153" s="139">
        <f t="shared" si="29"/>
        <v>0</v>
      </c>
      <c r="N153" s="137">
        <f t="shared" si="30"/>
        <v>0</v>
      </c>
      <c r="O153" s="359">
        <f t="shared" si="31"/>
        <v>0</v>
      </c>
      <c r="P153" s="140">
        <f t="shared" si="32"/>
        <v>0</v>
      </c>
      <c r="Q153" s="140">
        <v>0</v>
      </c>
      <c r="R153" s="137">
        <f t="shared" si="33"/>
        <v>0</v>
      </c>
      <c r="S153" s="141">
        <f t="shared" si="34"/>
        <v>0</v>
      </c>
      <c r="T153" s="137">
        <f t="shared" si="35"/>
        <v>0</v>
      </c>
      <c r="U153" s="137">
        <f>ROUND(VERİLER!$F$9*T153,3)</f>
        <v>0</v>
      </c>
      <c r="V153" s="336">
        <f t="shared" si="36"/>
        <v>0</v>
      </c>
      <c r="W153" s="113"/>
      <c r="X153" s="113"/>
      <c r="Y153" s="113"/>
    </row>
    <row r="154" spans="1:25" s="143" customFormat="1" ht="15" customHeight="1" x14ac:dyDescent="0.2">
      <c r="A154" s="299" t="str">
        <f>IF('İşçi Bilgileri'!A152="","",'İşçi Bilgileri'!A152)</f>
        <v/>
      </c>
      <c r="B154" s="300" t="str">
        <f>IF($A154="","",VLOOKUP($A154,'İşçi Bilgileri'!$A$2:$D$700,4,FALSE))</f>
        <v/>
      </c>
      <c r="C154" s="301" t="str">
        <f>CONCATENATE(IF($A154="","",VLOOKUP($A154,'İşçi Bilgileri'!$A$2:$D$700,2,FALSE))," ",IF($A154="","",VLOOKUP($A154,'İşçi Bilgileri'!$A$2:$D$700,3,FALSE)))</f>
        <v xml:space="preserve"> </v>
      </c>
      <c r="D154" s="137" t="str">
        <f>IF($A154="","",VERİLER!$C$5)</f>
        <v/>
      </c>
      <c r="E154" s="138" t="str">
        <f>IF($A154="","",Puantaj!AJ159)</f>
        <v/>
      </c>
      <c r="F154" s="137">
        <f t="shared" si="25"/>
        <v>0</v>
      </c>
      <c r="G154" s="137"/>
      <c r="H154" s="137">
        <f t="shared" si="26"/>
        <v>0</v>
      </c>
      <c r="I154" s="137">
        <f t="shared" si="27"/>
        <v>0</v>
      </c>
      <c r="J154" s="137">
        <f>IF(F154&gt;VERİLER!$C$7,'İşçi Bilgileri'!M152+(F154-VERİLER!$C$7),0)</f>
        <v>0</v>
      </c>
      <c r="K154" s="137">
        <f>IF(VERİLER!$C$11&gt;0,ROUND(J154*0.15,2),0)</f>
        <v>0</v>
      </c>
      <c r="L154" s="359">
        <f t="shared" si="28"/>
        <v>0</v>
      </c>
      <c r="M154" s="139">
        <f t="shared" si="29"/>
        <v>0</v>
      </c>
      <c r="N154" s="137">
        <f t="shared" si="30"/>
        <v>0</v>
      </c>
      <c r="O154" s="359">
        <f t="shared" si="31"/>
        <v>0</v>
      </c>
      <c r="P154" s="140">
        <f t="shared" si="32"/>
        <v>0</v>
      </c>
      <c r="Q154" s="140">
        <v>0</v>
      </c>
      <c r="R154" s="137">
        <f t="shared" si="33"/>
        <v>0</v>
      </c>
      <c r="S154" s="141">
        <f t="shared" si="34"/>
        <v>0</v>
      </c>
      <c r="T154" s="137">
        <f t="shared" si="35"/>
        <v>0</v>
      </c>
      <c r="U154" s="137">
        <f>ROUND(VERİLER!$F$9*T154,3)</f>
        <v>0</v>
      </c>
      <c r="V154" s="336">
        <f t="shared" si="36"/>
        <v>0</v>
      </c>
      <c r="W154" s="113"/>
      <c r="X154" s="113"/>
      <c r="Y154" s="113"/>
    </row>
    <row r="155" spans="1:25" s="143" customFormat="1" ht="15" customHeight="1" x14ac:dyDescent="0.2">
      <c r="A155" s="299" t="str">
        <f>IF('İşçi Bilgileri'!A153="","",'İşçi Bilgileri'!A153)</f>
        <v/>
      </c>
      <c r="B155" s="300" t="str">
        <f>IF($A155="","",VLOOKUP($A155,'İşçi Bilgileri'!$A$2:$D$700,4,FALSE))</f>
        <v/>
      </c>
      <c r="C155" s="301" t="str">
        <f>CONCATENATE(IF($A155="","",VLOOKUP($A155,'İşçi Bilgileri'!$A$2:$D$700,2,FALSE))," ",IF($A155="","",VLOOKUP($A155,'İşçi Bilgileri'!$A$2:$D$700,3,FALSE)))</f>
        <v xml:space="preserve"> </v>
      </c>
      <c r="D155" s="137" t="str">
        <f>IF($A155="","",VERİLER!$C$5)</f>
        <v/>
      </c>
      <c r="E155" s="138" t="str">
        <f>IF($A155="","",Puantaj!AJ160)</f>
        <v/>
      </c>
      <c r="F155" s="137">
        <f t="shared" si="25"/>
        <v>0</v>
      </c>
      <c r="G155" s="137"/>
      <c r="H155" s="137">
        <f t="shared" si="26"/>
        <v>0</v>
      </c>
      <c r="I155" s="137">
        <f t="shared" si="27"/>
        <v>0</v>
      </c>
      <c r="J155" s="137">
        <f>IF(F155&gt;VERİLER!$C$7,'İşçi Bilgileri'!M153+(F155-VERİLER!$C$7),0)</f>
        <v>0</v>
      </c>
      <c r="K155" s="137">
        <f>IF(VERİLER!$C$11&gt;0,ROUND(J155*0.15,2),0)</f>
        <v>0</v>
      </c>
      <c r="L155" s="359">
        <f t="shared" si="28"/>
        <v>0</v>
      </c>
      <c r="M155" s="139">
        <f t="shared" si="29"/>
        <v>0</v>
      </c>
      <c r="N155" s="137">
        <f t="shared" si="30"/>
        <v>0</v>
      </c>
      <c r="O155" s="359">
        <f t="shared" si="31"/>
        <v>0</v>
      </c>
      <c r="P155" s="140">
        <f t="shared" si="32"/>
        <v>0</v>
      </c>
      <c r="Q155" s="140">
        <v>0</v>
      </c>
      <c r="R155" s="137">
        <f t="shared" si="33"/>
        <v>0</v>
      </c>
      <c r="S155" s="141">
        <f t="shared" si="34"/>
        <v>0</v>
      </c>
      <c r="T155" s="137">
        <f t="shared" si="35"/>
        <v>0</v>
      </c>
      <c r="U155" s="137">
        <f>ROUND(VERİLER!$F$9*T155,3)</f>
        <v>0</v>
      </c>
      <c r="V155" s="336">
        <f t="shared" si="36"/>
        <v>0</v>
      </c>
      <c r="W155" s="113"/>
      <c r="X155" s="113"/>
      <c r="Y155" s="113"/>
    </row>
    <row r="156" spans="1:25" s="143" customFormat="1" ht="15" customHeight="1" x14ac:dyDescent="0.2">
      <c r="A156" s="299" t="str">
        <f>IF('İşçi Bilgileri'!A154="","",'İşçi Bilgileri'!A154)</f>
        <v/>
      </c>
      <c r="B156" s="300" t="str">
        <f>IF($A156="","",VLOOKUP($A156,'İşçi Bilgileri'!$A$2:$D$700,4,FALSE))</f>
        <v/>
      </c>
      <c r="C156" s="301" t="str">
        <f>CONCATENATE(IF($A156="","",VLOOKUP($A156,'İşçi Bilgileri'!$A$2:$D$700,2,FALSE))," ",IF($A156="","",VLOOKUP($A156,'İşçi Bilgileri'!$A$2:$D$700,3,FALSE)))</f>
        <v xml:space="preserve"> </v>
      </c>
      <c r="D156" s="137" t="str">
        <f>IF($A156="","",VERİLER!$C$5)</f>
        <v/>
      </c>
      <c r="E156" s="138" t="str">
        <f>IF($A156="","",Puantaj!AJ161)</f>
        <v/>
      </c>
      <c r="F156" s="137">
        <f t="shared" si="25"/>
        <v>0</v>
      </c>
      <c r="G156" s="137"/>
      <c r="H156" s="137">
        <f t="shared" si="26"/>
        <v>0</v>
      </c>
      <c r="I156" s="137">
        <f t="shared" si="27"/>
        <v>0</v>
      </c>
      <c r="J156" s="137">
        <f>IF(F156&gt;VERİLER!$C$7,'İşçi Bilgileri'!M154+(F156-VERİLER!$C$7),0)</f>
        <v>0</v>
      </c>
      <c r="K156" s="137">
        <f>IF(VERİLER!$C$11&gt;0,ROUND(J156*0.15,2),0)</f>
        <v>0</v>
      </c>
      <c r="L156" s="359">
        <f t="shared" si="28"/>
        <v>0</v>
      </c>
      <c r="M156" s="139">
        <f t="shared" si="29"/>
        <v>0</v>
      </c>
      <c r="N156" s="137">
        <f t="shared" si="30"/>
        <v>0</v>
      </c>
      <c r="O156" s="359">
        <f t="shared" si="31"/>
        <v>0</v>
      </c>
      <c r="P156" s="140">
        <f t="shared" si="32"/>
        <v>0</v>
      </c>
      <c r="Q156" s="140">
        <v>0</v>
      </c>
      <c r="R156" s="137">
        <f t="shared" si="33"/>
        <v>0</v>
      </c>
      <c r="S156" s="141">
        <f t="shared" si="34"/>
        <v>0</v>
      </c>
      <c r="T156" s="137">
        <f t="shared" si="35"/>
        <v>0</v>
      </c>
      <c r="U156" s="137">
        <f>ROUND(VERİLER!$F$9*T156,3)</f>
        <v>0</v>
      </c>
      <c r="V156" s="336">
        <f t="shared" si="36"/>
        <v>0</v>
      </c>
      <c r="W156" s="113"/>
      <c r="X156" s="113"/>
      <c r="Y156" s="113"/>
    </row>
    <row r="157" spans="1:25" s="143" customFormat="1" ht="15" customHeight="1" x14ac:dyDescent="0.2">
      <c r="A157" s="299" t="str">
        <f>IF('İşçi Bilgileri'!A155="","",'İşçi Bilgileri'!A155)</f>
        <v/>
      </c>
      <c r="B157" s="300" t="str">
        <f>IF($A157="","",VLOOKUP($A157,'İşçi Bilgileri'!$A$2:$D$700,4,FALSE))</f>
        <v/>
      </c>
      <c r="C157" s="301" t="str">
        <f>CONCATENATE(IF($A157="","",VLOOKUP($A157,'İşçi Bilgileri'!$A$2:$D$700,2,FALSE))," ",IF($A157="","",VLOOKUP($A157,'İşçi Bilgileri'!$A$2:$D$700,3,FALSE)))</f>
        <v xml:space="preserve"> </v>
      </c>
      <c r="D157" s="137" t="str">
        <f>IF($A157="","",VERİLER!$C$5)</f>
        <v/>
      </c>
      <c r="E157" s="138" t="str">
        <f>IF($A157="","",Puantaj!AJ162)</f>
        <v/>
      </c>
      <c r="F157" s="137">
        <f t="shared" si="25"/>
        <v>0</v>
      </c>
      <c r="G157" s="137"/>
      <c r="H157" s="137">
        <f t="shared" si="26"/>
        <v>0</v>
      </c>
      <c r="I157" s="137">
        <f t="shared" si="27"/>
        <v>0</v>
      </c>
      <c r="J157" s="137">
        <f>IF(F157&gt;VERİLER!$C$7,'İşçi Bilgileri'!M155+(F157-VERİLER!$C$7),0)</f>
        <v>0</v>
      </c>
      <c r="K157" s="137">
        <f>IF(VERİLER!$C$11&gt;0,ROUND(J157*0.15,2),0)</f>
        <v>0</v>
      </c>
      <c r="L157" s="359">
        <f t="shared" si="28"/>
        <v>0</v>
      </c>
      <c r="M157" s="139">
        <f t="shared" si="29"/>
        <v>0</v>
      </c>
      <c r="N157" s="137">
        <f t="shared" si="30"/>
        <v>0</v>
      </c>
      <c r="O157" s="359">
        <f t="shared" si="31"/>
        <v>0</v>
      </c>
      <c r="P157" s="140">
        <f t="shared" si="32"/>
        <v>0</v>
      </c>
      <c r="Q157" s="140">
        <v>0</v>
      </c>
      <c r="R157" s="137">
        <f t="shared" si="33"/>
        <v>0</v>
      </c>
      <c r="S157" s="141">
        <f t="shared" si="34"/>
        <v>0</v>
      </c>
      <c r="T157" s="137">
        <f t="shared" si="35"/>
        <v>0</v>
      </c>
      <c r="U157" s="137">
        <f>ROUND(VERİLER!$F$9*T157,3)</f>
        <v>0</v>
      </c>
      <c r="V157" s="336">
        <f t="shared" si="36"/>
        <v>0</v>
      </c>
      <c r="W157" s="113"/>
      <c r="X157" s="113"/>
      <c r="Y157" s="113"/>
    </row>
    <row r="158" spans="1:25" s="143" customFormat="1" ht="15" customHeight="1" x14ac:dyDescent="0.2">
      <c r="A158" s="299" t="str">
        <f>IF('İşçi Bilgileri'!A156="","",'İşçi Bilgileri'!A156)</f>
        <v/>
      </c>
      <c r="B158" s="300" t="str">
        <f>IF($A158="","",VLOOKUP($A158,'İşçi Bilgileri'!$A$2:$D$700,4,FALSE))</f>
        <v/>
      </c>
      <c r="C158" s="301" t="str">
        <f>CONCATENATE(IF($A158="","",VLOOKUP($A158,'İşçi Bilgileri'!$A$2:$D$700,2,FALSE))," ",IF($A158="","",VLOOKUP($A158,'İşçi Bilgileri'!$A$2:$D$700,3,FALSE)))</f>
        <v xml:space="preserve"> </v>
      </c>
      <c r="D158" s="137" t="str">
        <f>IF($A158="","",VERİLER!$C$5)</f>
        <v/>
      </c>
      <c r="E158" s="138" t="str">
        <f>IF($A158="","",Puantaj!AJ163)</f>
        <v/>
      </c>
      <c r="F158" s="137">
        <f t="shared" si="25"/>
        <v>0</v>
      </c>
      <c r="G158" s="137"/>
      <c r="H158" s="137">
        <f t="shared" si="26"/>
        <v>0</v>
      </c>
      <c r="I158" s="137">
        <f t="shared" si="27"/>
        <v>0</v>
      </c>
      <c r="J158" s="137">
        <f>IF(F158&gt;VERİLER!$C$7,'İşçi Bilgileri'!M156+(F158-VERİLER!$C$7),0)</f>
        <v>0</v>
      </c>
      <c r="K158" s="137">
        <f>IF(VERİLER!$C$11&gt;0,ROUND(J158*0.15,2),0)</f>
        <v>0</v>
      </c>
      <c r="L158" s="359">
        <f t="shared" si="28"/>
        <v>0</v>
      </c>
      <c r="M158" s="139">
        <f t="shared" si="29"/>
        <v>0</v>
      </c>
      <c r="N158" s="137">
        <f t="shared" si="30"/>
        <v>0</v>
      </c>
      <c r="O158" s="359">
        <f t="shared" si="31"/>
        <v>0</v>
      </c>
      <c r="P158" s="140">
        <f t="shared" si="32"/>
        <v>0</v>
      </c>
      <c r="Q158" s="140">
        <v>0</v>
      </c>
      <c r="R158" s="137">
        <f t="shared" si="33"/>
        <v>0</v>
      </c>
      <c r="S158" s="141">
        <f t="shared" si="34"/>
        <v>0</v>
      </c>
      <c r="T158" s="137">
        <f t="shared" si="35"/>
        <v>0</v>
      </c>
      <c r="U158" s="137">
        <f>ROUND(VERİLER!$F$9*T158,3)</f>
        <v>0</v>
      </c>
      <c r="V158" s="336">
        <f t="shared" si="36"/>
        <v>0</v>
      </c>
      <c r="W158" s="113"/>
      <c r="X158" s="113"/>
      <c r="Y158" s="113"/>
    </row>
    <row r="159" spans="1:25" s="143" customFormat="1" ht="15" customHeight="1" x14ac:dyDescent="0.2">
      <c r="A159" s="299" t="str">
        <f>IF('İşçi Bilgileri'!A157="","",'İşçi Bilgileri'!A157)</f>
        <v/>
      </c>
      <c r="B159" s="300" t="str">
        <f>IF($A159="","",VLOOKUP($A159,'İşçi Bilgileri'!$A$2:$D$700,4,FALSE))</f>
        <v/>
      </c>
      <c r="C159" s="301" t="str">
        <f>CONCATENATE(IF($A159="","",VLOOKUP($A159,'İşçi Bilgileri'!$A$2:$D$700,2,FALSE))," ",IF($A159="","",VLOOKUP($A159,'İşçi Bilgileri'!$A$2:$D$700,3,FALSE)))</f>
        <v xml:space="preserve"> </v>
      </c>
      <c r="D159" s="137" t="str">
        <f>IF($A159="","",VERİLER!$C$5)</f>
        <v/>
      </c>
      <c r="E159" s="138" t="str">
        <f>IF($A159="","",Puantaj!AJ164)</f>
        <v/>
      </c>
      <c r="F159" s="137">
        <f t="shared" si="25"/>
        <v>0</v>
      </c>
      <c r="G159" s="137"/>
      <c r="H159" s="137">
        <f t="shared" si="26"/>
        <v>0</v>
      </c>
      <c r="I159" s="137">
        <f t="shared" si="27"/>
        <v>0</v>
      </c>
      <c r="J159" s="137">
        <f>IF(F159&gt;VERİLER!$C$7,'İşçi Bilgileri'!M157+(F159-VERİLER!$C$7),0)</f>
        <v>0</v>
      </c>
      <c r="K159" s="137">
        <f>IF(VERİLER!$C$11&gt;0,ROUND(J159*0.15,2),0)</f>
        <v>0</v>
      </c>
      <c r="L159" s="359">
        <f t="shared" si="28"/>
        <v>0</v>
      </c>
      <c r="M159" s="139">
        <f t="shared" si="29"/>
        <v>0</v>
      </c>
      <c r="N159" s="137">
        <f t="shared" si="30"/>
        <v>0</v>
      </c>
      <c r="O159" s="359">
        <f t="shared" si="31"/>
        <v>0</v>
      </c>
      <c r="P159" s="140">
        <f t="shared" si="32"/>
        <v>0</v>
      </c>
      <c r="Q159" s="140">
        <v>0</v>
      </c>
      <c r="R159" s="137">
        <f t="shared" si="33"/>
        <v>0</v>
      </c>
      <c r="S159" s="141">
        <f t="shared" si="34"/>
        <v>0</v>
      </c>
      <c r="T159" s="137">
        <f t="shared" si="35"/>
        <v>0</v>
      </c>
      <c r="U159" s="137">
        <f>ROUND(VERİLER!$F$9*T159,3)</f>
        <v>0</v>
      </c>
      <c r="V159" s="336">
        <f t="shared" si="36"/>
        <v>0</v>
      </c>
      <c r="W159" s="113"/>
      <c r="X159" s="113"/>
      <c r="Y159" s="113"/>
    </row>
    <row r="160" spans="1:25" s="143" customFormat="1" ht="15" customHeight="1" x14ac:dyDescent="0.2">
      <c r="A160" s="299" t="str">
        <f>IF('İşçi Bilgileri'!A158="","",'İşçi Bilgileri'!A158)</f>
        <v/>
      </c>
      <c r="B160" s="300" t="str">
        <f>IF($A160="","",VLOOKUP($A160,'İşçi Bilgileri'!$A$2:$D$700,4,FALSE))</f>
        <v/>
      </c>
      <c r="C160" s="301" t="str">
        <f>CONCATENATE(IF($A160="","",VLOOKUP($A160,'İşçi Bilgileri'!$A$2:$D$700,2,FALSE))," ",IF($A160="","",VLOOKUP($A160,'İşçi Bilgileri'!$A$2:$D$700,3,FALSE)))</f>
        <v xml:space="preserve"> </v>
      </c>
      <c r="D160" s="137" t="str">
        <f>IF($A160="","",VERİLER!$C$5)</f>
        <v/>
      </c>
      <c r="E160" s="138" t="str">
        <f>IF($A160="","",Puantaj!AJ165)</f>
        <v/>
      </c>
      <c r="F160" s="137">
        <f t="shared" si="25"/>
        <v>0</v>
      </c>
      <c r="G160" s="137"/>
      <c r="H160" s="137">
        <f t="shared" si="26"/>
        <v>0</v>
      </c>
      <c r="I160" s="137">
        <f t="shared" si="27"/>
        <v>0</v>
      </c>
      <c r="J160" s="137">
        <f>IF(F160&gt;VERİLER!$C$7,'İşçi Bilgileri'!M158+(F160-VERİLER!$C$7),0)</f>
        <v>0</v>
      </c>
      <c r="K160" s="137">
        <f>IF(VERİLER!$C$11&gt;0,ROUND(J160*0.15,2),0)</f>
        <v>0</v>
      </c>
      <c r="L160" s="359">
        <f t="shared" si="28"/>
        <v>0</v>
      </c>
      <c r="M160" s="139">
        <f t="shared" si="29"/>
        <v>0</v>
      </c>
      <c r="N160" s="137">
        <f t="shared" si="30"/>
        <v>0</v>
      </c>
      <c r="O160" s="359">
        <f t="shared" si="31"/>
        <v>0</v>
      </c>
      <c r="P160" s="140">
        <f t="shared" si="32"/>
        <v>0</v>
      </c>
      <c r="Q160" s="140">
        <v>0</v>
      </c>
      <c r="R160" s="137">
        <f t="shared" si="33"/>
        <v>0</v>
      </c>
      <c r="S160" s="141">
        <f t="shared" si="34"/>
        <v>0</v>
      </c>
      <c r="T160" s="137">
        <f t="shared" si="35"/>
        <v>0</v>
      </c>
      <c r="U160" s="137">
        <f>ROUND(VERİLER!$F$9*T160,3)</f>
        <v>0</v>
      </c>
      <c r="V160" s="336">
        <f t="shared" si="36"/>
        <v>0</v>
      </c>
      <c r="W160" s="113"/>
      <c r="X160" s="113"/>
      <c r="Y160" s="113"/>
    </row>
    <row r="161" spans="1:25" s="143" customFormat="1" ht="15" customHeight="1" x14ac:dyDescent="0.2">
      <c r="A161" s="299" t="str">
        <f>IF('İşçi Bilgileri'!A159="","",'İşçi Bilgileri'!A159)</f>
        <v/>
      </c>
      <c r="B161" s="300" t="str">
        <f>IF($A161="","",VLOOKUP($A161,'İşçi Bilgileri'!$A$2:$D$700,4,FALSE))</f>
        <v/>
      </c>
      <c r="C161" s="301" t="str">
        <f>CONCATENATE(IF($A161="","",VLOOKUP($A161,'İşçi Bilgileri'!$A$2:$D$700,2,FALSE))," ",IF($A161="","",VLOOKUP($A161,'İşçi Bilgileri'!$A$2:$D$700,3,FALSE)))</f>
        <v xml:space="preserve"> </v>
      </c>
      <c r="D161" s="137" t="str">
        <f>IF($A161="","",VERİLER!$C$5)</f>
        <v/>
      </c>
      <c r="E161" s="138" t="str">
        <f>IF($A161="","",Puantaj!AJ166)</f>
        <v/>
      </c>
      <c r="F161" s="137">
        <f t="shared" si="25"/>
        <v>0</v>
      </c>
      <c r="G161" s="137"/>
      <c r="H161" s="137">
        <f t="shared" si="26"/>
        <v>0</v>
      </c>
      <c r="I161" s="137">
        <f t="shared" si="27"/>
        <v>0</v>
      </c>
      <c r="J161" s="137">
        <f>IF(F161&gt;VERİLER!$C$7,'İşçi Bilgileri'!M159+(F161-VERİLER!$C$7),0)</f>
        <v>0</v>
      </c>
      <c r="K161" s="137">
        <f>IF(VERİLER!$C$11&gt;0,ROUND(J161*0.15,2),0)</f>
        <v>0</v>
      </c>
      <c r="L161" s="359">
        <f t="shared" si="28"/>
        <v>0</v>
      </c>
      <c r="M161" s="139">
        <f t="shared" si="29"/>
        <v>0</v>
      </c>
      <c r="N161" s="137">
        <f t="shared" si="30"/>
        <v>0</v>
      </c>
      <c r="O161" s="359">
        <f t="shared" si="31"/>
        <v>0</v>
      </c>
      <c r="P161" s="140">
        <f t="shared" si="32"/>
        <v>0</v>
      </c>
      <c r="Q161" s="140">
        <v>0</v>
      </c>
      <c r="R161" s="137">
        <f t="shared" si="33"/>
        <v>0</v>
      </c>
      <c r="S161" s="141">
        <f t="shared" si="34"/>
        <v>0</v>
      </c>
      <c r="T161" s="137">
        <f t="shared" si="35"/>
        <v>0</v>
      </c>
      <c r="U161" s="137">
        <f>ROUND(VERİLER!$F$9*T161,3)</f>
        <v>0</v>
      </c>
      <c r="V161" s="336">
        <f t="shared" si="36"/>
        <v>0</v>
      </c>
      <c r="W161" s="113"/>
      <c r="X161" s="113"/>
      <c r="Y161" s="113"/>
    </row>
    <row r="162" spans="1:25" s="143" customFormat="1" ht="15" customHeight="1" x14ac:dyDescent="0.2">
      <c r="A162" s="299" t="str">
        <f>IF('İşçi Bilgileri'!A160="","",'İşçi Bilgileri'!A160)</f>
        <v/>
      </c>
      <c r="B162" s="300" t="str">
        <f>IF($A162="","",VLOOKUP($A162,'İşçi Bilgileri'!$A$2:$D$700,4,FALSE))</f>
        <v/>
      </c>
      <c r="C162" s="301" t="str">
        <f>CONCATENATE(IF($A162="","",VLOOKUP($A162,'İşçi Bilgileri'!$A$2:$D$700,2,FALSE))," ",IF($A162="","",VLOOKUP($A162,'İşçi Bilgileri'!$A$2:$D$700,3,FALSE)))</f>
        <v xml:space="preserve"> </v>
      </c>
      <c r="D162" s="137" t="str">
        <f>IF($A162="","",VERİLER!$C$5)</f>
        <v/>
      </c>
      <c r="E162" s="138" t="str">
        <f>IF($A162="","",Puantaj!AJ167)</f>
        <v/>
      </c>
      <c r="F162" s="137">
        <f t="shared" si="25"/>
        <v>0</v>
      </c>
      <c r="G162" s="137"/>
      <c r="H162" s="137">
        <f t="shared" si="26"/>
        <v>0</v>
      </c>
      <c r="I162" s="137">
        <f t="shared" si="27"/>
        <v>0</v>
      </c>
      <c r="J162" s="137">
        <f>IF(F162&gt;VERİLER!$C$7,'İşçi Bilgileri'!M160+(F162-VERİLER!$C$7),0)</f>
        <v>0</v>
      </c>
      <c r="K162" s="137">
        <f>IF(VERİLER!$C$11&gt;0,ROUND(J162*0.15,2),0)</f>
        <v>0</v>
      </c>
      <c r="L162" s="359">
        <f t="shared" si="28"/>
        <v>0</v>
      </c>
      <c r="M162" s="139">
        <f t="shared" si="29"/>
        <v>0</v>
      </c>
      <c r="N162" s="137">
        <f t="shared" si="30"/>
        <v>0</v>
      </c>
      <c r="O162" s="359">
        <f t="shared" si="31"/>
        <v>0</v>
      </c>
      <c r="P162" s="140">
        <f t="shared" si="32"/>
        <v>0</v>
      </c>
      <c r="Q162" s="140">
        <v>0</v>
      </c>
      <c r="R162" s="137">
        <f t="shared" si="33"/>
        <v>0</v>
      </c>
      <c r="S162" s="141">
        <f t="shared" si="34"/>
        <v>0</v>
      </c>
      <c r="T162" s="137">
        <f t="shared" si="35"/>
        <v>0</v>
      </c>
      <c r="U162" s="137">
        <f>ROUND(VERİLER!$F$9*T162,3)</f>
        <v>0</v>
      </c>
      <c r="V162" s="336">
        <f t="shared" si="36"/>
        <v>0</v>
      </c>
      <c r="W162" s="113"/>
      <c r="X162" s="113"/>
      <c r="Y162" s="113"/>
    </row>
    <row r="163" spans="1:25" s="143" customFormat="1" ht="15" customHeight="1" x14ac:dyDescent="0.2">
      <c r="A163" s="299" t="str">
        <f>IF('İşçi Bilgileri'!A161="","",'İşçi Bilgileri'!A161)</f>
        <v/>
      </c>
      <c r="B163" s="300" t="str">
        <f>IF($A163="","",VLOOKUP($A163,'İşçi Bilgileri'!$A$2:$D$700,4,FALSE))</f>
        <v/>
      </c>
      <c r="C163" s="301" t="str">
        <f>CONCATENATE(IF($A163="","",VLOOKUP($A163,'İşçi Bilgileri'!$A$2:$D$700,2,FALSE))," ",IF($A163="","",VLOOKUP($A163,'İşçi Bilgileri'!$A$2:$D$700,3,FALSE)))</f>
        <v xml:space="preserve"> </v>
      </c>
      <c r="D163" s="137" t="str">
        <f>IF($A163="","",VERİLER!$C$5)</f>
        <v/>
      </c>
      <c r="E163" s="138" t="str">
        <f>IF($A163="","",Puantaj!AJ168)</f>
        <v/>
      </c>
      <c r="F163" s="137">
        <f t="shared" si="25"/>
        <v>0</v>
      </c>
      <c r="G163" s="137"/>
      <c r="H163" s="137">
        <f t="shared" si="26"/>
        <v>0</v>
      </c>
      <c r="I163" s="137">
        <f t="shared" si="27"/>
        <v>0</v>
      </c>
      <c r="J163" s="137">
        <f>IF(F163&gt;VERİLER!$C$7,'İşçi Bilgileri'!M161+(F163-VERİLER!$C$7),0)</f>
        <v>0</v>
      </c>
      <c r="K163" s="137">
        <f>IF(VERİLER!$C$11&gt;0,ROUND(J163*0.15,2),0)</f>
        <v>0</v>
      </c>
      <c r="L163" s="359">
        <f t="shared" si="28"/>
        <v>0</v>
      </c>
      <c r="M163" s="139">
        <f t="shared" si="29"/>
        <v>0</v>
      </c>
      <c r="N163" s="137">
        <f t="shared" si="30"/>
        <v>0</v>
      </c>
      <c r="O163" s="359">
        <f t="shared" si="31"/>
        <v>0</v>
      </c>
      <c r="P163" s="140">
        <f t="shared" si="32"/>
        <v>0</v>
      </c>
      <c r="Q163" s="140">
        <v>0</v>
      </c>
      <c r="R163" s="137">
        <f t="shared" si="33"/>
        <v>0</v>
      </c>
      <c r="S163" s="141">
        <f t="shared" si="34"/>
        <v>0</v>
      </c>
      <c r="T163" s="137">
        <f t="shared" si="35"/>
        <v>0</v>
      </c>
      <c r="U163" s="137">
        <f>ROUND(VERİLER!$F$9*T163,3)</f>
        <v>0</v>
      </c>
      <c r="V163" s="336">
        <f t="shared" si="36"/>
        <v>0</v>
      </c>
      <c r="W163" s="113"/>
      <c r="X163" s="113"/>
      <c r="Y163" s="113"/>
    </row>
    <row r="164" spans="1:25" s="143" customFormat="1" ht="17.25" customHeight="1" x14ac:dyDescent="0.2">
      <c r="A164" s="299" t="str">
        <f>IF('İşçi Bilgileri'!A162="","",'İşçi Bilgileri'!A162)</f>
        <v/>
      </c>
      <c r="B164" s="300" t="str">
        <f>IF($A164="","",VLOOKUP($A164,'İşçi Bilgileri'!$A$2:$D$700,4,FALSE))</f>
        <v/>
      </c>
      <c r="C164" s="301" t="str">
        <f>CONCATENATE(IF($A164="","",VLOOKUP($A164,'İşçi Bilgileri'!$A$2:$D$700,2,FALSE))," ",IF($A164="","",VLOOKUP($A164,'İşçi Bilgileri'!$A$2:$D$700,3,FALSE)))</f>
        <v xml:space="preserve"> </v>
      </c>
      <c r="D164" s="137" t="str">
        <f>IF($A164="","",VERİLER!$C$5)</f>
        <v/>
      </c>
      <c r="E164" s="138" t="str">
        <f>IF($A164="","",Puantaj!AJ169)</f>
        <v/>
      </c>
      <c r="F164" s="137">
        <f t="shared" si="25"/>
        <v>0</v>
      </c>
      <c r="G164" s="137"/>
      <c r="H164" s="137">
        <f t="shared" si="26"/>
        <v>0</v>
      </c>
      <c r="I164" s="137">
        <f t="shared" si="27"/>
        <v>0</v>
      </c>
      <c r="J164" s="137">
        <f>IF(F164&gt;VERİLER!$C$7,'İşçi Bilgileri'!M162+(F164-VERİLER!$C$7),0)</f>
        <v>0</v>
      </c>
      <c r="K164" s="137">
        <f>IF(VERİLER!$C$11&gt;0,ROUND(J164*0.15,2),0)</f>
        <v>0</v>
      </c>
      <c r="L164" s="359">
        <f t="shared" si="28"/>
        <v>0</v>
      </c>
      <c r="M164" s="139">
        <f t="shared" si="29"/>
        <v>0</v>
      </c>
      <c r="N164" s="137">
        <f t="shared" si="30"/>
        <v>0</v>
      </c>
      <c r="O164" s="359">
        <f t="shared" si="31"/>
        <v>0</v>
      </c>
      <c r="P164" s="140">
        <f t="shared" si="32"/>
        <v>0</v>
      </c>
      <c r="Q164" s="140">
        <v>0</v>
      </c>
      <c r="R164" s="137">
        <f t="shared" si="33"/>
        <v>0</v>
      </c>
      <c r="S164" s="141">
        <f t="shared" si="34"/>
        <v>0</v>
      </c>
      <c r="T164" s="137">
        <f t="shared" si="35"/>
        <v>0</v>
      </c>
      <c r="U164" s="137">
        <f>ROUND(VERİLER!$F$9*T164,3)</f>
        <v>0</v>
      </c>
      <c r="V164" s="336">
        <f t="shared" si="36"/>
        <v>0</v>
      </c>
      <c r="W164" s="113"/>
      <c r="X164" s="113"/>
      <c r="Y164" s="113"/>
    </row>
    <row r="165" spans="1:25" s="143" customFormat="1" ht="15" customHeight="1" x14ac:dyDescent="0.2">
      <c r="A165" s="299" t="str">
        <f>IF('İşçi Bilgileri'!A163="","",'İşçi Bilgileri'!A163)</f>
        <v/>
      </c>
      <c r="B165" s="300" t="str">
        <f>IF($A165="","",VLOOKUP($A165,'İşçi Bilgileri'!$A$2:$D$700,4,FALSE))</f>
        <v/>
      </c>
      <c r="C165" s="301" t="str">
        <f>CONCATENATE(IF($A165="","",VLOOKUP($A165,'İşçi Bilgileri'!$A$2:$D$700,2,FALSE))," ",IF($A165="","",VLOOKUP($A165,'İşçi Bilgileri'!$A$2:$D$700,3,FALSE)))</f>
        <v xml:space="preserve"> </v>
      </c>
      <c r="D165" s="137" t="str">
        <f>IF($A165="","",VERİLER!$C$5)</f>
        <v/>
      </c>
      <c r="E165" s="138" t="str">
        <f>IF($A165="","",Puantaj!AJ170)</f>
        <v/>
      </c>
      <c r="F165" s="137">
        <f t="shared" si="25"/>
        <v>0</v>
      </c>
      <c r="G165" s="137"/>
      <c r="H165" s="137">
        <f t="shared" si="26"/>
        <v>0</v>
      </c>
      <c r="I165" s="137">
        <f t="shared" si="27"/>
        <v>0</v>
      </c>
      <c r="J165" s="137">
        <f>IF(F165&gt;VERİLER!$C$7,'İşçi Bilgileri'!M163+(F165-VERİLER!$C$7),0)</f>
        <v>0</v>
      </c>
      <c r="K165" s="137">
        <f>IF(VERİLER!$C$11&gt;0,ROUND(J165*0.15,2),0)</f>
        <v>0</v>
      </c>
      <c r="L165" s="359">
        <f t="shared" si="28"/>
        <v>0</v>
      </c>
      <c r="M165" s="139">
        <f t="shared" si="29"/>
        <v>0</v>
      </c>
      <c r="N165" s="137">
        <f t="shared" si="30"/>
        <v>0</v>
      </c>
      <c r="O165" s="359">
        <f t="shared" si="31"/>
        <v>0</v>
      </c>
      <c r="P165" s="140">
        <f t="shared" si="32"/>
        <v>0</v>
      </c>
      <c r="Q165" s="140">
        <v>0</v>
      </c>
      <c r="R165" s="137">
        <f t="shared" si="33"/>
        <v>0</v>
      </c>
      <c r="S165" s="141">
        <f t="shared" si="34"/>
        <v>0</v>
      </c>
      <c r="T165" s="137">
        <f t="shared" si="35"/>
        <v>0</v>
      </c>
      <c r="U165" s="137">
        <f>ROUND(VERİLER!$F$9*T165,3)</f>
        <v>0</v>
      </c>
      <c r="V165" s="336">
        <f t="shared" si="36"/>
        <v>0</v>
      </c>
      <c r="W165" s="113"/>
      <c r="X165" s="113"/>
      <c r="Y165" s="113"/>
    </row>
    <row r="166" spans="1:25" s="143" customFormat="1" ht="15" customHeight="1" x14ac:dyDescent="0.2">
      <c r="A166" s="299" t="str">
        <f>IF('İşçi Bilgileri'!A164="","",'İşçi Bilgileri'!A164)</f>
        <v/>
      </c>
      <c r="B166" s="300" t="str">
        <f>IF($A166="","",VLOOKUP($A166,'İşçi Bilgileri'!$A$2:$D$700,4,FALSE))</f>
        <v/>
      </c>
      <c r="C166" s="301" t="str">
        <f>CONCATENATE(IF($A166="","",VLOOKUP($A166,'İşçi Bilgileri'!$A$2:$D$700,2,FALSE))," ",IF($A166="","",VLOOKUP($A166,'İşçi Bilgileri'!$A$2:$D$700,3,FALSE)))</f>
        <v xml:space="preserve"> </v>
      </c>
      <c r="D166" s="137" t="str">
        <f>IF($A166="","",VERİLER!$C$5)</f>
        <v/>
      </c>
      <c r="E166" s="138" t="str">
        <f>IF($A166="","",Puantaj!AJ171)</f>
        <v/>
      </c>
      <c r="F166" s="137">
        <f t="shared" si="25"/>
        <v>0</v>
      </c>
      <c r="G166" s="137"/>
      <c r="H166" s="137">
        <f t="shared" si="26"/>
        <v>0</v>
      </c>
      <c r="I166" s="137">
        <f t="shared" si="27"/>
        <v>0</v>
      </c>
      <c r="J166" s="137">
        <f>IF(F166&gt;VERİLER!$C$7,'İşçi Bilgileri'!M164+(F166-VERİLER!$C$7),0)</f>
        <v>0</v>
      </c>
      <c r="K166" s="137">
        <f>IF(VERİLER!$C$11&gt;0,ROUND(J166*0.15,2),0)</f>
        <v>0</v>
      </c>
      <c r="L166" s="359">
        <f t="shared" si="28"/>
        <v>0</v>
      </c>
      <c r="M166" s="139">
        <f t="shared" si="29"/>
        <v>0</v>
      </c>
      <c r="N166" s="137">
        <f t="shared" si="30"/>
        <v>0</v>
      </c>
      <c r="O166" s="359">
        <f t="shared" si="31"/>
        <v>0</v>
      </c>
      <c r="P166" s="140">
        <f t="shared" si="32"/>
        <v>0</v>
      </c>
      <c r="Q166" s="140">
        <v>0</v>
      </c>
      <c r="R166" s="137">
        <f t="shared" si="33"/>
        <v>0</v>
      </c>
      <c r="S166" s="141">
        <f t="shared" si="34"/>
        <v>0</v>
      </c>
      <c r="T166" s="137">
        <f t="shared" si="35"/>
        <v>0</v>
      </c>
      <c r="U166" s="137">
        <f>ROUND(VERİLER!$F$9*T166,3)</f>
        <v>0</v>
      </c>
      <c r="V166" s="336">
        <f t="shared" si="36"/>
        <v>0</v>
      </c>
      <c r="W166" s="113"/>
      <c r="X166" s="113"/>
      <c r="Y166" s="113"/>
    </row>
    <row r="167" spans="1:25" s="143" customFormat="1" ht="15" customHeight="1" x14ac:dyDescent="0.2">
      <c r="A167" s="299" t="str">
        <f>IF('İşçi Bilgileri'!A165="","",'İşçi Bilgileri'!A165)</f>
        <v/>
      </c>
      <c r="B167" s="300" t="str">
        <f>IF($A167="","",VLOOKUP($A167,'İşçi Bilgileri'!$A$2:$D$700,4,FALSE))</f>
        <v/>
      </c>
      <c r="C167" s="301" t="str">
        <f>CONCATENATE(IF($A167="","",VLOOKUP($A167,'İşçi Bilgileri'!$A$2:$D$700,2,FALSE))," ",IF($A167="","",VLOOKUP($A167,'İşçi Bilgileri'!$A$2:$D$700,3,FALSE)))</f>
        <v xml:space="preserve"> </v>
      </c>
      <c r="D167" s="137" t="str">
        <f>IF($A167="","",VERİLER!$C$5)</f>
        <v/>
      </c>
      <c r="E167" s="138" t="str">
        <f>IF($A167="","",Puantaj!AJ172)</f>
        <v/>
      </c>
      <c r="F167" s="137">
        <f t="shared" si="25"/>
        <v>0</v>
      </c>
      <c r="G167" s="137"/>
      <c r="H167" s="137">
        <f t="shared" si="26"/>
        <v>0</v>
      </c>
      <c r="I167" s="137">
        <f t="shared" si="27"/>
        <v>0</v>
      </c>
      <c r="J167" s="137">
        <f>IF(F167&gt;VERİLER!$C$7,'İşçi Bilgileri'!M165+(F167-VERİLER!$C$7),0)</f>
        <v>0</v>
      </c>
      <c r="K167" s="137">
        <f>IF(VERİLER!$C$11&gt;0,ROUND(J167*0.15,2),0)</f>
        <v>0</v>
      </c>
      <c r="L167" s="359">
        <f t="shared" si="28"/>
        <v>0</v>
      </c>
      <c r="M167" s="139">
        <f t="shared" si="29"/>
        <v>0</v>
      </c>
      <c r="N167" s="137">
        <f t="shared" si="30"/>
        <v>0</v>
      </c>
      <c r="O167" s="359">
        <f t="shared" si="31"/>
        <v>0</v>
      </c>
      <c r="P167" s="140">
        <f t="shared" si="32"/>
        <v>0</v>
      </c>
      <c r="Q167" s="140">
        <v>0</v>
      </c>
      <c r="R167" s="137">
        <f t="shared" si="33"/>
        <v>0</v>
      </c>
      <c r="S167" s="141">
        <f t="shared" si="34"/>
        <v>0</v>
      </c>
      <c r="T167" s="137">
        <f t="shared" si="35"/>
        <v>0</v>
      </c>
      <c r="U167" s="137">
        <f>ROUND(VERİLER!$F$9*T167,3)</f>
        <v>0</v>
      </c>
      <c r="V167" s="336">
        <f t="shared" si="36"/>
        <v>0</v>
      </c>
      <c r="W167" s="113"/>
      <c r="X167" s="113"/>
      <c r="Y167" s="113"/>
    </row>
    <row r="168" spans="1:25" s="143" customFormat="1" ht="15" customHeight="1" x14ac:dyDescent="0.2">
      <c r="A168" s="299" t="str">
        <f>IF('İşçi Bilgileri'!A166="","",'İşçi Bilgileri'!A166)</f>
        <v/>
      </c>
      <c r="B168" s="300" t="str">
        <f>IF($A168="","",VLOOKUP($A168,'İşçi Bilgileri'!$A$2:$D$700,4,FALSE))</f>
        <v/>
      </c>
      <c r="C168" s="301" t="str">
        <f>CONCATENATE(IF($A168="","",VLOOKUP($A168,'İşçi Bilgileri'!$A$2:$D$700,2,FALSE))," ",IF($A168="","",VLOOKUP($A168,'İşçi Bilgileri'!$A$2:$D$700,3,FALSE)))</f>
        <v xml:space="preserve"> </v>
      </c>
      <c r="D168" s="137" t="str">
        <f>IF($A168="","",VERİLER!$C$5)</f>
        <v/>
      </c>
      <c r="E168" s="138" t="str">
        <f>IF($A168="","",Puantaj!AJ173)</f>
        <v/>
      </c>
      <c r="F168" s="137">
        <f t="shared" si="25"/>
        <v>0</v>
      </c>
      <c r="G168" s="137"/>
      <c r="H168" s="137">
        <f t="shared" si="26"/>
        <v>0</v>
      </c>
      <c r="I168" s="137">
        <f t="shared" si="27"/>
        <v>0</v>
      </c>
      <c r="J168" s="137">
        <f>IF(F168&gt;VERİLER!$C$7,'İşçi Bilgileri'!M166+(F168-VERİLER!$C$7),0)</f>
        <v>0</v>
      </c>
      <c r="K168" s="137">
        <f>IF(VERİLER!$C$11&gt;0,ROUND(J168*0.15,2),0)</f>
        <v>0</v>
      </c>
      <c r="L168" s="359">
        <f t="shared" si="28"/>
        <v>0</v>
      </c>
      <c r="M168" s="139">
        <f t="shared" si="29"/>
        <v>0</v>
      </c>
      <c r="N168" s="137">
        <f t="shared" si="30"/>
        <v>0</v>
      </c>
      <c r="O168" s="359">
        <f t="shared" si="31"/>
        <v>0</v>
      </c>
      <c r="P168" s="140">
        <f t="shared" si="32"/>
        <v>0</v>
      </c>
      <c r="Q168" s="140">
        <v>0</v>
      </c>
      <c r="R168" s="137">
        <f t="shared" si="33"/>
        <v>0</v>
      </c>
      <c r="S168" s="141">
        <f t="shared" si="34"/>
        <v>0</v>
      </c>
      <c r="T168" s="137">
        <f t="shared" si="35"/>
        <v>0</v>
      </c>
      <c r="U168" s="137">
        <f>ROUND(VERİLER!$F$9*T168,3)</f>
        <v>0</v>
      </c>
      <c r="V168" s="336">
        <f t="shared" si="36"/>
        <v>0</v>
      </c>
      <c r="W168" s="113"/>
      <c r="X168" s="113"/>
      <c r="Y168" s="113"/>
    </row>
    <row r="169" spans="1:25" s="143" customFormat="1" ht="15" customHeight="1" x14ac:dyDescent="0.2">
      <c r="A169" s="299" t="str">
        <f>IF('İşçi Bilgileri'!A167="","",'İşçi Bilgileri'!A167)</f>
        <v/>
      </c>
      <c r="B169" s="300" t="str">
        <f>IF($A169="","",VLOOKUP($A169,'İşçi Bilgileri'!$A$2:$D$700,4,FALSE))</f>
        <v/>
      </c>
      <c r="C169" s="301" t="str">
        <f>CONCATENATE(IF($A169="","",VLOOKUP($A169,'İşçi Bilgileri'!$A$2:$D$700,2,FALSE))," ",IF($A169="","",VLOOKUP($A169,'İşçi Bilgileri'!$A$2:$D$700,3,FALSE)))</f>
        <v xml:space="preserve"> </v>
      </c>
      <c r="D169" s="137" t="str">
        <f>IF($A169="","",VERİLER!$C$5)</f>
        <v/>
      </c>
      <c r="E169" s="138" t="str">
        <f>IF($A169="","",Puantaj!AJ174)</f>
        <v/>
      </c>
      <c r="F169" s="137">
        <f t="shared" si="25"/>
        <v>0</v>
      </c>
      <c r="G169" s="137"/>
      <c r="H169" s="137">
        <f t="shared" si="26"/>
        <v>0</v>
      </c>
      <c r="I169" s="137">
        <f t="shared" si="27"/>
        <v>0</v>
      </c>
      <c r="J169" s="137">
        <f>IF(F169&gt;VERİLER!$C$7,'İşçi Bilgileri'!M167+(F169-VERİLER!$C$7),0)</f>
        <v>0</v>
      </c>
      <c r="K169" s="137">
        <f>IF(VERİLER!$C$11&gt;0,ROUND(J169*0.15,2),0)</f>
        <v>0</v>
      </c>
      <c r="L169" s="359">
        <f t="shared" si="28"/>
        <v>0</v>
      </c>
      <c r="M169" s="139">
        <f t="shared" si="29"/>
        <v>0</v>
      </c>
      <c r="N169" s="137">
        <f t="shared" si="30"/>
        <v>0</v>
      </c>
      <c r="O169" s="359">
        <f t="shared" si="31"/>
        <v>0</v>
      </c>
      <c r="P169" s="140">
        <f t="shared" si="32"/>
        <v>0</v>
      </c>
      <c r="Q169" s="140">
        <v>0</v>
      </c>
      <c r="R169" s="137">
        <f t="shared" si="33"/>
        <v>0</v>
      </c>
      <c r="S169" s="141">
        <f t="shared" si="34"/>
        <v>0</v>
      </c>
      <c r="T169" s="137">
        <f t="shared" si="35"/>
        <v>0</v>
      </c>
      <c r="U169" s="137">
        <f>ROUND(VERİLER!$F$9*T169,3)</f>
        <v>0</v>
      </c>
      <c r="V169" s="336">
        <f t="shared" si="36"/>
        <v>0</v>
      </c>
      <c r="W169" s="113"/>
      <c r="X169" s="113"/>
      <c r="Y169" s="113"/>
    </row>
    <row r="170" spans="1:25" s="143" customFormat="1" ht="15" customHeight="1" x14ac:dyDescent="0.2">
      <c r="A170" s="299" t="str">
        <f>IF('İşçi Bilgileri'!A168="","",'İşçi Bilgileri'!A168)</f>
        <v/>
      </c>
      <c r="B170" s="300" t="str">
        <f>IF($A170="","",VLOOKUP($A170,'İşçi Bilgileri'!$A$2:$D$700,4,FALSE))</f>
        <v/>
      </c>
      <c r="C170" s="301" t="str">
        <f>CONCATENATE(IF($A170="","",VLOOKUP($A170,'İşçi Bilgileri'!$A$2:$D$700,2,FALSE))," ",IF($A170="","",VLOOKUP($A170,'İşçi Bilgileri'!$A$2:$D$700,3,FALSE)))</f>
        <v xml:space="preserve"> </v>
      </c>
      <c r="D170" s="137" t="str">
        <f>IF($A170="","",VERİLER!$C$5)</f>
        <v/>
      </c>
      <c r="E170" s="138" t="str">
        <f>IF($A170="","",Puantaj!AJ175)</f>
        <v/>
      </c>
      <c r="F170" s="137">
        <f t="shared" si="25"/>
        <v>0</v>
      </c>
      <c r="G170" s="137"/>
      <c r="H170" s="137">
        <f t="shared" si="26"/>
        <v>0</v>
      </c>
      <c r="I170" s="137">
        <f t="shared" si="27"/>
        <v>0</v>
      </c>
      <c r="J170" s="137">
        <f>IF(F170&gt;VERİLER!$C$7,'İşçi Bilgileri'!M168+(F170-VERİLER!$C$7),0)</f>
        <v>0</v>
      </c>
      <c r="K170" s="137">
        <f>IF(VERİLER!$C$11&gt;0,ROUND(J170*0.15,2),0)</f>
        <v>0</v>
      </c>
      <c r="L170" s="359">
        <f t="shared" si="28"/>
        <v>0</v>
      </c>
      <c r="M170" s="139">
        <f t="shared" si="29"/>
        <v>0</v>
      </c>
      <c r="N170" s="137">
        <f t="shared" si="30"/>
        <v>0</v>
      </c>
      <c r="O170" s="359">
        <f t="shared" si="31"/>
        <v>0</v>
      </c>
      <c r="P170" s="140">
        <f t="shared" si="32"/>
        <v>0</v>
      </c>
      <c r="Q170" s="140">
        <v>0</v>
      </c>
      <c r="R170" s="137">
        <f t="shared" si="33"/>
        <v>0</v>
      </c>
      <c r="S170" s="141">
        <f t="shared" si="34"/>
        <v>0</v>
      </c>
      <c r="T170" s="137">
        <f t="shared" si="35"/>
        <v>0</v>
      </c>
      <c r="U170" s="137">
        <f>ROUND(VERİLER!$F$9*T170,3)</f>
        <v>0</v>
      </c>
      <c r="V170" s="336">
        <f t="shared" si="36"/>
        <v>0</v>
      </c>
      <c r="W170" s="113"/>
      <c r="X170" s="113"/>
      <c r="Y170" s="113"/>
    </row>
    <row r="171" spans="1:25" s="143" customFormat="1" ht="15" customHeight="1" x14ac:dyDescent="0.2">
      <c r="A171" s="299" t="str">
        <f>IF('İşçi Bilgileri'!A169="","",'İşçi Bilgileri'!A169)</f>
        <v/>
      </c>
      <c r="B171" s="300" t="str">
        <f>IF($A171="","",VLOOKUP($A171,'İşçi Bilgileri'!$A$2:$D$700,4,FALSE))</f>
        <v/>
      </c>
      <c r="C171" s="301" t="str">
        <f>CONCATENATE(IF($A171="","",VLOOKUP($A171,'İşçi Bilgileri'!$A$2:$D$700,2,FALSE))," ",IF($A171="","",VLOOKUP($A171,'İşçi Bilgileri'!$A$2:$D$700,3,FALSE)))</f>
        <v xml:space="preserve"> </v>
      </c>
      <c r="D171" s="137" t="str">
        <f>IF($A171="","",VERİLER!$C$5)</f>
        <v/>
      </c>
      <c r="E171" s="138" t="str">
        <f>IF($A171="","",Puantaj!AJ176)</f>
        <v/>
      </c>
      <c r="F171" s="137">
        <f t="shared" si="25"/>
        <v>0</v>
      </c>
      <c r="G171" s="137"/>
      <c r="H171" s="137">
        <f t="shared" si="26"/>
        <v>0</v>
      </c>
      <c r="I171" s="137">
        <f t="shared" si="27"/>
        <v>0</v>
      </c>
      <c r="J171" s="137">
        <f>IF(F171&gt;VERİLER!$C$7,'İşçi Bilgileri'!M169+(F171-VERİLER!$C$7),0)</f>
        <v>0</v>
      </c>
      <c r="K171" s="137">
        <f>IF(VERİLER!$C$11&gt;0,ROUND(J171*0.15,2),0)</f>
        <v>0</v>
      </c>
      <c r="L171" s="359">
        <f t="shared" si="28"/>
        <v>0</v>
      </c>
      <c r="M171" s="139">
        <f t="shared" si="29"/>
        <v>0</v>
      </c>
      <c r="N171" s="137">
        <f t="shared" si="30"/>
        <v>0</v>
      </c>
      <c r="O171" s="359">
        <f t="shared" si="31"/>
        <v>0</v>
      </c>
      <c r="P171" s="140">
        <f t="shared" si="32"/>
        <v>0</v>
      </c>
      <c r="Q171" s="140">
        <v>0</v>
      </c>
      <c r="R171" s="137">
        <f t="shared" si="33"/>
        <v>0</v>
      </c>
      <c r="S171" s="141">
        <f t="shared" si="34"/>
        <v>0</v>
      </c>
      <c r="T171" s="137">
        <f t="shared" si="35"/>
        <v>0</v>
      </c>
      <c r="U171" s="137">
        <f>ROUND(VERİLER!$F$9*T171,3)</f>
        <v>0</v>
      </c>
      <c r="V171" s="336">
        <f t="shared" si="36"/>
        <v>0</v>
      </c>
      <c r="W171" s="113"/>
      <c r="X171" s="113"/>
      <c r="Y171" s="113"/>
    </row>
    <row r="172" spans="1:25" s="143" customFormat="1" ht="15" customHeight="1" x14ac:dyDescent="0.2">
      <c r="A172" s="299" t="str">
        <f>IF('İşçi Bilgileri'!A170="","",'İşçi Bilgileri'!A170)</f>
        <v/>
      </c>
      <c r="B172" s="300" t="str">
        <f>IF($A172="","",VLOOKUP($A172,'İşçi Bilgileri'!$A$2:$D$700,4,FALSE))</f>
        <v/>
      </c>
      <c r="C172" s="301" t="str">
        <f>CONCATENATE(IF($A172="","",VLOOKUP($A172,'İşçi Bilgileri'!$A$2:$D$700,2,FALSE))," ",IF($A172="","",VLOOKUP($A172,'İşçi Bilgileri'!$A$2:$D$700,3,FALSE)))</f>
        <v xml:space="preserve"> </v>
      </c>
      <c r="D172" s="137" t="str">
        <f>IF($A172="","",VERİLER!$C$5)</f>
        <v/>
      </c>
      <c r="E172" s="138" t="str">
        <f>IF($A172="","",Puantaj!AJ177)</f>
        <v/>
      </c>
      <c r="F172" s="137">
        <f t="shared" si="25"/>
        <v>0</v>
      </c>
      <c r="G172" s="137"/>
      <c r="H172" s="137">
        <f t="shared" si="26"/>
        <v>0</v>
      </c>
      <c r="I172" s="137">
        <f t="shared" si="27"/>
        <v>0</v>
      </c>
      <c r="J172" s="137">
        <f>IF(F172&gt;VERİLER!$C$7,'İşçi Bilgileri'!M170+(F172-VERİLER!$C$7),0)</f>
        <v>0</v>
      </c>
      <c r="K172" s="137">
        <f>IF(VERİLER!$C$11&gt;0,ROUND(J172*0.15,2),0)</f>
        <v>0</v>
      </c>
      <c r="L172" s="359">
        <f t="shared" si="28"/>
        <v>0</v>
      </c>
      <c r="M172" s="139">
        <f t="shared" si="29"/>
        <v>0</v>
      </c>
      <c r="N172" s="137">
        <f t="shared" si="30"/>
        <v>0</v>
      </c>
      <c r="O172" s="359">
        <f t="shared" si="31"/>
        <v>0</v>
      </c>
      <c r="P172" s="140">
        <f t="shared" si="32"/>
        <v>0</v>
      </c>
      <c r="Q172" s="140">
        <v>0</v>
      </c>
      <c r="R172" s="137">
        <f t="shared" si="33"/>
        <v>0</v>
      </c>
      <c r="S172" s="141">
        <f t="shared" si="34"/>
        <v>0</v>
      </c>
      <c r="T172" s="137">
        <f t="shared" si="35"/>
        <v>0</v>
      </c>
      <c r="U172" s="137">
        <f>ROUND(VERİLER!$F$9*T172,3)</f>
        <v>0</v>
      </c>
      <c r="V172" s="336">
        <f t="shared" si="36"/>
        <v>0</v>
      </c>
      <c r="W172" s="113"/>
      <c r="X172" s="113"/>
      <c r="Y172" s="113"/>
    </row>
    <row r="173" spans="1:25" s="143" customFormat="1" ht="15" customHeight="1" x14ac:dyDescent="0.2">
      <c r="A173" s="299" t="str">
        <f>IF('İşçi Bilgileri'!A171="","",'İşçi Bilgileri'!A171)</f>
        <v/>
      </c>
      <c r="B173" s="300" t="str">
        <f>IF($A173="","",VLOOKUP($A173,'İşçi Bilgileri'!$A$2:$D$700,4,FALSE))</f>
        <v/>
      </c>
      <c r="C173" s="301" t="str">
        <f>CONCATENATE(IF($A173="","",VLOOKUP($A173,'İşçi Bilgileri'!$A$2:$D$700,2,FALSE))," ",IF($A173="","",VLOOKUP($A173,'İşçi Bilgileri'!$A$2:$D$700,3,FALSE)))</f>
        <v xml:space="preserve"> </v>
      </c>
      <c r="D173" s="137" t="str">
        <f>IF($A173="","",VERİLER!$C$5)</f>
        <v/>
      </c>
      <c r="E173" s="138" t="str">
        <f>IF($A173="","",Puantaj!AJ178)</f>
        <v/>
      </c>
      <c r="F173" s="137">
        <f t="shared" si="25"/>
        <v>0</v>
      </c>
      <c r="G173" s="137"/>
      <c r="H173" s="137">
        <f t="shared" si="26"/>
        <v>0</v>
      </c>
      <c r="I173" s="137">
        <f t="shared" si="27"/>
        <v>0</v>
      </c>
      <c r="J173" s="137">
        <f>IF(F173&gt;VERİLER!$C$7,'İşçi Bilgileri'!M171+(F173-VERİLER!$C$7),0)</f>
        <v>0</v>
      </c>
      <c r="K173" s="137">
        <f>IF(VERİLER!$C$11&gt;0,ROUND(J173*0.15,2),0)</f>
        <v>0</v>
      </c>
      <c r="L173" s="359">
        <f t="shared" si="28"/>
        <v>0</v>
      </c>
      <c r="M173" s="139">
        <f t="shared" si="29"/>
        <v>0</v>
      </c>
      <c r="N173" s="137">
        <f t="shared" si="30"/>
        <v>0</v>
      </c>
      <c r="O173" s="359">
        <f t="shared" si="31"/>
        <v>0</v>
      </c>
      <c r="P173" s="140">
        <f t="shared" si="32"/>
        <v>0</v>
      </c>
      <c r="Q173" s="140">
        <v>0</v>
      </c>
      <c r="R173" s="137">
        <f t="shared" si="33"/>
        <v>0</v>
      </c>
      <c r="S173" s="141">
        <f t="shared" si="34"/>
        <v>0</v>
      </c>
      <c r="T173" s="137">
        <f t="shared" si="35"/>
        <v>0</v>
      </c>
      <c r="U173" s="137">
        <f>ROUND(VERİLER!$F$9*T173,3)</f>
        <v>0</v>
      </c>
      <c r="V173" s="336">
        <f t="shared" si="36"/>
        <v>0</v>
      </c>
      <c r="W173" s="113"/>
      <c r="X173" s="113"/>
      <c r="Y173" s="113"/>
    </row>
    <row r="174" spans="1:25" s="143" customFormat="1" ht="15" customHeight="1" x14ac:dyDescent="0.2">
      <c r="A174" s="299" t="str">
        <f>IF('İşçi Bilgileri'!A172="","",'İşçi Bilgileri'!A172)</f>
        <v/>
      </c>
      <c r="B174" s="300" t="str">
        <f>IF($A174="","",VLOOKUP($A174,'İşçi Bilgileri'!$A$2:$D$700,4,FALSE))</f>
        <v/>
      </c>
      <c r="C174" s="301" t="str">
        <f>CONCATENATE(IF($A174="","",VLOOKUP($A174,'İşçi Bilgileri'!$A$2:$D$700,2,FALSE))," ",IF($A174="","",VLOOKUP($A174,'İşçi Bilgileri'!$A$2:$D$700,3,FALSE)))</f>
        <v xml:space="preserve"> </v>
      </c>
      <c r="D174" s="137" t="str">
        <f>IF($A174="","",VERİLER!$C$5)</f>
        <v/>
      </c>
      <c r="E174" s="138" t="str">
        <f>IF($A174="","",Puantaj!AJ179)</f>
        <v/>
      </c>
      <c r="F174" s="137">
        <f t="shared" si="25"/>
        <v>0</v>
      </c>
      <c r="G174" s="137"/>
      <c r="H174" s="137">
        <f t="shared" si="26"/>
        <v>0</v>
      </c>
      <c r="I174" s="137">
        <f t="shared" si="27"/>
        <v>0</v>
      </c>
      <c r="J174" s="137">
        <f>IF(F174&gt;VERİLER!$C$7,'İşçi Bilgileri'!M172+(F174-VERİLER!$C$7),0)</f>
        <v>0</v>
      </c>
      <c r="K174" s="137">
        <f>IF(VERİLER!$C$11&gt;0,ROUND(J174*0.15,2),0)</f>
        <v>0</v>
      </c>
      <c r="L174" s="359">
        <f t="shared" si="28"/>
        <v>0</v>
      </c>
      <c r="M174" s="139">
        <f t="shared" si="29"/>
        <v>0</v>
      </c>
      <c r="N174" s="137">
        <f t="shared" si="30"/>
        <v>0</v>
      </c>
      <c r="O174" s="359">
        <f t="shared" si="31"/>
        <v>0</v>
      </c>
      <c r="P174" s="140">
        <f t="shared" si="32"/>
        <v>0</v>
      </c>
      <c r="Q174" s="140">
        <v>0</v>
      </c>
      <c r="R174" s="137">
        <f t="shared" si="33"/>
        <v>0</v>
      </c>
      <c r="S174" s="141">
        <f t="shared" si="34"/>
        <v>0</v>
      </c>
      <c r="T174" s="137">
        <f t="shared" si="35"/>
        <v>0</v>
      </c>
      <c r="U174" s="137">
        <f>ROUND(VERİLER!$F$9*T174,3)</f>
        <v>0</v>
      </c>
      <c r="V174" s="336">
        <f t="shared" si="36"/>
        <v>0</v>
      </c>
      <c r="W174" s="113"/>
      <c r="X174" s="113"/>
      <c r="Y174" s="113"/>
    </row>
    <row r="175" spans="1:25" s="143" customFormat="1" ht="15" customHeight="1" x14ac:dyDescent="0.2">
      <c r="A175" s="299" t="str">
        <f>IF('İşçi Bilgileri'!A173="","",'İşçi Bilgileri'!A173)</f>
        <v/>
      </c>
      <c r="B175" s="300" t="str">
        <f>IF($A175="","",VLOOKUP($A175,'İşçi Bilgileri'!$A$2:$D$700,4,FALSE))</f>
        <v/>
      </c>
      <c r="C175" s="301" t="str">
        <f>CONCATENATE(IF($A175="","",VLOOKUP($A175,'İşçi Bilgileri'!$A$2:$D$700,2,FALSE))," ",IF($A175="","",VLOOKUP($A175,'İşçi Bilgileri'!$A$2:$D$700,3,FALSE)))</f>
        <v xml:space="preserve"> </v>
      </c>
      <c r="D175" s="137" t="str">
        <f>IF($A175="","",VERİLER!$C$5)</f>
        <v/>
      </c>
      <c r="E175" s="138" t="str">
        <f>IF($A175="","",Puantaj!AJ180)</f>
        <v/>
      </c>
      <c r="F175" s="137">
        <f t="shared" si="25"/>
        <v>0</v>
      </c>
      <c r="G175" s="137"/>
      <c r="H175" s="137">
        <f t="shared" si="26"/>
        <v>0</v>
      </c>
      <c r="I175" s="137">
        <f t="shared" si="27"/>
        <v>0</v>
      </c>
      <c r="J175" s="137">
        <f>IF(F175&gt;VERİLER!$C$7,'İşçi Bilgileri'!M173+(F175-VERİLER!$C$7),0)</f>
        <v>0</v>
      </c>
      <c r="K175" s="137">
        <f>IF(VERİLER!$C$11&gt;0,ROUND(J175*0.15,2),0)</f>
        <v>0</v>
      </c>
      <c r="L175" s="359">
        <f t="shared" si="28"/>
        <v>0</v>
      </c>
      <c r="M175" s="139">
        <f t="shared" si="29"/>
        <v>0</v>
      </c>
      <c r="N175" s="137">
        <f t="shared" si="30"/>
        <v>0</v>
      </c>
      <c r="O175" s="359">
        <f t="shared" si="31"/>
        <v>0</v>
      </c>
      <c r="P175" s="140">
        <f t="shared" si="32"/>
        <v>0</v>
      </c>
      <c r="Q175" s="140">
        <v>0</v>
      </c>
      <c r="R175" s="137">
        <f t="shared" si="33"/>
        <v>0</v>
      </c>
      <c r="S175" s="141">
        <f t="shared" si="34"/>
        <v>0</v>
      </c>
      <c r="T175" s="137">
        <f t="shared" si="35"/>
        <v>0</v>
      </c>
      <c r="U175" s="137">
        <f>ROUND(VERİLER!$F$9*T175,3)</f>
        <v>0</v>
      </c>
      <c r="V175" s="336">
        <f t="shared" si="36"/>
        <v>0</v>
      </c>
      <c r="W175" s="113"/>
      <c r="X175" s="113"/>
      <c r="Y175" s="113"/>
    </row>
    <row r="176" spans="1:25" s="143" customFormat="1" ht="15" customHeight="1" x14ac:dyDescent="0.2">
      <c r="A176" s="299" t="str">
        <f>IF('İşçi Bilgileri'!A174="","",'İşçi Bilgileri'!A174)</f>
        <v/>
      </c>
      <c r="B176" s="300" t="str">
        <f>IF($A176="","",VLOOKUP($A176,'İşçi Bilgileri'!$A$2:$D$700,4,FALSE))</f>
        <v/>
      </c>
      <c r="C176" s="301" t="str">
        <f>CONCATENATE(IF($A176="","",VLOOKUP($A176,'İşçi Bilgileri'!$A$2:$D$700,2,FALSE))," ",IF($A176="","",VLOOKUP($A176,'İşçi Bilgileri'!$A$2:$D$700,3,FALSE)))</f>
        <v xml:space="preserve"> </v>
      </c>
      <c r="D176" s="137" t="str">
        <f>IF($A176="","",VERİLER!$C$5)</f>
        <v/>
      </c>
      <c r="E176" s="138" t="str">
        <f>IF($A176="","",Puantaj!AJ181)</f>
        <v/>
      </c>
      <c r="F176" s="137">
        <f t="shared" si="25"/>
        <v>0</v>
      </c>
      <c r="G176" s="137"/>
      <c r="H176" s="137">
        <f t="shared" si="26"/>
        <v>0</v>
      </c>
      <c r="I176" s="137">
        <f t="shared" si="27"/>
        <v>0</v>
      </c>
      <c r="J176" s="137">
        <f>IF(F176&gt;VERİLER!$C$7,'İşçi Bilgileri'!M174+(F176-VERİLER!$C$7),0)</f>
        <v>0</v>
      </c>
      <c r="K176" s="137">
        <f>IF(VERİLER!$C$11&gt;0,ROUND(J176*0.15,2),0)</f>
        <v>0</v>
      </c>
      <c r="L176" s="359">
        <f t="shared" si="28"/>
        <v>0</v>
      </c>
      <c r="M176" s="139">
        <f t="shared" si="29"/>
        <v>0</v>
      </c>
      <c r="N176" s="137">
        <f t="shared" si="30"/>
        <v>0</v>
      </c>
      <c r="O176" s="359">
        <f t="shared" si="31"/>
        <v>0</v>
      </c>
      <c r="P176" s="140">
        <f t="shared" si="32"/>
        <v>0</v>
      </c>
      <c r="Q176" s="140">
        <v>0</v>
      </c>
      <c r="R176" s="137">
        <f t="shared" si="33"/>
        <v>0</v>
      </c>
      <c r="S176" s="141">
        <f t="shared" si="34"/>
        <v>0</v>
      </c>
      <c r="T176" s="137">
        <f t="shared" si="35"/>
        <v>0</v>
      </c>
      <c r="U176" s="137">
        <f>ROUND(VERİLER!$F$9*T176,3)</f>
        <v>0</v>
      </c>
      <c r="V176" s="336">
        <f t="shared" si="36"/>
        <v>0</v>
      </c>
      <c r="W176" s="113"/>
      <c r="X176" s="113"/>
      <c r="Y176" s="113"/>
    </row>
    <row r="177" spans="1:25" s="143" customFormat="1" ht="15" customHeight="1" x14ac:dyDescent="0.2">
      <c r="A177" s="299" t="str">
        <f>IF('İşçi Bilgileri'!A175="","",'İşçi Bilgileri'!A175)</f>
        <v/>
      </c>
      <c r="B177" s="300" t="str">
        <f>IF($A177="","",VLOOKUP($A177,'İşçi Bilgileri'!$A$2:$D$700,4,FALSE))</f>
        <v/>
      </c>
      <c r="C177" s="301" t="str">
        <f>CONCATENATE(IF($A177="","",VLOOKUP($A177,'İşçi Bilgileri'!$A$2:$D$700,2,FALSE))," ",IF($A177="","",VLOOKUP($A177,'İşçi Bilgileri'!$A$2:$D$700,3,FALSE)))</f>
        <v xml:space="preserve"> </v>
      </c>
      <c r="D177" s="137" t="str">
        <f>IF($A177="","",VERİLER!$C$5)</f>
        <v/>
      </c>
      <c r="E177" s="138" t="str">
        <f>IF($A177="","",Puantaj!AJ182)</f>
        <v/>
      </c>
      <c r="F177" s="137">
        <f t="shared" si="25"/>
        <v>0</v>
      </c>
      <c r="G177" s="137"/>
      <c r="H177" s="137">
        <f t="shared" si="26"/>
        <v>0</v>
      </c>
      <c r="I177" s="137">
        <f t="shared" si="27"/>
        <v>0</v>
      </c>
      <c r="J177" s="137">
        <f>IF(F177&gt;VERİLER!$C$7,'İşçi Bilgileri'!M175+(F177-VERİLER!$C$7),0)</f>
        <v>0</v>
      </c>
      <c r="K177" s="137">
        <f>IF(VERİLER!$C$11&gt;0,ROUND(J177*0.15,2),0)</f>
        <v>0</v>
      </c>
      <c r="L177" s="359">
        <f t="shared" si="28"/>
        <v>0</v>
      </c>
      <c r="M177" s="139">
        <f t="shared" si="29"/>
        <v>0</v>
      </c>
      <c r="N177" s="137">
        <f t="shared" si="30"/>
        <v>0</v>
      </c>
      <c r="O177" s="359">
        <f t="shared" si="31"/>
        <v>0</v>
      </c>
      <c r="P177" s="140">
        <f t="shared" si="32"/>
        <v>0</v>
      </c>
      <c r="Q177" s="140">
        <v>0</v>
      </c>
      <c r="R177" s="137">
        <f t="shared" si="33"/>
        <v>0</v>
      </c>
      <c r="S177" s="141">
        <f t="shared" si="34"/>
        <v>0</v>
      </c>
      <c r="T177" s="137">
        <f t="shared" si="35"/>
        <v>0</v>
      </c>
      <c r="U177" s="137">
        <f>ROUND(VERİLER!$F$9*T177,3)</f>
        <v>0</v>
      </c>
      <c r="V177" s="336">
        <f t="shared" si="36"/>
        <v>0</v>
      </c>
      <c r="W177" s="113"/>
      <c r="X177" s="113"/>
      <c r="Y177" s="113"/>
    </row>
    <row r="178" spans="1:25" s="143" customFormat="1" ht="15" customHeight="1" x14ac:dyDescent="0.2">
      <c r="A178" s="299" t="str">
        <f>IF('İşçi Bilgileri'!A176="","",'İşçi Bilgileri'!A176)</f>
        <v/>
      </c>
      <c r="B178" s="300" t="str">
        <f>IF($A178="","",VLOOKUP($A178,'İşçi Bilgileri'!$A$2:$D$700,4,FALSE))</f>
        <v/>
      </c>
      <c r="C178" s="301" t="str">
        <f>CONCATENATE(IF($A178="","",VLOOKUP($A178,'İşçi Bilgileri'!$A$2:$D$700,2,FALSE))," ",IF($A178="","",VLOOKUP($A178,'İşçi Bilgileri'!$A$2:$D$700,3,FALSE)))</f>
        <v xml:space="preserve"> </v>
      </c>
      <c r="D178" s="137" t="str">
        <f>IF($A178="","",VERİLER!$C$5)</f>
        <v/>
      </c>
      <c r="E178" s="138" t="str">
        <f>IF($A178="","",Puantaj!AJ183)</f>
        <v/>
      </c>
      <c r="F178" s="137">
        <f t="shared" si="25"/>
        <v>0</v>
      </c>
      <c r="G178" s="137"/>
      <c r="H178" s="137">
        <f t="shared" si="26"/>
        <v>0</v>
      </c>
      <c r="I178" s="137">
        <f t="shared" si="27"/>
        <v>0</v>
      </c>
      <c r="J178" s="137">
        <f>IF(F178&gt;VERİLER!$C$7,'İşçi Bilgileri'!M176+(F178-VERİLER!$C$7),0)</f>
        <v>0</v>
      </c>
      <c r="K178" s="137">
        <f>IF(VERİLER!$C$11&gt;0,ROUND(J178*0.15,2),0)</f>
        <v>0</v>
      </c>
      <c r="L178" s="359">
        <f t="shared" si="28"/>
        <v>0</v>
      </c>
      <c r="M178" s="139">
        <f t="shared" si="29"/>
        <v>0</v>
      </c>
      <c r="N178" s="137">
        <f t="shared" si="30"/>
        <v>0</v>
      </c>
      <c r="O178" s="359">
        <f t="shared" si="31"/>
        <v>0</v>
      </c>
      <c r="P178" s="140">
        <f t="shared" si="32"/>
        <v>0</v>
      </c>
      <c r="Q178" s="140">
        <v>0</v>
      </c>
      <c r="R178" s="137">
        <f t="shared" si="33"/>
        <v>0</v>
      </c>
      <c r="S178" s="141">
        <f t="shared" si="34"/>
        <v>0</v>
      </c>
      <c r="T178" s="137">
        <f t="shared" si="35"/>
        <v>0</v>
      </c>
      <c r="U178" s="137">
        <f>ROUND(VERİLER!$F$9*T178,3)</f>
        <v>0</v>
      </c>
      <c r="V178" s="336">
        <f t="shared" si="36"/>
        <v>0</v>
      </c>
      <c r="W178" s="113"/>
      <c r="X178" s="113"/>
      <c r="Y178" s="113"/>
    </row>
    <row r="179" spans="1:25" s="143" customFormat="1" ht="15" customHeight="1" x14ac:dyDescent="0.2">
      <c r="A179" s="299" t="str">
        <f>IF('İşçi Bilgileri'!A177="","",'İşçi Bilgileri'!A177)</f>
        <v/>
      </c>
      <c r="B179" s="300" t="str">
        <f>IF($A179="","",VLOOKUP($A179,'İşçi Bilgileri'!$A$2:$D$700,4,FALSE))</f>
        <v/>
      </c>
      <c r="C179" s="301" t="str">
        <f>CONCATENATE(IF($A179="","",VLOOKUP($A179,'İşçi Bilgileri'!$A$2:$D$700,2,FALSE))," ",IF($A179="","",VLOOKUP($A179,'İşçi Bilgileri'!$A$2:$D$700,3,FALSE)))</f>
        <v xml:space="preserve"> </v>
      </c>
      <c r="D179" s="137" t="str">
        <f>IF($A179="","",VERİLER!$C$5)</f>
        <v/>
      </c>
      <c r="E179" s="138" t="str">
        <f>IF($A179="","",Puantaj!AJ184)</f>
        <v/>
      </c>
      <c r="F179" s="137">
        <f t="shared" si="25"/>
        <v>0</v>
      </c>
      <c r="G179" s="137"/>
      <c r="H179" s="137">
        <f t="shared" si="26"/>
        <v>0</v>
      </c>
      <c r="I179" s="137">
        <f t="shared" si="27"/>
        <v>0</v>
      </c>
      <c r="J179" s="137">
        <f>IF(F179&gt;VERİLER!$C$7,'İşçi Bilgileri'!M177+(F179-VERİLER!$C$7),0)</f>
        <v>0</v>
      </c>
      <c r="K179" s="137">
        <f>IF(VERİLER!$C$11&gt;0,ROUND(J179*0.15,2),0)</f>
        <v>0</v>
      </c>
      <c r="L179" s="359">
        <f t="shared" si="28"/>
        <v>0</v>
      </c>
      <c r="M179" s="139">
        <f t="shared" si="29"/>
        <v>0</v>
      </c>
      <c r="N179" s="137">
        <f t="shared" si="30"/>
        <v>0</v>
      </c>
      <c r="O179" s="359">
        <f t="shared" si="31"/>
        <v>0</v>
      </c>
      <c r="P179" s="140">
        <f t="shared" si="32"/>
        <v>0</v>
      </c>
      <c r="Q179" s="140">
        <v>0</v>
      </c>
      <c r="R179" s="137">
        <f t="shared" si="33"/>
        <v>0</v>
      </c>
      <c r="S179" s="141">
        <f t="shared" si="34"/>
        <v>0</v>
      </c>
      <c r="T179" s="137">
        <f t="shared" si="35"/>
        <v>0</v>
      </c>
      <c r="U179" s="137">
        <f>ROUND(VERİLER!$F$9*T179,3)</f>
        <v>0</v>
      </c>
      <c r="V179" s="336">
        <f t="shared" si="36"/>
        <v>0</v>
      </c>
      <c r="W179" s="113"/>
      <c r="X179" s="113"/>
      <c r="Y179" s="113"/>
    </row>
    <row r="180" spans="1:25" s="143" customFormat="1" ht="15" customHeight="1" x14ac:dyDescent="0.2">
      <c r="A180" s="299" t="str">
        <f>IF('İşçi Bilgileri'!A178="","",'İşçi Bilgileri'!A178)</f>
        <v/>
      </c>
      <c r="B180" s="300" t="str">
        <f>IF($A180="","",VLOOKUP($A180,'İşçi Bilgileri'!$A$2:$D$700,4,FALSE))</f>
        <v/>
      </c>
      <c r="C180" s="301" t="str">
        <f>CONCATENATE(IF($A180="","",VLOOKUP($A180,'İşçi Bilgileri'!$A$2:$D$700,2,FALSE))," ",IF($A180="","",VLOOKUP($A180,'İşçi Bilgileri'!$A$2:$D$700,3,FALSE)))</f>
        <v xml:space="preserve"> </v>
      </c>
      <c r="D180" s="137" t="str">
        <f>IF($A180="","",VERİLER!$C$5)</f>
        <v/>
      </c>
      <c r="E180" s="138" t="str">
        <f>IF($A180="","",Puantaj!AJ185)</f>
        <v/>
      </c>
      <c r="F180" s="137">
        <f t="shared" si="25"/>
        <v>0</v>
      </c>
      <c r="G180" s="137"/>
      <c r="H180" s="137">
        <f t="shared" si="26"/>
        <v>0</v>
      </c>
      <c r="I180" s="137">
        <f t="shared" si="27"/>
        <v>0</v>
      </c>
      <c r="J180" s="137">
        <f>IF(F180&gt;VERİLER!$C$7,'İşçi Bilgileri'!M178+(F180-VERİLER!$C$7),0)</f>
        <v>0</v>
      </c>
      <c r="K180" s="137">
        <f>IF(VERİLER!$C$11&gt;0,ROUND(J180*0.15,2),0)</f>
        <v>0</v>
      </c>
      <c r="L180" s="359">
        <f t="shared" si="28"/>
        <v>0</v>
      </c>
      <c r="M180" s="139">
        <f t="shared" si="29"/>
        <v>0</v>
      </c>
      <c r="N180" s="137">
        <f t="shared" si="30"/>
        <v>0</v>
      </c>
      <c r="O180" s="359">
        <f t="shared" si="31"/>
        <v>0</v>
      </c>
      <c r="P180" s="140">
        <f t="shared" si="32"/>
        <v>0</v>
      </c>
      <c r="Q180" s="140">
        <v>0</v>
      </c>
      <c r="R180" s="137">
        <f t="shared" si="33"/>
        <v>0</v>
      </c>
      <c r="S180" s="141">
        <f t="shared" si="34"/>
        <v>0</v>
      </c>
      <c r="T180" s="137">
        <f t="shared" si="35"/>
        <v>0</v>
      </c>
      <c r="U180" s="137">
        <f>ROUND(VERİLER!$F$9*T180,3)</f>
        <v>0</v>
      </c>
      <c r="V180" s="336">
        <f t="shared" si="36"/>
        <v>0</v>
      </c>
      <c r="W180" s="113"/>
      <c r="X180" s="113"/>
      <c r="Y180" s="113"/>
    </row>
    <row r="181" spans="1:25" s="143" customFormat="1" ht="15" customHeight="1" x14ac:dyDescent="0.2">
      <c r="A181" s="299" t="str">
        <f>IF('İşçi Bilgileri'!A179="","",'İşçi Bilgileri'!A179)</f>
        <v/>
      </c>
      <c r="B181" s="300" t="str">
        <f>IF($A181="","",VLOOKUP($A181,'İşçi Bilgileri'!$A$2:$D$700,4,FALSE))</f>
        <v/>
      </c>
      <c r="C181" s="301" t="str">
        <f>CONCATENATE(IF($A181="","",VLOOKUP($A181,'İşçi Bilgileri'!$A$2:$D$700,2,FALSE))," ",IF($A181="","",VLOOKUP($A181,'İşçi Bilgileri'!$A$2:$D$700,3,FALSE)))</f>
        <v xml:space="preserve"> </v>
      </c>
      <c r="D181" s="137" t="str">
        <f>IF($A181="","",VERİLER!$C$5)</f>
        <v/>
      </c>
      <c r="E181" s="138" t="str">
        <f>IF($A181="","",Puantaj!AJ186)</f>
        <v/>
      </c>
      <c r="F181" s="137">
        <f t="shared" si="25"/>
        <v>0</v>
      </c>
      <c r="G181" s="137"/>
      <c r="H181" s="137">
        <f t="shared" si="26"/>
        <v>0</v>
      </c>
      <c r="I181" s="137">
        <f t="shared" si="27"/>
        <v>0</v>
      </c>
      <c r="J181" s="137">
        <f>IF(F181&gt;VERİLER!$C$7,'İşçi Bilgileri'!M179+(F181-VERİLER!$C$7),0)</f>
        <v>0</v>
      </c>
      <c r="K181" s="137">
        <f>IF(VERİLER!$C$11&gt;0,ROUND(J181*0.15,2),0)</f>
        <v>0</v>
      </c>
      <c r="L181" s="359">
        <f t="shared" si="28"/>
        <v>0</v>
      </c>
      <c r="M181" s="139">
        <f t="shared" si="29"/>
        <v>0</v>
      </c>
      <c r="N181" s="137">
        <f t="shared" si="30"/>
        <v>0</v>
      </c>
      <c r="O181" s="359">
        <f t="shared" si="31"/>
        <v>0</v>
      </c>
      <c r="P181" s="140">
        <f t="shared" si="32"/>
        <v>0</v>
      </c>
      <c r="Q181" s="140">
        <v>0</v>
      </c>
      <c r="R181" s="137">
        <f t="shared" si="33"/>
        <v>0</v>
      </c>
      <c r="S181" s="141">
        <f t="shared" si="34"/>
        <v>0</v>
      </c>
      <c r="T181" s="137">
        <f t="shared" si="35"/>
        <v>0</v>
      </c>
      <c r="U181" s="137">
        <f>ROUND(VERİLER!$F$9*T181,3)</f>
        <v>0</v>
      </c>
      <c r="V181" s="336">
        <f t="shared" si="36"/>
        <v>0</v>
      </c>
      <c r="W181" s="113"/>
      <c r="X181" s="113"/>
      <c r="Y181" s="113"/>
    </row>
    <row r="182" spans="1:25" s="143" customFormat="1" ht="15" customHeight="1" x14ac:dyDescent="0.2">
      <c r="A182" s="299" t="str">
        <f>IF('İşçi Bilgileri'!A180="","",'İşçi Bilgileri'!A180)</f>
        <v/>
      </c>
      <c r="B182" s="300" t="str">
        <f>IF($A182="","",VLOOKUP($A182,'İşçi Bilgileri'!$A$2:$D$700,4,FALSE))</f>
        <v/>
      </c>
      <c r="C182" s="301" t="str">
        <f>CONCATENATE(IF($A182="","",VLOOKUP($A182,'İşçi Bilgileri'!$A$2:$D$700,2,FALSE))," ",IF($A182="","",VLOOKUP($A182,'İşçi Bilgileri'!$A$2:$D$700,3,FALSE)))</f>
        <v xml:space="preserve"> </v>
      </c>
      <c r="D182" s="137" t="str">
        <f>IF($A182="","",VERİLER!$C$5)</f>
        <v/>
      </c>
      <c r="E182" s="138" t="str">
        <f>IF($A182="","",Puantaj!AJ187)</f>
        <v/>
      </c>
      <c r="F182" s="137">
        <f t="shared" si="25"/>
        <v>0</v>
      </c>
      <c r="G182" s="137"/>
      <c r="H182" s="137">
        <f t="shared" si="26"/>
        <v>0</v>
      </c>
      <c r="I182" s="137">
        <f t="shared" si="27"/>
        <v>0</v>
      </c>
      <c r="J182" s="137">
        <f>IF(F182&gt;VERİLER!$C$7,'İşçi Bilgileri'!M180+(F182-VERİLER!$C$7),0)</f>
        <v>0</v>
      </c>
      <c r="K182" s="137">
        <f>IF(VERİLER!$C$11&gt;0,ROUND(J182*0.15,2),0)</f>
        <v>0</v>
      </c>
      <c r="L182" s="359">
        <f t="shared" si="28"/>
        <v>0</v>
      </c>
      <c r="M182" s="139">
        <f t="shared" si="29"/>
        <v>0</v>
      </c>
      <c r="N182" s="137">
        <f t="shared" si="30"/>
        <v>0</v>
      </c>
      <c r="O182" s="359">
        <f t="shared" si="31"/>
        <v>0</v>
      </c>
      <c r="P182" s="140">
        <f t="shared" si="32"/>
        <v>0</v>
      </c>
      <c r="Q182" s="140">
        <v>0</v>
      </c>
      <c r="R182" s="137">
        <f t="shared" si="33"/>
        <v>0</v>
      </c>
      <c r="S182" s="141">
        <f t="shared" si="34"/>
        <v>0</v>
      </c>
      <c r="T182" s="137">
        <f t="shared" si="35"/>
        <v>0</v>
      </c>
      <c r="U182" s="137">
        <f>ROUND(VERİLER!$F$9*T182,3)</f>
        <v>0</v>
      </c>
      <c r="V182" s="336">
        <f t="shared" si="36"/>
        <v>0</v>
      </c>
      <c r="W182" s="113"/>
      <c r="X182" s="113"/>
      <c r="Y182" s="113"/>
    </row>
    <row r="183" spans="1:25" s="143" customFormat="1" ht="15" customHeight="1" x14ac:dyDescent="0.2">
      <c r="A183" s="299" t="str">
        <f>IF('İşçi Bilgileri'!A181="","",'İşçi Bilgileri'!A181)</f>
        <v/>
      </c>
      <c r="B183" s="300" t="str">
        <f>IF($A183="","",VLOOKUP($A183,'İşçi Bilgileri'!$A$2:$D$700,4,FALSE))</f>
        <v/>
      </c>
      <c r="C183" s="301" t="str">
        <f>CONCATENATE(IF($A183="","",VLOOKUP($A183,'İşçi Bilgileri'!$A$2:$D$700,2,FALSE))," ",IF($A183="","",VLOOKUP($A183,'İşçi Bilgileri'!$A$2:$D$700,3,FALSE)))</f>
        <v xml:space="preserve"> </v>
      </c>
      <c r="D183" s="137" t="str">
        <f>IF($A183="","",VERİLER!$C$5)</f>
        <v/>
      </c>
      <c r="E183" s="138" t="str">
        <f>IF($A183="","",Puantaj!AJ188)</f>
        <v/>
      </c>
      <c r="F183" s="137">
        <f t="shared" si="25"/>
        <v>0</v>
      </c>
      <c r="G183" s="137"/>
      <c r="H183" s="137">
        <f t="shared" si="26"/>
        <v>0</v>
      </c>
      <c r="I183" s="137">
        <f t="shared" si="27"/>
        <v>0</v>
      </c>
      <c r="J183" s="137">
        <f>IF(F183&gt;VERİLER!$C$7,'İşçi Bilgileri'!M181+(F183-VERİLER!$C$7),0)</f>
        <v>0</v>
      </c>
      <c r="K183" s="137">
        <f>IF(VERİLER!$C$11&gt;0,ROUND(J183*0.15,2),0)</f>
        <v>0</v>
      </c>
      <c r="L183" s="359">
        <f t="shared" si="28"/>
        <v>0</v>
      </c>
      <c r="M183" s="139">
        <f t="shared" si="29"/>
        <v>0</v>
      </c>
      <c r="N183" s="137">
        <f t="shared" si="30"/>
        <v>0</v>
      </c>
      <c r="O183" s="359">
        <f t="shared" si="31"/>
        <v>0</v>
      </c>
      <c r="P183" s="140">
        <f t="shared" si="32"/>
        <v>0</v>
      </c>
      <c r="Q183" s="140">
        <v>0</v>
      </c>
      <c r="R183" s="137">
        <f t="shared" si="33"/>
        <v>0</v>
      </c>
      <c r="S183" s="141">
        <f t="shared" si="34"/>
        <v>0</v>
      </c>
      <c r="T183" s="137">
        <f t="shared" si="35"/>
        <v>0</v>
      </c>
      <c r="U183" s="137">
        <f>ROUND(VERİLER!$F$9*T183,3)</f>
        <v>0</v>
      </c>
      <c r="V183" s="336">
        <f t="shared" si="36"/>
        <v>0</v>
      </c>
      <c r="W183" s="113"/>
      <c r="X183" s="113"/>
      <c r="Y183" s="113"/>
    </row>
    <row r="184" spans="1:25" s="143" customFormat="1" ht="15" customHeight="1" x14ac:dyDescent="0.2">
      <c r="A184" s="299" t="str">
        <f>IF('İşçi Bilgileri'!A182="","",'İşçi Bilgileri'!A182)</f>
        <v/>
      </c>
      <c r="B184" s="300" t="str">
        <f>IF($A184="","",VLOOKUP($A184,'İşçi Bilgileri'!$A$2:$D$700,4,FALSE))</f>
        <v/>
      </c>
      <c r="C184" s="301" t="str">
        <f>CONCATENATE(IF($A184="","",VLOOKUP($A184,'İşçi Bilgileri'!$A$2:$D$700,2,FALSE))," ",IF($A184="","",VLOOKUP($A184,'İşçi Bilgileri'!$A$2:$D$700,3,FALSE)))</f>
        <v xml:space="preserve"> </v>
      </c>
      <c r="D184" s="137" t="str">
        <f>IF($A184="","",VERİLER!$C$5)</f>
        <v/>
      </c>
      <c r="E184" s="138" t="str">
        <f>IF($A184="","",Puantaj!AJ189)</f>
        <v/>
      </c>
      <c r="F184" s="137">
        <f t="shared" si="25"/>
        <v>0</v>
      </c>
      <c r="G184" s="137"/>
      <c r="H184" s="137">
        <f t="shared" si="26"/>
        <v>0</v>
      </c>
      <c r="I184" s="137">
        <f t="shared" si="27"/>
        <v>0</v>
      </c>
      <c r="J184" s="137">
        <f>IF(F184&gt;VERİLER!$C$7,'İşçi Bilgileri'!M182+(F184-VERİLER!$C$7),0)</f>
        <v>0</v>
      </c>
      <c r="K184" s="137">
        <f>IF(VERİLER!$C$11&gt;0,ROUND(J184*0.15,2),0)</f>
        <v>0</v>
      </c>
      <c r="L184" s="359">
        <f t="shared" si="28"/>
        <v>0</v>
      </c>
      <c r="M184" s="139">
        <f t="shared" si="29"/>
        <v>0</v>
      </c>
      <c r="N184" s="137">
        <f t="shared" si="30"/>
        <v>0</v>
      </c>
      <c r="O184" s="359">
        <f t="shared" si="31"/>
        <v>0</v>
      </c>
      <c r="P184" s="140">
        <f t="shared" si="32"/>
        <v>0</v>
      </c>
      <c r="Q184" s="140">
        <v>0</v>
      </c>
      <c r="R184" s="137">
        <f t="shared" si="33"/>
        <v>0</v>
      </c>
      <c r="S184" s="141">
        <f t="shared" si="34"/>
        <v>0</v>
      </c>
      <c r="T184" s="137">
        <f t="shared" si="35"/>
        <v>0</v>
      </c>
      <c r="U184" s="137">
        <f>ROUND(VERİLER!$F$9*T184,3)</f>
        <v>0</v>
      </c>
      <c r="V184" s="336">
        <f t="shared" si="36"/>
        <v>0</v>
      </c>
      <c r="W184" s="113"/>
      <c r="X184" s="113"/>
      <c r="Y184" s="113"/>
    </row>
    <row r="185" spans="1:25" s="143" customFormat="1" ht="15" customHeight="1" x14ac:dyDescent="0.2">
      <c r="A185" s="299" t="str">
        <f>IF('İşçi Bilgileri'!A183="","",'İşçi Bilgileri'!A183)</f>
        <v/>
      </c>
      <c r="B185" s="300" t="str">
        <f>IF($A185="","",VLOOKUP($A185,'İşçi Bilgileri'!$A$2:$D$700,4,FALSE))</f>
        <v/>
      </c>
      <c r="C185" s="301" t="str">
        <f>CONCATENATE(IF($A185="","",VLOOKUP($A185,'İşçi Bilgileri'!$A$2:$D$700,2,FALSE))," ",IF($A185="","",VLOOKUP($A185,'İşçi Bilgileri'!$A$2:$D$700,3,FALSE)))</f>
        <v xml:space="preserve"> </v>
      </c>
      <c r="D185" s="137" t="str">
        <f>IF($A185="","",VERİLER!$C$5)</f>
        <v/>
      </c>
      <c r="E185" s="138" t="str">
        <f>IF($A185="","",Puantaj!AJ190)</f>
        <v/>
      </c>
      <c r="F185" s="137">
        <f t="shared" si="25"/>
        <v>0</v>
      </c>
      <c r="G185" s="137"/>
      <c r="H185" s="137">
        <f t="shared" si="26"/>
        <v>0</v>
      </c>
      <c r="I185" s="137">
        <f t="shared" si="27"/>
        <v>0</v>
      </c>
      <c r="J185" s="137">
        <f>IF(F185&gt;VERİLER!$C$7,'İşçi Bilgileri'!M183+(F185-VERİLER!$C$7),0)</f>
        <v>0</v>
      </c>
      <c r="K185" s="137">
        <f>IF(VERİLER!$C$11&gt;0,ROUND(J185*0.15,2),0)</f>
        <v>0</v>
      </c>
      <c r="L185" s="359">
        <f t="shared" si="28"/>
        <v>0</v>
      </c>
      <c r="M185" s="139">
        <f t="shared" si="29"/>
        <v>0</v>
      </c>
      <c r="N185" s="137">
        <f t="shared" si="30"/>
        <v>0</v>
      </c>
      <c r="O185" s="359">
        <f t="shared" si="31"/>
        <v>0</v>
      </c>
      <c r="P185" s="140">
        <f t="shared" si="32"/>
        <v>0</v>
      </c>
      <c r="Q185" s="140">
        <v>0</v>
      </c>
      <c r="R185" s="137">
        <f t="shared" si="33"/>
        <v>0</v>
      </c>
      <c r="S185" s="141">
        <f t="shared" si="34"/>
        <v>0</v>
      </c>
      <c r="T185" s="137">
        <f t="shared" si="35"/>
        <v>0</v>
      </c>
      <c r="U185" s="137">
        <f>ROUND(VERİLER!$F$9*T185,3)</f>
        <v>0</v>
      </c>
      <c r="V185" s="336">
        <f t="shared" si="36"/>
        <v>0</v>
      </c>
      <c r="W185" s="113"/>
      <c r="X185" s="113"/>
      <c r="Y185" s="113"/>
    </row>
    <row r="186" spans="1:25" s="143" customFormat="1" ht="15" customHeight="1" x14ac:dyDescent="0.2">
      <c r="A186" s="299" t="str">
        <f>IF('İşçi Bilgileri'!A184="","",'İşçi Bilgileri'!A184)</f>
        <v/>
      </c>
      <c r="B186" s="300" t="str">
        <f>IF($A186="","",VLOOKUP($A186,'İşçi Bilgileri'!$A$2:$D$700,4,FALSE))</f>
        <v/>
      </c>
      <c r="C186" s="301" t="str">
        <f>CONCATENATE(IF($A186="","",VLOOKUP($A186,'İşçi Bilgileri'!$A$2:$D$700,2,FALSE))," ",IF($A186="","",VLOOKUP($A186,'İşçi Bilgileri'!$A$2:$D$700,3,FALSE)))</f>
        <v xml:space="preserve"> </v>
      </c>
      <c r="D186" s="137" t="str">
        <f>IF($A186="","",VERİLER!$C$5)</f>
        <v/>
      </c>
      <c r="E186" s="138" t="str">
        <f>IF($A186="","",Puantaj!AJ191)</f>
        <v/>
      </c>
      <c r="F186" s="137">
        <f t="shared" si="25"/>
        <v>0</v>
      </c>
      <c r="G186" s="137"/>
      <c r="H186" s="137">
        <f t="shared" si="26"/>
        <v>0</v>
      </c>
      <c r="I186" s="137">
        <f t="shared" si="27"/>
        <v>0</v>
      </c>
      <c r="J186" s="137">
        <f>IF(F186&gt;VERİLER!$C$7,'İşçi Bilgileri'!M184+(F186-VERİLER!$C$7),0)</f>
        <v>0</v>
      </c>
      <c r="K186" s="137">
        <f>IF(VERİLER!$C$11&gt;0,ROUND(J186*0.15,2),0)</f>
        <v>0</v>
      </c>
      <c r="L186" s="359">
        <f t="shared" si="28"/>
        <v>0</v>
      </c>
      <c r="M186" s="139">
        <f t="shared" si="29"/>
        <v>0</v>
      </c>
      <c r="N186" s="137">
        <f t="shared" si="30"/>
        <v>0</v>
      </c>
      <c r="O186" s="359">
        <f t="shared" si="31"/>
        <v>0</v>
      </c>
      <c r="P186" s="140">
        <f t="shared" si="32"/>
        <v>0</v>
      </c>
      <c r="Q186" s="140">
        <v>0</v>
      </c>
      <c r="R186" s="137">
        <f t="shared" si="33"/>
        <v>0</v>
      </c>
      <c r="S186" s="141">
        <f t="shared" si="34"/>
        <v>0</v>
      </c>
      <c r="T186" s="137">
        <f t="shared" si="35"/>
        <v>0</v>
      </c>
      <c r="U186" s="137">
        <f>ROUND(VERİLER!$F$9*T186,3)</f>
        <v>0</v>
      </c>
      <c r="V186" s="336">
        <f t="shared" si="36"/>
        <v>0</v>
      </c>
      <c r="W186" s="113"/>
      <c r="X186" s="113"/>
      <c r="Y186" s="113"/>
    </row>
    <row r="187" spans="1:25" s="143" customFormat="1" ht="15" customHeight="1" x14ac:dyDescent="0.2">
      <c r="A187" s="299" t="str">
        <f>IF('İşçi Bilgileri'!A185="","",'İşçi Bilgileri'!A185)</f>
        <v/>
      </c>
      <c r="B187" s="300" t="str">
        <f>IF($A187="","",VLOOKUP($A187,'İşçi Bilgileri'!$A$2:$D$700,4,FALSE))</f>
        <v/>
      </c>
      <c r="C187" s="301" t="str">
        <f>CONCATENATE(IF($A187="","",VLOOKUP($A187,'İşçi Bilgileri'!$A$2:$D$700,2,FALSE))," ",IF($A187="","",VLOOKUP($A187,'İşçi Bilgileri'!$A$2:$D$700,3,FALSE)))</f>
        <v xml:space="preserve"> </v>
      </c>
      <c r="D187" s="137" t="str">
        <f>IF($A187="","",VERİLER!$C$5)</f>
        <v/>
      </c>
      <c r="E187" s="138" t="str">
        <f>IF($A187="","",Puantaj!AJ192)</f>
        <v/>
      </c>
      <c r="F187" s="137">
        <f t="shared" si="25"/>
        <v>0</v>
      </c>
      <c r="G187" s="137"/>
      <c r="H187" s="137">
        <f t="shared" si="26"/>
        <v>0</v>
      </c>
      <c r="I187" s="137">
        <f t="shared" si="27"/>
        <v>0</v>
      </c>
      <c r="J187" s="137">
        <f>IF(F187&gt;VERİLER!$C$7,'İşçi Bilgileri'!M185+(F187-VERİLER!$C$7),0)</f>
        <v>0</v>
      </c>
      <c r="K187" s="137">
        <f>IF(VERİLER!$C$11&gt;0,ROUND(J187*0.15,2),0)</f>
        <v>0</v>
      </c>
      <c r="L187" s="359">
        <f t="shared" si="28"/>
        <v>0</v>
      </c>
      <c r="M187" s="139">
        <f t="shared" si="29"/>
        <v>0</v>
      </c>
      <c r="N187" s="137">
        <f t="shared" si="30"/>
        <v>0</v>
      </c>
      <c r="O187" s="359">
        <f t="shared" si="31"/>
        <v>0</v>
      </c>
      <c r="P187" s="140">
        <f t="shared" si="32"/>
        <v>0</v>
      </c>
      <c r="Q187" s="140">
        <v>0</v>
      </c>
      <c r="R187" s="137">
        <f t="shared" si="33"/>
        <v>0</v>
      </c>
      <c r="S187" s="141">
        <f t="shared" si="34"/>
        <v>0</v>
      </c>
      <c r="T187" s="137">
        <f t="shared" si="35"/>
        <v>0</v>
      </c>
      <c r="U187" s="137">
        <f>ROUND(VERİLER!$F$9*T187,3)</f>
        <v>0</v>
      </c>
      <c r="V187" s="336">
        <f t="shared" si="36"/>
        <v>0</v>
      </c>
      <c r="W187" s="113"/>
      <c r="X187" s="113"/>
      <c r="Y187" s="113"/>
    </row>
    <row r="188" spans="1:25" s="143" customFormat="1" ht="15" customHeight="1" x14ac:dyDescent="0.2">
      <c r="A188" s="299" t="str">
        <f>IF('İşçi Bilgileri'!A186="","",'İşçi Bilgileri'!A186)</f>
        <v/>
      </c>
      <c r="B188" s="300" t="str">
        <f>IF($A188="","",VLOOKUP($A188,'İşçi Bilgileri'!$A$2:$D$700,4,FALSE))</f>
        <v/>
      </c>
      <c r="C188" s="301" t="str">
        <f>CONCATENATE(IF($A188="","",VLOOKUP($A188,'İşçi Bilgileri'!$A$2:$D$700,2,FALSE))," ",IF($A188="","",VLOOKUP($A188,'İşçi Bilgileri'!$A$2:$D$700,3,FALSE)))</f>
        <v xml:space="preserve"> </v>
      </c>
      <c r="D188" s="137" t="str">
        <f>IF($A188="","",VERİLER!$C$5)</f>
        <v/>
      </c>
      <c r="E188" s="138" t="str">
        <f>IF($A188="","",Puantaj!AJ193)</f>
        <v/>
      </c>
      <c r="F188" s="137">
        <f t="shared" si="25"/>
        <v>0</v>
      </c>
      <c r="G188" s="137"/>
      <c r="H188" s="137">
        <f t="shared" si="26"/>
        <v>0</v>
      </c>
      <c r="I188" s="137">
        <f t="shared" si="27"/>
        <v>0</v>
      </c>
      <c r="J188" s="137">
        <f>IF(F188&gt;VERİLER!$C$7,'İşçi Bilgileri'!M186+(F188-VERİLER!$C$7),0)</f>
        <v>0</v>
      </c>
      <c r="K188" s="137">
        <f>IF(VERİLER!$C$11&gt;0,ROUND(J188*0.15,2),0)</f>
        <v>0</v>
      </c>
      <c r="L188" s="359">
        <f t="shared" si="28"/>
        <v>0</v>
      </c>
      <c r="M188" s="139">
        <f t="shared" si="29"/>
        <v>0</v>
      </c>
      <c r="N188" s="137">
        <f t="shared" si="30"/>
        <v>0</v>
      </c>
      <c r="O188" s="359">
        <f t="shared" si="31"/>
        <v>0</v>
      </c>
      <c r="P188" s="140">
        <f t="shared" si="32"/>
        <v>0</v>
      </c>
      <c r="Q188" s="140">
        <v>0</v>
      </c>
      <c r="R188" s="137">
        <f t="shared" si="33"/>
        <v>0</v>
      </c>
      <c r="S188" s="141">
        <f t="shared" si="34"/>
        <v>0</v>
      </c>
      <c r="T188" s="137">
        <f t="shared" si="35"/>
        <v>0</v>
      </c>
      <c r="U188" s="137">
        <f>ROUND(VERİLER!$F$9*T188,3)</f>
        <v>0</v>
      </c>
      <c r="V188" s="336">
        <f t="shared" si="36"/>
        <v>0</v>
      </c>
      <c r="W188" s="113"/>
      <c r="X188" s="113"/>
      <c r="Y188" s="113"/>
    </row>
    <row r="189" spans="1:25" s="143" customFormat="1" ht="15" customHeight="1" x14ac:dyDescent="0.2">
      <c r="A189" s="299" t="str">
        <f>IF('İşçi Bilgileri'!A187="","",'İşçi Bilgileri'!A187)</f>
        <v/>
      </c>
      <c r="B189" s="300" t="str">
        <f>IF($A189="","",VLOOKUP($A189,'İşçi Bilgileri'!$A$2:$D$700,4,FALSE))</f>
        <v/>
      </c>
      <c r="C189" s="301" t="str">
        <f>CONCATENATE(IF($A189="","",VLOOKUP($A189,'İşçi Bilgileri'!$A$2:$D$700,2,FALSE))," ",IF($A189="","",VLOOKUP($A189,'İşçi Bilgileri'!$A$2:$D$700,3,FALSE)))</f>
        <v xml:space="preserve"> </v>
      </c>
      <c r="D189" s="137" t="str">
        <f>IF($A189="","",VERİLER!$C$5)</f>
        <v/>
      </c>
      <c r="E189" s="138" t="str">
        <f>IF($A189="","",Puantaj!AJ194)</f>
        <v/>
      </c>
      <c r="F189" s="137">
        <f t="shared" si="25"/>
        <v>0</v>
      </c>
      <c r="G189" s="137"/>
      <c r="H189" s="137">
        <f t="shared" si="26"/>
        <v>0</v>
      </c>
      <c r="I189" s="137">
        <f t="shared" si="27"/>
        <v>0</v>
      </c>
      <c r="J189" s="137">
        <f>IF(F189&gt;VERİLER!$C$7,'İşçi Bilgileri'!M187+(F189-VERİLER!$C$7),0)</f>
        <v>0</v>
      </c>
      <c r="K189" s="137">
        <f>IF(VERİLER!$C$11&gt;0,ROUND(J189*0.15,2),0)</f>
        <v>0</v>
      </c>
      <c r="L189" s="359">
        <f t="shared" si="28"/>
        <v>0</v>
      </c>
      <c r="M189" s="139">
        <f t="shared" si="29"/>
        <v>0</v>
      </c>
      <c r="N189" s="137">
        <f t="shared" si="30"/>
        <v>0</v>
      </c>
      <c r="O189" s="359">
        <f t="shared" si="31"/>
        <v>0</v>
      </c>
      <c r="P189" s="140">
        <f t="shared" si="32"/>
        <v>0</v>
      </c>
      <c r="Q189" s="140">
        <v>0</v>
      </c>
      <c r="R189" s="137">
        <f t="shared" si="33"/>
        <v>0</v>
      </c>
      <c r="S189" s="141">
        <f t="shared" si="34"/>
        <v>0</v>
      </c>
      <c r="T189" s="137">
        <f t="shared" si="35"/>
        <v>0</v>
      </c>
      <c r="U189" s="137">
        <f>ROUND(VERİLER!$F$9*T189,3)</f>
        <v>0</v>
      </c>
      <c r="V189" s="336">
        <f t="shared" si="36"/>
        <v>0</v>
      </c>
      <c r="W189" s="113"/>
      <c r="X189" s="113"/>
      <c r="Y189" s="113"/>
    </row>
    <row r="190" spans="1:25" s="143" customFormat="1" ht="13.5" customHeight="1" x14ac:dyDescent="0.2">
      <c r="A190" s="299" t="str">
        <f>IF('İşçi Bilgileri'!A188="","",'İşçi Bilgileri'!A188)</f>
        <v/>
      </c>
      <c r="B190" s="300" t="str">
        <f>IF($A190="","",VLOOKUP($A190,'İşçi Bilgileri'!$A$2:$D$700,4,FALSE))</f>
        <v/>
      </c>
      <c r="C190" s="301" t="str">
        <f>CONCATENATE(IF($A190="","",VLOOKUP($A190,'İşçi Bilgileri'!$A$2:$D$700,2,FALSE))," ",IF($A190="","",VLOOKUP($A190,'İşçi Bilgileri'!$A$2:$D$700,3,FALSE)))</f>
        <v xml:space="preserve"> </v>
      </c>
      <c r="D190" s="137" t="str">
        <f>IF($A190="","",VERİLER!$C$5)</f>
        <v/>
      </c>
      <c r="E190" s="138" t="str">
        <f>IF($A190="","",Puantaj!AJ195)</f>
        <v/>
      </c>
      <c r="F190" s="137">
        <f t="shared" si="25"/>
        <v>0</v>
      </c>
      <c r="G190" s="137"/>
      <c r="H190" s="137">
        <f t="shared" si="26"/>
        <v>0</v>
      </c>
      <c r="I190" s="137">
        <f t="shared" si="27"/>
        <v>0</v>
      </c>
      <c r="J190" s="137">
        <f>IF(F190&gt;VERİLER!$C$7,'İşçi Bilgileri'!M188+(F190-VERİLER!$C$7),0)</f>
        <v>0</v>
      </c>
      <c r="K190" s="137">
        <f>IF(VERİLER!$C$11&gt;0,ROUND(J190*0.15,2),0)</f>
        <v>0</v>
      </c>
      <c r="L190" s="359">
        <f t="shared" si="28"/>
        <v>0</v>
      </c>
      <c r="M190" s="139">
        <f t="shared" si="29"/>
        <v>0</v>
      </c>
      <c r="N190" s="137">
        <f t="shared" si="30"/>
        <v>0</v>
      </c>
      <c r="O190" s="359">
        <f t="shared" si="31"/>
        <v>0</v>
      </c>
      <c r="P190" s="140">
        <f t="shared" si="32"/>
        <v>0</v>
      </c>
      <c r="Q190" s="140">
        <v>0</v>
      </c>
      <c r="R190" s="137">
        <f t="shared" si="33"/>
        <v>0</v>
      </c>
      <c r="S190" s="141">
        <f t="shared" si="34"/>
        <v>0</v>
      </c>
      <c r="T190" s="137">
        <f t="shared" si="35"/>
        <v>0</v>
      </c>
      <c r="U190" s="137">
        <f>ROUND(VERİLER!$F$9*T190,3)</f>
        <v>0</v>
      </c>
      <c r="V190" s="336">
        <f t="shared" si="36"/>
        <v>0</v>
      </c>
      <c r="W190" s="113"/>
      <c r="X190" s="113"/>
      <c r="Y190" s="113"/>
    </row>
    <row r="191" spans="1:25" s="143" customFormat="1" ht="15" customHeight="1" x14ac:dyDescent="0.2">
      <c r="A191" s="299" t="str">
        <f>IF('İşçi Bilgileri'!A189="","",'İşçi Bilgileri'!A189)</f>
        <v/>
      </c>
      <c r="B191" s="300" t="str">
        <f>IF($A191="","",VLOOKUP($A191,'İşçi Bilgileri'!$A$2:$D$700,4,FALSE))</f>
        <v/>
      </c>
      <c r="C191" s="301" t="str">
        <f>CONCATENATE(IF($A191="","",VLOOKUP($A191,'İşçi Bilgileri'!$A$2:$D$700,2,FALSE))," ",IF($A191="","",VLOOKUP($A191,'İşçi Bilgileri'!$A$2:$D$700,3,FALSE)))</f>
        <v xml:space="preserve"> </v>
      </c>
      <c r="D191" s="137" t="str">
        <f>IF($A191="","",VERİLER!$C$5)</f>
        <v/>
      </c>
      <c r="E191" s="138" t="str">
        <f>IF($A191="","",Puantaj!AJ196)</f>
        <v/>
      </c>
      <c r="F191" s="137">
        <f t="shared" si="25"/>
        <v>0</v>
      </c>
      <c r="G191" s="137"/>
      <c r="H191" s="137">
        <f t="shared" si="26"/>
        <v>0</v>
      </c>
      <c r="I191" s="137">
        <f t="shared" si="27"/>
        <v>0</v>
      </c>
      <c r="J191" s="137">
        <f>IF(F191&gt;VERİLER!$C$7,'İşçi Bilgileri'!M189+(F191-VERİLER!$C$7),0)</f>
        <v>0</v>
      </c>
      <c r="K191" s="137">
        <f>IF(VERİLER!$C$11&gt;0,ROUND(J191*0.15,2),0)</f>
        <v>0</v>
      </c>
      <c r="L191" s="359">
        <f t="shared" si="28"/>
        <v>0</v>
      </c>
      <c r="M191" s="139">
        <f t="shared" si="29"/>
        <v>0</v>
      </c>
      <c r="N191" s="137">
        <f t="shared" si="30"/>
        <v>0</v>
      </c>
      <c r="O191" s="359">
        <f t="shared" si="31"/>
        <v>0</v>
      </c>
      <c r="P191" s="140">
        <f t="shared" si="32"/>
        <v>0</v>
      </c>
      <c r="Q191" s="140">
        <v>0</v>
      </c>
      <c r="R191" s="137">
        <f t="shared" si="33"/>
        <v>0</v>
      </c>
      <c r="S191" s="141">
        <f t="shared" si="34"/>
        <v>0</v>
      </c>
      <c r="T191" s="137">
        <f t="shared" si="35"/>
        <v>0</v>
      </c>
      <c r="U191" s="137">
        <f>ROUND(VERİLER!$F$9*T191,3)</f>
        <v>0</v>
      </c>
      <c r="V191" s="336">
        <f t="shared" si="36"/>
        <v>0</v>
      </c>
      <c r="W191" s="113"/>
      <c r="X191" s="113"/>
      <c r="Y191" s="113"/>
    </row>
    <row r="192" spans="1:25" s="143" customFormat="1" ht="15" customHeight="1" x14ac:dyDescent="0.2">
      <c r="A192" s="299" t="str">
        <f>IF('İşçi Bilgileri'!A190="","",'İşçi Bilgileri'!A190)</f>
        <v/>
      </c>
      <c r="B192" s="300" t="str">
        <f>IF($A192="","",VLOOKUP($A192,'İşçi Bilgileri'!$A$2:$D$700,4,FALSE))</f>
        <v/>
      </c>
      <c r="C192" s="301" t="str">
        <f>CONCATENATE(IF($A192="","",VLOOKUP($A192,'İşçi Bilgileri'!$A$2:$D$700,2,FALSE))," ",IF($A192="","",VLOOKUP($A192,'İşçi Bilgileri'!$A$2:$D$700,3,FALSE)))</f>
        <v xml:space="preserve"> </v>
      </c>
      <c r="D192" s="137" t="str">
        <f>IF($A192="","",VERİLER!$C$5)</f>
        <v/>
      </c>
      <c r="E192" s="138" t="str">
        <f>IF($A192="","",Puantaj!AJ197)</f>
        <v/>
      </c>
      <c r="F192" s="137">
        <f t="shared" si="25"/>
        <v>0</v>
      </c>
      <c r="G192" s="137"/>
      <c r="H192" s="137">
        <f t="shared" si="26"/>
        <v>0</v>
      </c>
      <c r="I192" s="137">
        <f t="shared" si="27"/>
        <v>0</v>
      </c>
      <c r="J192" s="137">
        <f>IF(F192&gt;VERİLER!$C$7,'İşçi Bilgileri'!M190+(F192-VERİLER!$C$7),0)</f>
        <v>0</v>
      </c>
      <c r="K192" s="137">
        <f>IF(VERİLER!$C$11&gt;0,ROUND(J192*0.15,2),0)</f>
        <v>0</v>
      </c>
      <c r="L192" s="359">
        <f t="shared" si="28"/>
        <v>0</v>
      </c>
      <c r="M192" s="139">
        <f t="shared" si="29"/>
        <v>0</v>
      </c>
      <c r="N192" s="137">
        <f t="shared" si="30"/>
        <v>0</v>
      </c>
      <c r="O192" s="359">
        <f t="shared" si="31"/>
        <v>0</v>
      </c>
      <c r="P192" s="140">
        <f t="shared" si="32"/>
        <v>0</v>
      </c>
      <c r="Q192" s="140">
        <v>0</v>
      </c>
      <c r="R192" s="137">
        <f t="shared" si="33"/>
        <v>0</v>
      </c>
      <c r="S192" s="141">
        <f t="shared" si="34"/>
        <v>0</v>
      </c>
      <c r="T192" s="137">
        <f t="shared" si="35"/>
        <v>0</v>
      </c>
      <c r="U192" s="137">
        <f>ROUND(VERİLER!$F$9*T192,3)</f>
        <v>0</v>
      </c>
      <c r="V192" s="336">
        <f t="shared" si="36"/>
        <v>0</v>
      </c>
      <c r="W192" s="113"/>
      <c r="X192" s="113"/>
      <c r="Y192" s="113"/>
    </row>
    <row r="193" spans="1:25" s="143" customFormat="1" ht="15" customHeight="1" x14ac:dyDescent="0.2">
      <c r="A193" s="299" t="str">
        <f>IF('İşçi Bilgileri'!A191="","",'İşçi Bilgileri'!A191)</f>
        <v/>
      </c>
      <c r="B193" s="300" t="str">
        <f>IF($A193="","",VLOOKUP($A193,'İşçi Bilgileri'!$A$2:$D$700,4,FALSE))</f>
        <v/>
      </c>
      <c r="C193" s="301" t="str">
        <f>CONCATENATE(IF($A193="","",VLOOKUP($A193,'İşçi Bilgileri'!$A$2:$D$700,2,FALSE))," ",IF($A193="","",VLOOKUP($A193,'İşçi Bilgileri'!$A$2:$D$700,3,FALSE)))</f>
        <v xml:space="preserve"> </v>
      </c>
      <c r="D193" s="137" t="str">
        <f>IF($A193="","",VERİLER!$C$5)</f>
        <v/>
      </c>
      <c r="E193" s="138" t="str">
        <f>IF($A193="","",Puantaj!AJ198)</f>
        <v/>
      </c>
      <c r="F193" s="137">
        <f t="shared" si="25"/>
        <v>0</v>
      </c>
      <c r="G193" s="137"/>
      <c r="H193" s="137">
        <f t="shared" si="26"/>
        <v>0</v>
      </c>
      <c r="I193" s="137">
        <f t="shared" si="27"/>
        <v>0</v>
      </c>
      <c r="J193" s="137">
        <f>IF(F193&gt;VERİLER!$C$7,'İşçi Bilgileri'!M191+(F193-VERİLER!$C$7),0)</f>
        <v>0</v>
      </c>
      <c r="K193" s="137">
        <f>IF(VERİLER!$C$11&gt;0,ROUND(J193*0.15,2),0)</f>
        <v>0</v>
      </c>
      <c r="L193" s="359">
        <f t="shared" si="28"/>
        <v>0</v>
      </c>
      <c r="M193" s="139">
        <f t="shared" si="29"/>
        <v>0</v>
      </c>
      <c r="N193" s="137">
        <f t="shared" si="30"/>
        <v>0</v>
      </c>
      <c r="O193" s="359">
        <f t="shared" si="31"/>
        <v>0</v>
      </c>
      <c r="P193" s="140">
        <f t="shared" si="32"/>
        <v>0</v>
      </c>
      <c r="Q193" s="140">
        <v>0</v>
      </c>
      <c r="R193" s="137">
        <f t="shared" si="33"/>
        <v>0</v>
      </c>
      <c r="S193" s="141">
        <f t="shared" si="34"/>
        <v>0</v>
      </c>
      <c r="T193" s="137">
        <f t="shared" si="35"/>
        <v>0</v>
      </c>
      <c r="U193" s="137">
        <f>ROUND(VERİLER!$F$9*T193,3)</f>
        <v>0</v>
      </c>
      <c r="V193" s="336">
        <f t="shared" si="36"/>
        <v>0</v>
      </c>
      <c r="W193" s="113"/>
      <c r="X193" s="113"/>
      <c r="Y193" s="113"/>
    </row>
    <row r="194" spans="1:25" s="143" customFormat="1" ht="15" customHeight="1" x14ac:dyDescent="0.2">
      <c r="A194" s="299" t="str">
        <f>IF('İşçi Bilgileri'!A192="","",'İşçi Bilgileri'!A192)</f>
        <v/>
      </c>
      <c r="B194" s="300" t="str">
        <f>IF($A194="","",VLOOKUP($A194,'İşçi Bilgileri'!$A$2:$D$700,4,FALSE))</f>
        <v/>
      </c>
      <c r="C194" s="301" t="str">
        <f>CONCATENATE(IF($A194="","",VLOOKUP($A194,'İşçi Bilgileri'!$A$2:$D$700,2,FALSE))," ",IF($A194="","",VLOOKUP($A194,'İşçi Bilgileri'!$A$2:$D$700,3,FALSE)))</f>
        <v xml:space="preserve"> </v>
      </c>
      <c r="D194" s="137" t="str">
        <f>IF($A194="","",VERİLER!$C$5)</f>
        <v/>
      </c>
      <c r="E194" s="138" t="str">
        <f>IF($A194="","",Puantaj!AJ199)</f>
        <v/>
      </c>
      <c r="F194" s="137">
        <f t="shared" si="25"/>
        <v>0</v>
      </c>
      <c r="G194" s="137"/>
      <c r="H194" s="137">
        <f t="shared" si="26"/>
        <v>0</v>
      </c>
      <c r="I194" s="137">
        <f t="shared" si="27"/>
        <v>0</v>
      </c>
      <c r="J194" s="137">
        <f>IF(F194&gt;VERİLER!$C$7,'İşçi Bilgileri'!M192+(F194-VERİLER!$C$7),0)</f>
        <v>0</v>
      </c>
      <c r="K194" s="137">
        <f>IF(VERİLER!$C$11&gt;0,ROUND(J194*0.15,2),0)</f>
        <v>0</v>
      </c>
      <c r="L194" s="359">
        <f t="shared" si="28"/>
        <v>0</v>
      </c>
      <c r="M194" s="139">
        <f t="shared" si="29"/>
        <v>0</v>
      </c>
      <c r="N194" s="137">
        <f t="shared" si="30"/>
        <v>0</v>
      </c>
      <c r="O194" s="359">
        <f t="shared" si="31"/>
        <v>0</v>
      </c>
      <c r="P194" s="140">
        <f t="shared" si="32"/>
        <v>0</v>
      </c>
      <c r="Q194" s="140">
        <v>0</v>
      </c>
      <c r="R194" s="137">
        <f t="shared" si="33"/>
        <v>0</v>
      </c>
      <c r="S194" s="141">
        <f t="shared" si="34"/>
        <v>0</v>
      </c>
      <c r="T194" s="137">
        <f t="shared" si="35"/>
        <v>0</v>
      </c>
      <c r="U194" s="137">
        <f>ROUND(VERİLER!$F$9*T194,3)</f>
        <v>0</v>
      </c>
      <c r="V194" s="336">
        <f t="shared" si="36"/>
        <v>0</v>
      </c>
      <c r="W194" s="113"/>
      <c r="X194" s="113"/>
      <c r="Y194" s="113"/>
    </row>
    <row r="195" spans="1:25" s="143" customFormat="1" ht="15" customHeight="1" x14ac:dyDescent="0.2">
      <c r="A195" s="299" t="str">
        <f>IF('İşçi Bilgileri'!A193="","",'İşçi Bilgileri'!A193)</f>
        <v/>
      </c>
      <c r="B195" s="300" t="str">
        <f>IF($A195="","",VLOOKUP($A195,'İşçi Bilgileri'!$A$2:$D$700,4,FALSE))</f>
        <v/>
      </c>
      <c r="C195" s="301" t="str">
        <f>CONCATENATE(IF($A195="","",VLOOKUP($A195,'İşçi Bilgileri'!$A$2:$D$700,2,FALSE))," ",IF($A195="","",VLOOKUP($A195,'İşçi Bilgileri'!$A$2:$D$700,3,FALSE)))</f>
        <v xml:space="preserve"> </v>
      </c>
      <c r="D195" s="137" t="str">
        <f>IF($A195="","",VERİLER!$C$5)</f>
        <v/>
      </c>
      <c r="E195" s="138" t="str">
        <f>IF($A195="","",Puantaj!AJ200)</f>
        <v/>
      </c>
      <c r="F195" s="137">
        <f t="shared" si="25"/>
        <v>0</v>
      </c>
      <c r="G195" s="137"/>
      <c r="H195" s="137">
        <f t="shared" si="26"/>
        <v>0</v>
      </c>
      <c r="I195" s="137">
        <f t="shared" si="27"/>
        <v>0</v>
      </c>
      <c r="J195" s="137">
        <f>IF(F195&gt;VERİLER!$C$7,'İşçi Bilgileri'!M193+(F195-VERİLER!$C$7),0)</f>
        <v>0</v>
      </c>
      <c r="K195" s="137">
        <f>IF(VERİLER!$C$11&gt;0,ROUND(J195*0.15,2),0)</f>
        <v>0</v>
      </c>
      <c r="L195" s="359">
        <f t="shared" si="28"/>
        <v>0</v>
      </c>
      <c r="M195" s="139">
        <f t="shared" si="29"/>
        <v>0</v>
      </c>
      <c r="N195" s="137">
        <f t="shared" si="30"/>
        <v>0</v>
      </c>
      <c r="O195" s="359">
        <f t="shared" si="31"/>
        <v>0</v>
      </c>
      <c r="P195" s="140">
        <f t="shared" si="32"/>
        <v>0</v>
      </c>
      <c r="Q195" s="140">
        <v>0</v>
      </c>
      <c r="R195" s="137">
        <f t="shared" si="33"/>
        <v>0</v>
      </c>
      <c r="S195" s="141">
        <f t="shared" si="34"/>
        <v>0</v>
      </c>
      <c r="T195" s="137">
        <f t="shared" si="35"/>
        <v>0</v>
      </c>
      <c r="U195" s="137">
        <f>ROUND(VERİLER!$F$9*T195,3)</f>
        <v>0</v>
      </c>
      <c r="V195" s="336">
        <f t="shared" si="36"/>
        <v>0</v>
      </c>
      <c r="W195" s="113"/>
      <c r="X195" s="113"/>
      <c r="Y195" s="113"/>
    </row>
    <row r="196" spans="1:25" s="143" customFormat="1" ht="15" customHeight="1" x14ac:dyDescent="0.2">
      <c r="A196" s="299" t="str">
        <f>IF('İşçi Bilgileri'!A194="","",'İşçi Bilgileri'!A194)</f>
        <v/>
      </c>
      <c r="B196" s="300" t="str">
        <f>IF($A196="","",VLOOKUP($A196,'İşçi Bilgileri'!$A$2:$D$700,4,FALSE))</f>
        <v/>
      </c>
      <c r="C196" s="301" t="str">
        <f>CONCATENATE(IF($A196="","",VLOOKUP($A196,'İşçi Bilgileri'!$A$2:$D$700,2,FALSE))," ",IF($A196="","",VLOOKUP($A196,'İşçi Bilgileri'!$A$2:$D$700,3,FALSE)))</f>
        <v xml:space="preserve"> </v>
      </c>
      <c r="D196" s="137" t="str">
        <f>IF($A196="","",VERİLER!$C$5)</f>
        <v/>
      </c>
      <c r="E196" s="138" t="str">
        <f>IF($A196="","",Puantaj!AJ201)</f>
        <v/>
      </c>
      <c r="F196" s="137">
        <f t="shared" si="25"/>
        <v>0</v>
      </c>
      <c r="G196" s="137"/>
      <c r="H196" s="137">
        <f t="shared" si="26"/>
        <v>0</v>
      </c>
      <c r="I196" s="137">
        <f t="shared" si="27"/>
        <v>0</v>
      </c>
      <c r="J196" s="137">
        <f>IF(F196&gt;VERİLER!$C$7,'İşçi Bilgileri'!M194+(F196-VERİLER!$C$7),0)</f>
        <v>0</v>
      </c>
      <c r="K196" s="137">
        <f>IF(VERİLER!$C$11&gt;0,ROUND(J196*0.15,2),0)</f>
        <v>0</v>
      </c>
      <c r="L196" s="359">
        <f t="shared" si="28"/>
        <v>0</v>
      </c>
      <c r="M196" s="139">
        <f t="shared" si="29"/>
        <v>0</v>
      </c>
      <c r="N196" s="137">
        <f t="shared" si="30"/>
        <v>0</v>
      </c>
      <c r="O196" s="359">
        <f t="shared" si="31"/>
        <v>0</v>
      </c>
      <c r="P196" s="140">
        <f t="shared" si="32"/>
        <v>0</v>
      </c>
      <c r="Q196" s="140">
        <v>0</v>
      </c>
      <c r="R196" s="137">
        <f t="shared" si="33"/>
        <v>0</v>
      </c>
      <c r="S196" s="141">
        <f t="shared" si="34"/>
        <v>0</v>
      </c>
      <c r="T196" s="137">
        <f t="shared" si="35"/>
        <v>0</v>
      </c>
      <c r="U196" s="137">
        <f>ROUND(VERİLER!$F$9*T196,3)</f>
        <v>0</v>
      </c>
      <c r="V196" s="336">
        <f t="shared" si="36"/>
        <v>0</v>
      </c>
      <c r="W196" s="113"/>
      <c r="X196" s="113"/>
      <c r="Y196" s="113"/>
    </row>
    <row r="197" spans="1:25" s="143" customFormat="1" ht="15" customHeight="1" x14ac:dyDescent="0.2">
      <c r="A197" s="299" t="str">
        <f>IF('İşçi Bilgileri'!A195="","",'İşçi Bilgileri'!A195)</f>
        <v/>
      </c>
      <c r="B197" s="300" t="str">
        <f>IF($A197="","",VLOOKUP($A197,'İşçi Bilgileri'!$A$2:$D$700,4,FALSE))</f>
        <v/>
      </c>
      <c r="C197" s="301" t="str">
        <f>CONCATENATE(IF($A197="","",VLOOKUP($A197,'İşçi Bilgileri'!$A$2:$D$700,2,FALSE))," ",IF($A197="","",VLOOKUP($A197,'İşçi Bilgileri'!$A$2:$D$700,3,FALSE)))</f>
        <v xml:space="preserve"> </v>
      </c>
      <c r="D197" s="137" t="str">
        <f>IF($A197="","",VERİLER!$C$5)</f>
        <v/>
      </c>
      <c r="E197" s="138" t="str">
        <f>IF($A197="","",Puantaj!AJ202)</f>
        <v/>
      </c>
      <c r="F197" s="137">
        <f t="shared" ref="F197:F260" si="37">IFERROR(ROUND(D197*E197,2),0)</f>
        <v>0</v>
      </c>
      <c r="G197" s="137"/>
      <c r="H197" s="137">
        <f t="shared" ref="H197:H260" si="38">ROUND(T197*0.045,3)</f>
        <v>0</v>
      </c>
      <c r="I197" s="137">
        <f t="shared" ref="I197:I260" si="39">ROUND(F197*0.01,2)</f>
        <v>0</v>
      </c>
      <c r="J197" s="137">
        <f>IF(F197&gt;VERİLER!$C$7,'İşçi Bilgileri'!M195+(F197-VERİLER!$C$7),0)</f>
        <v>0</v>
      </c>
      <c r="K197" s="137">
        <f>IF(VERİLER!$C$11&gt;0,ROUND(J197*0.15,2),0)</f>
        <v>0</v>
      </c>
      <c r="L197" s="359">
        <f t="shared" ref="L197:L260" si="40">K197</f>
        <v>0</v>
      </c>
      <c r="M197" s="139">
        <f t="shared" ref="M197:M260" si="41">K197-L197</f>
        <v>0</v>
      </c>
      <c r="N197" s="137">
        <f t="shared" ref="N197:N260" si="42">F197*0.00759</f>
        <v>0</v>
      </c>
      <c r="O197" s="359">
        <f t="shared" ref="O197:O260" si="43">N197</f>
        <v>0</v>
      </c>
      <c r="P197" s="140">
        <f t="shared" ref="P197:P260" si="44">N197-O197</f>
        <v>0</v>
      </c>
      <c r="Q197" s="140">
        <v>0</v>
      </c>
      <c r="R197" s="137">
        <f t="shared" ref="R197:R260" si="45">ROUND(H197+I197,2)</f>
        <v>0</v>
      </c>
      <c r="S197" s="141">
        <f t="shared" ref="S197:S260" si="46">ROUND(F197,3)</f>
        <v>0</v>
      </c>
      <c r="T197" s="137">
        <f t="shared" ref="T197:T260" si="47">F197</f>
        <v>0</v>
      </c>
      <c r="U197" s="137">
        <f>ROUND(VERİLER!$F$9*T197,3)</f>
        <v>0</v>
      </c>
      <c r="V197" s="336">
        <f t="shared" ref="V197:V260" si="48">T197+U197+H197+I197</f>
        <v>0</v>
      </c>
      <c r="W197" s="113"/>
      <c r="X197" s="113"/>
      <c r="Y197" s="113"/>
    </row>
    <row r="198" spans="1:25" s="143" customFormat="1" ht="15" customHeight="1" x14ac:dyDescent="0.2">
      <c r="A198" s="299" t="str">
        <f>IF('İşçi Bilgileri'!A196="","",'İşçi Bilgileri'!A196)</f>
        <v/>
      </c>
      <c r="B198" s="300" t="str">
        <f>IF($A198="","",VLOOKUP($A198,'İşçi Bilgileri'!$A$2:$D$700,4,FALSE))</f>
        <v/>
      </c>
      <c r="C198" s="301" t="str">
        <f>CONCATENATE(IF($A198="","",VLOOKUP($A198,'İşçi Bilgileri'!$A$2:$D$700,2,FALSE))," ",IF($A198="","",VLOOKUP($A198,'İşçi Bilgileri'!$A$2:$D$700,3,FALSE)))</f>
        <v xml:space="preserve"> </v>
      </c>
      <c r="D198" s="137" t="str">
        <f>IF($A198="","",VERİLER!$C$5)</f>
        <v/>
      </c>
      <c r="E198" s="138" t="str">
        <f>IF($A198="","",Puantaj!AJ203)</f>
        <v/>
      </c>
      <c r="F198" s="137">
        <f t="shared" si="37"/>
        <v>0</v>
      </c>
      <c r="G198" s="137"/>
      <c r="H198" s="137">
        <f t="shared" si="38"/>
        <v>0</v>
      </c>
      <c r="I198" s="137">
        <f t="shared" si="39"/>
        <v>0</v>
      </c>
      <c r="J198" s="137">
        <f>IF(F198&gt;VERİLER!$C$7,'İşçi Bilgileri'!M196+(F198-VERİLER!$C$7),0)</f>
        <v>0</v>
      </c>
      <c r="K198" s="137">
        <f>IF(VERİLER!$C$11&gt;0,ROUND(J198*0.15,2),0)</f>
        <v>0</v>
      </c>
      <c r="L198" s="359">
        <f t="shared" si="40"/>
        <v>0</v>
      </c>
      <c r="M198" s="139">
        <f t="shared" si="41"/>
        <v>0</v>
      </c>
      <c r="N198" s="137">
        <f t="shared" si="42"/>
        <v>0</v>
      </c>
      <c r="O198" s="359">
        <f t="shared" si="43"/>
        <v>0</v>
      </c>
      <c r="P198" s="140">
        <f t="shared" si="44"/>
        <v>0</v>
      </c>
      <c r="Q198" s="140">
        <v>0</v>
      </c>
      <c r="R198" s="137">
        <f t="shared" si="45"/>
        <v>0</v>
      </c>
      <c r="S198" s="141">
        <f t="shared" si="46"/>
        <v>0</v>
      </c>
      <c r="T198" s="137">
        <f t="shared" si="47"/>
        <v>0</v>
      </c>
      <c r="U198" s="137">
        <f>ROUND(VERİLER!$F$9*T198,3)</f>
        <v>0</v>
      </c>
      <c r="V198" s="336">
        <f t="shared" si="48"/>
        <v>0</v>
      </c>
      <c r="W198" s="113"/>
      <c r="X198" s="113"/>
      <c r="Y198" s="113"/>
    </row>
    <row r="199" spans="1:25" s="143" customFormat="1" ht="15" customHeight="1" x14ac:dyDescent="0.2">
      <c r="A199" s="299" t="str">
        <f>IF('İşçi Bilgileri'!A197="","",'İşçi Bilgileri'!A197)</f>
        <v/>
      </c>
      <c r="B199" s="300" t="str">
        <f>IF($A199="","",VLOOKUP($A199,'İşçi Bilgileri'!$A$2:$D$700,4,FALSE))</f>
        <v/>
      </c>
      <c r="C199" s="301" t="str">
        <f>CONCATENATE(IF($A199="","",VLOOKUP($A199,'İşçi Bilgileri'!$A$2:$D$700,2,FALSE))," ",IF($A199="","",VLOOKUP($A199,'İşçi Bilgileri'!$A$2:$D$700,3,FALSE)))</f>
        <v xml:space="preserve"> </v>
      </c>
      <c r="D199" s="137" t="str">
        <f>IF($A199="","",VERİLER!$C$5)</f>
        <v/>
      </c>
      <c r="E199" s="138" t="str">
        <f>IF($A199="","",Puantaj!AJ204)</f>
        <v/>
      </c>
      <c r="F199" s="137">
        <f t="shared" si="37"/>
        <v>0</v>
      </c>
      <c r="G199" s="137"/>
      <c r="H199" s="137">
        <f t="shared" si="38"/>
        <v>0</v>
      </c>
      <c r="I199" s="137">
        <f t="shared" si="39"/>
        <v>0</v>
      </c>
      <c r="J199" s="137">
        <f>IF(F199&gt;VERİLER!$C$7,'İşçi Bilgileri'!M197+(F199-VERİLER!$C$7),0)</f>
        <v>0</v>
      </c>
      <c r="K199" s="137">
        <f>IF(VERİLER!$C$11&gt;0,ROUND(J199*0.15,2),0)</f>
        <v>0</v>
      </c>
      <c r="L199" s="359">
        <f t="shared" si="40"/>
        <v>0</v>
      </c>
      <c r="M199" s="139">
        <f t="shared" si="41"/>
        <v>0</v>
      </c>
      <c r="N199" s="137">
        <f t="shared" si="42"/>
        <v>0</v>
      </c>
      <c r="O199" s="359">
        <f t="shared" si="43"/>
        <v>0</v>
      </c>
      <c r="P199" s="140">
        <f t="shared" si="44"/>
        <v>0</v>
      </c>
      <c r="Q199" s="140">
        <v>0</v>
      </c>
      <c r="R199" s="137">
        <f t="shared" si="45"/>
        <v>0</v>
      </c>
      <c r="S199" s="141">
        <f t="shared" si="46"/>
        <v>0</v>
      </c>
      <c r="T199" s="137">
        <f t="shared" si="47"/>
        <v>0</v>
      </c>
      <c r="U199" s="137">
        <f>ROUND(VERİLER!$F$9*T199,3)</f>
        <v>0</v>
      </c>
      <c r="V199" s="336">
        <f t="shared" si="48"/>
        <v>0</v>
      </c>
      <c r="W199" s="113"/>
      <c r="X199" s="113"/>
      <c r="Y199" s="113"/>
    </row>
    <row r="200" spans="1:25" s="143" customFormat="1" ht="15" customHeight="1" x14ac:dyDescent="0.2">
      <c r="A200" s="299" t="str">
        <f>IF('İşçi Bilgileri'!A198="","",'İşçi Bilgileri'!A198)</f>
        <v/>
      </c>
      <c r="B200" s="300" t="str">
        <f>IF($A200="","",VLOOKUP($A200,'İşçi Bilgileri'!$A$2:$D$700,4,FALSE))</f>
        <v/>
      </c>
      <c r="C200" s="301" t="str">
        <f>CONCATENATE(IF($A200="","",VLOOKUP($A200,'İşçi Bilgileri'!$A$2:$D$700,2,FALSE))," ",IF($A200="","",VLOOKUP($A200,'İşçi Bilgileri'!$A$2:$D$700,3,FALSE)))</f>
        <v xml:space="preserve"> </v>
      </c>
      <c r="D200" s="137" t="str">
        <f>IF($A200="","",VERİLER!$C$5)</f>
        <v/>
      </c>
      <c r="E200" s="138" t="str">
        <f>IF($A200="","",Puantaj!AJ205)</f>
        <v/>
      </c>
      <c r="F200" s="137">
        <f t="shared" si="37"/>
        <v>0</v>
      </c>
      <c r="G200" s="137"/>
      <c r="H200" s="137">
        <f t="shared" si="38"/>
        <v>0</v>
      </c>
      <c r="I200" s="137">
        <f t="shared" si="39"/>
        <v>0</v>
      </c>
      <c r="J200" s="137">
        <f>IF(F200&gt;VERİLER!$C$7,'İşçi Bilgileri'!M198+(F200-VERİLER!$C$7),0)</f>
        <v>0</v>
      </c>
      <c r="K200" s="137">
        <f>IF(VERİLER!$C$11&gt;0,ROUND(J200*0.15,2),0)</f>
        <v>0</v>
      </c>
      <c r="L200" s="359">
        <f t="shared" si="40"/>
        <v>0</v>
      </c>
      <c r="M200" s="139">
        <f t="shared" si="41"/>
        <v>0</v>
      </c>
      <c r="N200" s="137">
        <f t="shared" si="42"/>
        <v>0</v>
      </c>
      <c r="O200" s="359">
        <f t="shared" si="43"/>
        <v>0</v>
      </c>
      <c r="P200" s="140">
        <f t="shared" si="44"/>
        <v>0</v>
      </c>
      <c r="Q200" s="140">
        <v>0</v>
      </c>
      <c r="R200" s="137">
        <f t="shared" si="45"/>
        <v>0</v>
      </c>
      <c r="S200" s="141">
        <f t="shared" si="46"/>
        <v>0</v>
      </c>
      <c r="T200" s="137">
        <f t="shared" si="47"/>
        <v>0</v>
      </c>
      <c r="U200" s="137">
        <f>ROUND(VERİLER!$F$9*T200,3)</f>
        <v>0</v>
      </c>
      <c r="V200" s="336">
        <f t="shared" si="48"/>
        <v>0</v>
      </c>
      <c r="W200" s="113"/>
      <c r="X200" s="113"/>
      <c r="Y200" s="113"/>
    </row>
    <row r="201" spans="1:25" s="143" customFormat="1" ht="15" customHeight="1" x14ac:dyDescent="0.2">
      <c r="A201" s="299" t="str">
        <f>IF('İşçi Bilgileri'!A199="","",'İşçi Bilgileri'!A199)</f>
        <v/>
      </c>
      <c r="B201" s="300" t="str">
        <f>IF($A201="","",VLOOKUP($A201,'İşçi Bilgileri'!$A$2:$D$700,4,FALSE))</f>
        <v/>
      </c>
      <c r="C201" s="301" t="str">
        <f>CONCATENATE(IF($A201="","",VLOOKUP($A201,'İşçi Bilgileri'!$A$2:$D$700,2,FALSE))," ",IF($A201="","",VLOOKUP($A201,'İşçi Bilgileri'!$A$2:$D$700,3,FALSE)))</f>
        <v xml:space="preserve"> </v>
      </c>
      <c r="D201" s="137" t="str">
        <f>IF($A201="","",VERİLER!$C$5)</f>
        <v/>
      </c>
      <c r="E201" s="138" t="str">
        <f>IF($A201="","",Puantaj!AJ206)</f>
        <v/>
      </c>
      <c r="F201" s="137">
        <f t="shared" si="37"/>
        <v>0</v>
      </c>
      <c r="G201" s="137"/>
      <c r="H201" s="137">
        <f t="shared" si="38"/>
        <v>0</v>
      </c>
      <c r="I201" s="137">
        <f t="shared" si="39"/>
        <v>0</v>
      </c>
      <c r="J201" s="137">
        <f>IF(F201&gt;VERİLER!$C$7,'İşçi Bilgileri'!M199+(F201-VERİLER!$C$7),0)</f>
        <v>0</v>
      </c>
      <c r="K201" s="137">
        <f>IF(VERİLER!$C$11&gt;0,ROUND(J201*0.15,2),0)</f>
        <v>0</v>
      </c>
      <c r="L201" s="359">
        <f t="shared" si="40"/>
        <v>0</v>
      </c>
      <c r="M201" s="139">
        <f t="shared" si="41"/>
        <v>0</v>
      </c>
      <c r="N201" s="137">
        <f t="shared" si="42"/>
        <v>0</v>
      </c>
      <c r="O201" s="359">
        <f t="shared" si="43"/>
        <v>0</v>
      </c>
      <c r="P201" s="140">
        <f t="shared" si="44"/>
        <v>0</v>
      </c>
      <c r="Q201" s="140">
        <v>0</v>
      </c>
      <c r="R201" s="137">
        <f t="shared" si="45"/>
        <v>0</v>
      </c>
      <c r="S201" s="141">
        <f t="shared" si="46"/>
        <v>0</v>
      </c>
      <c r="T201" s="137">
        <f t="shared" si="47"/>
        <v>0</v>
      </c>
      <c r="U201" s="137">
        <f>ROUND(VERİLER!$F$9*T201,3)</f>
        <v>0</v>
      </c>
      <c r="V201" s="336">
        <f t="shared" si="48"/>
        <v>0</v>
      </c>
      <c r="W201" s="113"/>
      <c r="X201" s="113"/>
      <c r="Y201" s="113"/>
    </row>
    <row r="202" spans="1:25" s="143" customFormat="1" ht="15" customHeight="1" x14ac:dyDescent="0.2">
      <c r="A202" s="299" t="str">
        <f>IF('İşçi Bilgileri'!A200="","",'İşçi Bilgileri'!A200)</f>
        <v/>
      </c>
      <c r="B202" s="300" t="str">
        <f>IF($A202="","",VLOOKUP($A202,'İşçi Bilgileri'!$A$2:$D$700,4,FALSE))</f>
        <v/>
      </c>
      <c r="C202" s="301" t="str">
        <f>CONCATENATE(IF($A202="","",VLOOKUP($A202,'İşçi Bilgileri'!$A$2:$D$700,2,FALSE))," ",IF($A202="","",VLOOKUP($A202,'İşçi Bilgileri'!$A$2:$D$700,3,FALSE)))</f>
        <v xml:space="preserve"> </v>
      </c>
      <c r="D202" s="137" t="str">
        <f>IF($A202="","",VERİLER!$C$5)</f>
        <v/>
      </c>
      <c r="E202" s="138" t="str">
        <f>IF($A202="","",Puantaj!AJ207)</f>
        <v/>
      </c>
      <c r="F202" s="137">
        <f t="shared" si="37"/>
        <v>0</v>
      </c>
      <c r="G202" s="137"/>
      <c r="H202" s="137">
        <f t="shared" si="38"/>
        <v>0</v>
      </c>
      <c r="I202" s="137">
        <f t="shared" si="39"/>
        <v>0</v>
      </c>
      <c r="J202" s="137">
        <f>IF(F202&gt;VERİLER!$C$7,'İşçi Bilgileri'!M200+(F202-VERİLER!$C$7),0)</f>
        <v>0</v>
      </c>
      <c r="K202" s="137">
        <f>IF(VERİLER!$C$11&gt;0,ROUND(J202*0.15,2),0)</f>
        <v>0</v>
      </c>
      <c r="L202" s="359">
        <f t="shared" si="40"/>
        <v>0</v>
      </c>
      <c r="M202" s="139">
        <f t="shared" si="41"/>
        <v>0</v>
      </c>
      <c r="N202" s="137">
        <f t="shared" si="42"/>
        <v>0</v>
      </c>
      <c r="O202" s="359">
        <f t="shared" si="43"/>
        <v>0</v>
      </c>
      <c r="P202" s="140">
        <f t="shared" si="44"/>
        <v>0</v>
      </c>
      <c r="Q202" s="140">
        <v>0</v>
      </c>
      <c r="R202" s="137">
        <f t="shared" si="45"/>
        <v>0</v>
      </c>
      <c r="S202" s="141">
        <f t="shared" si="46"/>
        <v>0</v>
      </c>
      <c r="T202" s="137">
        <f t="shared" si="47"/>
        <v>0</v>
      </c>
      <c r="U202" s="137">
        <f>ROUND(VERİLER!$F$9*T202,3)</f>
        <v>0</v>
      </c>
      <c r="V202" s="336">
        <f t="shared" si="48"/>
        <v>0</v>
      </c>
      <c r="W202" s="113"/>
      <c r="X202" s="113"/>
      <c r="Y202" s="113"/>
    </row>
    <row r="203" spans="1:25" s="143" customFormat="1" ht="15" customHeight="1" x14ac:dyDescent="0.2">
      <c r="A203" s="299" t="str">
        <f>IF('İşçi Bilgileri'!A201="","",'İşçi Bilgileri'!A201)</f>
        <v/>
      </c>
      <c r="B203" s="300" t="str">
        <f>IF($A203="","",VLOOKUP($A203,'İşçi Bilgileri'!$A$2:$D$700,4,FALSE))</f>
        <v/>
      </c>
      <c r="C203" s="301" t="str">
        <f>CONCATENATE(IF($A203="","",VLOOKUP($A203,'İşçi Bilgileri'!$A$2:$D$700,2,FALSE))," ",IF($A203="","",VLOOKUP($A203,'İşçi Bilgileri'!$A$2:$D$700,3,FALSE)))</f>
        <v xml:space="preserve"> </v>
      </c>
      <c r="D203" s="137" t="str">
        <f>IF($A203="","",VERİLER!$C$5)</f>
        <v/>
      </c>
      <c r="E203" s="138" t="str">
        <f>IF($A203="","",Puantaj!AJ208)</f>
        <v/>
      </c>
      <c r="F203" s="137">
        <f t="shared" si="37"/>
        <v>0</v>
      </c>
      <c r="G203" s="137"/>
      <c r="H203" s="137">
        <f t="shared" si="38"/>
        <v>0</v>
      </c>
      <c r="I203" s="137">
        <f t="shared" si="39"/>
        <v>0</v>
      </c>
      <c r="J203" s="137">
        <f>IF(F203&gt;VERİLER!$C$7,'İşçi Bilgileri'!M201+(F203-VERİLER!$C$7),0)</f>
        <v>0</v>
      </c>
      <c r="K203" s="137">
        <f>IF(VERİLER!$C$11&gt;0,ROUND(J203*0.15,2),0)</f>
        <v>0</v>
      </c>
      <c r="L203" s="359">
        <f t="shared" si="40"/>
        <v>0</v>
      </c>
      <c r="M203" s="139">
        <f t="shared" si="41"/>
        <v>0</v>
      </c>
      <c r="N203" s="137">
        <f t="shared" si="42"/>
        <v>0</v>
      </c>
      <c r="O203" s="359">
        <f t="shared" si="43"/>
        <v>0</v>
      </c>
      <c r="P203" s="140">
        <f t="shared" si="44"/>
        <v>0</v>
      </c>
      <c r="Q203" s="140">
        <v>0</v>
      </c>
      <c r="R203" s="137">
        <f t="shared" si="45"/>
        <v>0</v>
      </c>
      <c r="S203" s="141">
        <f t="shared" si="46"/>
        <v>0</v>
      </c>
      <c r="T203" s="137">
        <f t="shared" si="47"/>
        <v>0</v>
      </c>
      <c r="U203" s="137">
        <f>ROUND(VERİLER!$F$9*T203,3)</f>
        <v>0</v>
      </c>
      <c r="V203" s="336">
        <f t="shared" si="48"/>
        <v>0</v>
      </c>
      <c r="W203" s="113"/>
      <c r="X203" s="113"/>
      <c r="Y203" s="113"/>
    </row>
    <row r="204" spans="1:25" s="143" customFormat="1" ht="15" customHeight="1" x14ac:dyDescent="0.2">
      <c r="A204" s="299" t="str">
        <f>IF('İşçi Bilgileri'!A202="","",'İşçi Bilgileri'!A202)</f>
        <v/>
      </c>
      <c r="B204" s="300" t="str">
        <f>IF($A204="","",VLOOKUP($A204,'İşçi Bilgileri'!$A$2:$D$700,4,FALSE))</f>
        <v/>
      </c>
      <c r="C204" s="301" t="str">
        <f>CONCATENATE(IF($A204="","",VLOOKUP($A204,'İşçi Bilgileri'!$A$2:$D$700,2,FALSE))," ",IF($A204="","",VLOOKUP($A204,'İşçi Bilgileri'!$A$2:$D$700,3,FALSE)))</f>
        <v xml:space="preserve"> </v>
      </c>
      <c r="D204" s="137" t="str">
        <f>IF($A204="","",VERİLER!$C$5)</f>
        <v/>
      </c>
      <c r="E204" s="138" t="str">
        <f>IF($A204="","",Puantaj!AJ209)</f>
        <v/>
      </c>
      <c r="F204" s="137">
        <f t="shared" si="37"/>
        <v>0</v>
      </c>
      <c r="G204" s="137"/>
      <c r="H204" s="137">
        <f t="shared" si="38"/>
        <v>0</v>
      </c>
      <c r="I204" s="137">
        <f t="shared" si="39"/>
        <v>0</v>
      </c>
      <c r="J204" s="137">
        <f>IF(F204&gt;VERİLER!$C$7,'İşçi Bilgileri'!M202+(F204-VERİLER!$C$7),0)</f>
        <v>0</v>
      </c>
      <c r="K204" s="137">
        <f>IF(VERİLER!$C$11&gt;0,ROUND(J204*0.15,2),0)</f>
        <v>0</v>
      </c>
      <c r="L204" s="359">
        <f t="shared" si="40"/>
        <v>0</v>
      </c>
      <c r="M204" s="139">
        <f t="shared" si="41"/>
        <v>0</v>
      </c>
      <c r="N204" s="137">
        <f t="shared" si="42"/>
        <v>0</v>
      </c>
      <c r="O204" s="359">
        <f t="shared" si="43"/>
        <v>0</v>
      </c>
      <c r="P204" s="140">
        <f t="shared" si="44"/>
        <v>0</v>
      </c>
      <c r="Q204" s="140">
        <v>0</v>
      </c>
      <c r="R204" s="137">
        <f t="shared" si="45"/>
        <v>0</v>
      </c>
      <c r="S204" s="141">
        <f t="shared" si="46"/>
        <v>0</v>
      </c>
      <c r="T204" s="137">
        <f t="shared" si="47"/>
        <v>0</v>
      </c>
      <c r="U204" s="137">
        <f>ROUND(VERİLER!$F$9*T204,3)</f>
        <v>0</v>
      </c>
      <c r="V204" s="336">
        <f t="shared" si="48"/>
        <v>0</v>
      </c>
      <c r="W204" s="113"/>
      <c r="X204" s="113"/>
      <c r="Y204" s="113"/>
    </row>
    <row r="205" spans="1:25" s="143" customFormat="1" ht="15" customHeight="1" x14ac:dyDescent="0.2">
      <c r="A205" s="299" t="str">
        <f>IF('İşçi Bilgileri'!A203="","",'İşçi Bilgileri'!A203)</f>
        <v/>
      </c>
      <c r="B205" s="300" t="str">
        <f>IF($A205="","",VLOOKUP($A205,'İşçi Bilgileri'!$A$2:$D$700,4,FALSE))</f>
        <v/>
      </c>
      <c r="C205" s="301" t="str">
        <f>CONCATENATE(IF($A205="","",VLOOKUP($A205,'İşçi Bilgileri'!$A$2:$D$700,2,FALSE))," ",IF($A205="","",VLOOKUP($A205,'İşçi Bilgileri'!$A$2:$D$700,3,FALSE)))</f>
        <v xml:space="preserve"> </v>
      </c>
      <c r="D205" s="137" t="str">
        <f>IF($A205="","",VERİLER!$C$5)</f>
        <v/>
      </c>
      <c r="E205" s="138" t="str">
        <f>IF($A205="","",Puantaj!AJ210)</f>
        <v/>
      </c>
      <c r="F205" s="137">
        <f t="shared" si="37"/>
        <v>0</v>
      </c>
      <c r="G205" s="137"/>
      <c r="H205" s="137">
        <f t="shared" si="38"/>
        <v>0</v>
      </c>
      <c r="I205" s="137">
        <f t="shared" si="39"/>
        <v>0</v>
      </c>
      <c r="J205" s="137">
        <f>IF(F205&gt;VERİLER!$C$7,'İşçi Bilgileri'!M203+(F205-VERİLER!$C$7),0)</f>
        <v>0</v>
      </c>
      <c r="K205" s="137">
        <f>IF(VERİLER!$C$11&gt;0,ROUND(J205*0.15,2),0)</f>
        <v>0</v>
      </c>
      <c r="L205" s="359">
        <f t="shared" si="40"/>
        <v>0</v>
      </c>
      <c r="M205" s="139">
        <f t="shared" si="41"/>
        <v>0</v>
      </c>
      <c r="N205" s="137">
        <f t="shared" si="42"/>
        <v>0</v>
      </c>
      <c r="O205" s="359">
        <f t="shared" si="43"/>
        <v>0</v>
      </c>
      <c r="P205" s="140">
        <f t="shared" si="44"/>
        <v>0</v>
      </c>
      <c r="Q205" s="140">
        <v>0</v>
      </c>
      <c r="R205" s="137">
        <f t="shared" si="45"/>
        <v>0</v>
      </c>
      <c r="S205" s="141">
        <f t="shared" si="46"/>
        <v>0</v>
      </c>
      <c r="T205" s="137">
        <f t="shared" si="47"/>
        <v>0</v>
      </c>
      <c r="U205" s="137">
        <f>ROUND(VERİLER!$F$9*T205,3)</f>
        <v>0</v>
      </c>
      <c r="V205" s="336">
        <f t="shared" si="48"/>
        <v>0</v>
      </c>
      <c r="W205" s="113"/>
      <c r="X205" s="113"/>
      <c r="Y205" s="113"/>
    </row>
    <row r="206" spans="1:25" s="143" customFormat="1" ht="15" customHeight="1" x14ac:dyDescent="0.2">
      <c r="A206" s="299" t="str">
        <f>IF('İşçi Bilgileri'!A204="","",'İşçi Bilgileri'!A204)</f>
        <v/>
      </c>
      <c r="B206" s="300" t="str">
        <f>IF($A206="","",VLOOKUP($A206,'İşçi Bilgileri'!$A$2:$D$700,4,FALSE))</f>
        <v/>
      </c>
      <c r="C206" s="301" t="str">
        <f>CONCATENATE(IF($A206="","",VLOOKUP($A206,'İşçi Bilgileri'!$A$2:$D$700,2,FALSE))," ",IF($A206="","",VLOOKUP($A206,'İşçi Bilgileri'!$A$2:$D$700,3,FALSE)))</f>
        <v xml:space="preserve"> </v>
      </c>
      <c r="D206" s="137" t="str">
        <f>IF($A206="","",VERİLER!$C$5)</f>
        <v/>
      </c>
      <c r="E206" s="138" t="str">
        <f>IF($A206="","",Puantaj!AJ211)</f>
        <v/>
      </c>
      <c r="F206" s="137">
        <f t="shared" si="37"/>
        <v>0</v>
      </c>
      <c r="G206" s="137"/>
      <c r="H206" s="137">
        <f t="shared" si="38"/>
        <v>0</v>
      </c>
      <c r="I206" s="137">
        <f t="shared" si="39"/>
        <v>0</v>
      </c>
      <c r="J206" s="137">
        <f>IF(F206&gt;VERİLER!$C$7,'İşçi Bilgileri'!M204+(F206-VERİLER!$C$7),0)</f>
        <v>0</v>
      </c>
      <c r="K206" s="137">
        <f>IF(VERİLER!$C$11&gt;0,ROUND(J206*0.15,2),0)</f>
        <v>0</v>
      </c>
      <c r="L206" s="359">
        <f t="shared" si="40"/>
        <v>0</v>
      </c>
      <c r="M206" s="139">
        <f t="shared" si="41"/>
        <v>0</v>
      </c>
      <c r="N206" s="137">
        <f t="shared" si="42"/>
        <v>0</v>
      </c>
      <c r="O206" s="359">
        <f t="shared" si="43"/>
        <v>0</v>
      </c>
      <c r="P206" s="140">
        <f t="shared" si="44"/>
        <v>0</v>
      </c>
      <c r="Q206" s="140">
        <v>0</v>
      </c>
      <c r="R206" s="137">
        <f t="shared" si="45"/>
        <v>0</v>
      </c>
      <c r="S206" s="141">
        <f t="shared" si="46"/>
        <v>0</v>
      </c>
      <c r="T206" s="137">
        <f t="shared" si="47"/>
        <v>0</v>
      </c>
      <c r="U206" s="137">
        <f>ROUND(VERİLER!$F$9*T206,3)</f>
        <v>0</v>
      </c>
      <c r="V206" s="336">
        <f t="shared" si="48"/>
        <v>0</v>
      </c>
      <c r="W206" s="113"/>
      <c r="X206" s="113"/>
      <c r="Y206" s="113"/>
    </row>
    <row r="207" spans="1:25" s="143" customFormat="1" ht="15" customHeight="1" x14ac:dyDescent="0.2">
      <c r="A207" s="299" t="str">
        <f>IF('İşçi Bilgileri'!A205="","",'İşçi Bilgileri'!A205)</f>
        <v/>
      </c>
      <c r="B207" s="300" t="str">
        <f>IF($A207="","",VLOOKUP($A207,'İşçi Bilgileri'!$A$2:$D$700,4,FALSE))</f>
        <v/>
      </c>
      <c r="C207" s="301" t="str">
        <f>CONCATENATE(IF($A207="","",VLOOKUP($A207,'İşçi Bilgileri'!$A$2:$D$700,2,FALSE))," ",IF($A207="","",VLOOKUP($A207,'İşçi Bilgileri'!$A$2:$D$700,3,FALSE)))</f>
        <v xml:space="preserve"> </v>
      </c>
      <c r="D207" s="137" t="str">
        <f>IF($A207="","",VERİLER!$C$5)</f>
        <v/>
      </c>
      <c r="E207" s="138" t="str">
        <f>IF($A207="","",Puantaj!AJ212)</f>
        <v/>
      </c>
      <c r="F207" s="137">
        <f t="shared" si="37"/>
        <v>0</v>
      </c>
      <c r="G207" s="137"/>
      <c r="H207" s="137">
        <f t="shared" si="38"/>
        <v>0</v>
      </c>
      <c r="I207" s="137">
        <f t="shared" si="39"/>
        <v>0</v>
      </c>
      <c r="J207" s="137">
        <f>IF(F207&gt;VERİLER!$C$7,'İşçi Bilgileri'!M205+(F207-VERİLER!$C$7),0)</f>
        <v>0</v>
      </c>
      <c r="K207" s="137">
        <f>IF(VERİLER!$C$11&gt;0,ROUND(J207*0.15,2),0)</f>
        <v>0</v>
      </c>
      <c r="L207" s="359">
        <f t="shared" si="40"/>
        <v>0</v>
      </c>
      <c r="M207" s="139">
        <f t="shared" si="41"/>
        <v>0</v>
      </c>
      <c r="N207" s="137">
        <f t="shared" si="42"/>
        <v>0</v>
      </c>
      <c r="O207" s="359">
        <f t="shared" si="43"/>
        <v>0</v>
      </c>
      <c r="P207" s="140">
        <f t="shared" si="44"/>
        <v>0</v>
      </c>
      <c r="Q207" s="140">
        <v>0</v>
      </c>
      <c r="R207" s="137">
        <f t="shared" si="45"/>
        <v>0</v>
      </c>
      <c r="S207" s="141">
        <f t="shared" si="46"/>
        <v>0</v>
      </c>
      <c r="T207" s="137">
        <f t="shared" si="47"/>
        <v>0</v>
      </c>
      <c r="U207" s="137">
        <f>ROUND(VERİLER!$F$9*T207,3)</f>
        <v>0</v>
      </c>
      <c r="V207" s="336">
        <f t="shared" si="48"/>
        <v>0</v>
      </c>
      <c r="W207" s="113"/>
      <c r="X207" s="113"/>
      <c r="Y207" s="113"/>
    </row>
    <row r="208" spans="1:25" s="143" customFormat="1" ht="15" customHeight="1" x14ac:dyDescent="0.2">
      <c r="A208" s="299" t="str">
        <f>IF('İşçi Bilgileri'!A206="","",'İşçi Bilgileri'!A206)</f>
        <v/>
      </c>
      <c r="B208" s="300" t="str">
        <f>IF($A208="","",VLOOKUP($A208,'İşçi Bilgileri'!$A$2:$D$700,4,FALSE))</f>
        <v/>
      </c>
      <c r="C208" s="301" t="str">
        <f>CONCATENATE(IF($A208="","",VLOOKUP($A208,'İşçi Bilgileri'!$A$2:$D$700,2,FALSE))," ",IF($A208="","",VLOOKUP($A208,'İşçi Bilgileri'!$A$2:$D$700,3,FALSE)))</f>
        <v xml:space="preserve"> </v>
      </c>
      <c r="D208" s="137" t="str">
        <f>IF($A208="","",VERİLER!$C$5)</f>
        <v/>
      </c>
      <c r="E208" s="138" t="str">
        <f>IF($A208="","",Puantaj!AJ213)</f>
        <v/>
      </c>
      <c r="F208" s="137">
        <f t="shared" si="37"/>
        <v>0</v>
      </c>
      <c r="G208" s="137"/>
      <c r="H208" s="137">
        <f t="shared" si="38"/>
        <v>0</v>
      </c>
      <c r="I208" s="137">
        <f t="shared" si="39"/>
        <v>0</v>
      </c>
      <c r="J208" s="137">
        <f>IF(F208&gt;VERİLER!$C$7,'İşçi Bilgileri'!M206+(F208-VERİLER!$C$7),0)</f>
        <v>0</v>
      </c>
      <c r="K208" s="137">
        <f>IF(VERİLER!$C$11&gt;0,ROUND(J208*0.15,2),0)</f>
        <v>0</v>
      </c>
      <c r="L208" s="359">
        <f t="shared" si="40"/>
        <v>0</v>
      </c>
      <c r="M208" s="139">
        <f t="shared" si="41"/>
        <v>0</v>
      </c>
      <c r="N208" s="137">
        <f t="shared" si="42"/>
        <v>0</v>
      </c>
      <c r="O208" s="359">
        <f t="shared" si="43"/>
        <v>0</v>
      </c>
      <c r="P208" s="140">
        <f t="shared" si="44"/>
        <v>0</v>
      </c>
      <c r="Q208" s="140">
        <v>0</v>
      </c>
      <c r="R208" s="137">
        <f t="shared" si="45"/>
        <v>0</v>
      </c>
      <c r="S208" s="141">
        <f t="shared" si="46"/>
        <v>0</v>
      </c>
      <c r="T208" s="137">
        <f t="shared" si="47"/>
        <v>0</v>
      </c>
      <c r="U208" s="137">
        <f>ROUND(VERİLER!$F$9*T208,3)</f>
        <v>0</v>
      </c>
      <c r="V208" s="336">
        <f t="shared" si="48"/>
        <v>0</v>
      </c>
      <c r="W208" s="113"/>
      <c r="X208" s="113"/>
      <c r="Y208" s="113"/>
    </row>
    <row r="209" spans="1:25" s="143" customFormat="1" ht="15" customHeight="1" x14ac:dyDescent="0.2">
      <c r="A209" s="299" t="str">
        <f>IF('İşçi Bilgileri'!A207="","",'İşçi Bilgileri'!A207)</f>
        <v/>
      </c>
      <c r="B209" s="300" t="str">
        <f>IF($A209="","",VLOOKUP($A209,'İşçi Bilgileri'!$A$2:$D$700,4,FALSE))</f>
        <v/>
      </c>
      <c r="C209" s="301" t="str">
        <f>CONCATENATE(IF($A209="","",VLOOKUP($A209,'İşçi Bilgileri'!$A$2:$D$700,2,FALSE))," ",IF($A209="","",VLOOKUP($A209,'İşçi Bilgileri'!$A$2:$D$700,3,FALSE)))</f>
        <v xml:space="preserve"> </v>
      </c>
      <c r="D209" s="137" t="str">
        <f>IF($A209="","",VERİLER!$C$5)</f>
        <v/>
      </c>
      <c r="E209" s="138" t="str">
        <f>IF($A209="","",Puantaj!AJ214)</f>
        <v/>
      </c>
      <c r="F209" s="137">
        <f t="shared" si="37"/>
        <v>0</v>
      </c>
      <c r="G209" s="137"/>
      <c r="H209" s="137">
        <f t="shared" si="38"/>
        <v>0</v>
      </c>
      <c r="I209" s="137">
        <f t="shared" si="39"/>
        <v>0</v>
      </c>
      <c r="J209" s="137">
        <f>IF(F209&gt;VERİLER!$C$7,'İşçi Bilgileri'!M207+(F209-VERİLER!$C$7),0)</f>
        <v>0</v>
      </c>
      <c r="K209" s="137">
        <f>IF(VERİLER!$C$11&gt;0,ROUND(J209*0.15,2),0)</f>
        <v>0</v>
      </c>
      <c r="L209" s="359">
        <f t="shared" si="40"/>
        <v>0</v>
      </c>
      <c r="M209" s="139">
        <f t="shared" si="41"/>
        <v>0</v>
      </c>
      <c r="N209" s="137">
        <f t="shared" si="42"/>
        <v>0</v>
      </c>
      <c r="O209" s="359">
        <f t="shared" si="43"/>
        <v>0</v>
      </c>
      <c r="P209" s="140">
        <f t="shared" si="44"/>
        <v>0</v>
      </c>
      <c r="Q209" s="140">
        <v>0</v>
      </c>
      <c r="R209" s="137">
        <f t="shared" si="45"/>
        <v>0</v>
      </c>
      <c r="S209" s="141">
        <f t="shared" si="46"/>
        <v>0</v>
      </c>
      <c r="T209" s="137">
        <f t="shared" si="47"/>
        <v>0</v>
      </c>
      <c r="U209" s="137">
        <f>ROUND(VERİLER!$F$9*T209,3)</f>
        <v>0</v>
      </c>
      <c r="V209" s="336">
        <f t="shared" si="48"/>
        <v>0</v>
      </c>
      <c r="W209" s="113"/>
      <c r="X209" s="113"/>
      <c r="Y209" s="113"/>
    </row>
    <row r="210" spans="1:25" s="143" customFormat="1" ht="15" customHeight="1" x14ac:dyDescent="0.2">
      <c r="A210" s="299" t="str">
        <f>IF('İşçi Bilgileri'!A208="","",'İşçi Bilgileri'!A208)</f>
        <v/>
      </c>
      <c r="B210" s="300" t="str">
        <f>IF($A210="","",VLOOKUP($A210,'İşçi Bilgileri'!$A$2:$D$700,4,FALSE))</f>
        <v/>
      </c>
      <c r="C210" s="301" t="str">
        <f>CONCATENATE(IF($A210="","",VLOOKUP($A210,'İşçi Bilgileri'!$A$2:$D$700,2,FALSE))," ",IF($A210="","",VLOOKUP($A210,'İşçi Bilgileri'!$A$2:$D$700,3,FALSE)))</f>
        <v xml:space="preserve"> </v>
      </c>
      <c r="D210" s="137" t="str">
        <f>IF($A210="","",VERİLER!$C$5)</f>
        <v/>
      </c>
      <c r="E210" s="138" t="str">
        <f>IF($A210="","",Puantaj!AJ215)</f>
        <v/>
      </c>
      <c r="F210" s="137">
        <f t="shared" si="37"/>
        <v>0</v>
      </c>
      <c r="G210" s="137"/>
      <c r="H210" s="137">
        <f t="shared" si="38"/>
        <v>0</v>
      </c>
      <c r="I210" s="137">
        <f t="shared" si="39"/>
        <v>0</v>
      </c>
      <c r="J210" s="137">
        <f>IF(F210&gt;VERİLER!$C$7,'İşçi Bilgileri'!M208+(F210-VERİLER!$C$7),0)</f>
        <v>0</v>
      </c>
      <c r="K210" s="137">
        <f>IF(VERİLER!$C$11&gt;0,ROUND(J210*0.15,2),0)</f>
        <v>0</v>
      </c>
      <c r="L210" s="359">
        <f t="shared" si="40"/>
        <v>0</v>
      </c>
      <c r="M210" s="139">
        <f t="shared" si="41"/>
        <v>0</v>
      </c>
      <c r="N210" s="137">
        <f t="shared" si="42"/>
        <v>0</v>
      </c>
      <c r="O210" s="359">
        <f t="shared" si="43"/>
        <v>0</v>
      </c>
      <c r="P210" s="140">
        <f t="shared" si="44"/>
        <v>0</v>
      </c>
      <c r="Q210" s="140">
        <v>0</v>
      </c>
      <c r="R210" s="137">
        <f t="shared" si="45"/>
        <v>0</v>
      </c>
      <c r="S210" s="141">
        <f t="shared" si="46"/>
        <v>0</v>
      </c>
      <c r="T210" s="137">
        <f t="shared" si="47"/>
        <v>0</v>
      </c>
      <c r="U210" s="137">
        <f>ROUND(VERİLER!$F$9*T210,3)</f>
        <v>0</v>
      </c>
      <c r="V210" s="336">
        <f t="shared" si="48"/>
        <v>0</v>
      </c>
      <c r="W210" s="113"/>
      <c r="X210" s="113"/>
      <c r="Y210" s="113"/>
    </row>
    <row r="211" spans="1:25" s="143" customFormat="1" ht="15" customHeight="1" x14ac:dyDescent="0.2">
      <c r="A211" s="299" t="str">
        <f>IF('İşçi Bilgileri'!A209="","",'İşçi Bilgileri'!A209)</f>
        <v/>
      </c>
      <c r="B211" s="300" t="str">
        <f>IF($A211="","",VLOOKUP($A211,'İşçi Bilgileri'!$A$2:$D$700,4,FALSE))</f>
        <v/>
      </c>
      <c r="C211" s="301" t="str">
        <f>CONCATENATE(IF($A211="","",VLOOKUP($A211,'İşçi Bilgileri'!$A$2:$D$700,2,FALSE))," ",IF($A211="","",VLOOKUP($A211,'İşçi Bilgileri'!$A$2:$D$700,3,FALSE)))</f>
        <v xml:space="preserve"> </v>
      </c>
      <c r="D211" s="137" t="str">
        <f>IF($A211="","",VERİLER!$C$5)</f>
        <v/>
      </c>
      <c r="E211" s="138" t="str">
        <f>IF($A211="","",Puantaj!AJ216)</f>
        <v/>
      </c>
      <c r="F211" s="137">
        <f t="shared" si="37"/>
        <v>0</v>
      </c>
      <c r="G211" s="137"/>
      <c r="H211" s="137">
        <f t="shared" si="38"/>
        <v>0</v>
      </c>
      <c r="I211" s="137">
        <f t="shared" si="39"/>
        <v>0</v>
      </c>
      <c r="J211" s="137">
        <f>IF(F211&gt;VERİLER!$C$7,'İşçi Bilgileri'!M209+(F211-VERİLER!$C$7),0)</f>
        <v>0</v>
      </c>
      <c r="K211" s="137">
        <f>IF(VERİLER!$C$11&gt;0,ROUND(J211*0.15,2),0)</f>
        <v>0</v>
      </c>
      <c r="L211" s="359">
        <f t="shared" si="40"/>
        <v>0</v>
      </c>
      <c r="M211" s="139">
        <f t="shared" si="41"/>
        <v>0</v>
      </c>
      <c r="N211" s="137">
        <f t="shared" si="42"/>
        <v>0</v>
      </c>
      <c r="O211" s="359">
        <f t="shared" si="43"/>
        <v>0</v>
      </c>
      <c r="P211" s="140">
        <f t="shared" si="44"/>
        <v>0</v>
      </c>
      <c r="Q211" s="140">
        <v>0</v>
      </c>
      <c r="R211" s="137">
        <f t="shared" si="45"/>
        <v>0</v>
      </c>
      <c r="S211" s="141">
        <f t="shared" si="46"/>
        <v>0</v>
      </c>
      <c r="T211" s="137">
        <f t="shared" si="47"/>
        <v>0</v>
      </c>
      <c r="U211" s="137">
        <f>ROUND(VERİLER!$F$9*T211,3)</f>
        <v>0</v>
      </c>
      <c r="V211" s="336">
        <f t="shared" si="48"/>
        <v>0</v>
      </c>
      <c r="W211" s="113"/>
      <c r="X211" s="113"/>
      <c r="Y211" s="113"/>
    </row>
    <row r="212" spans="1:25" s="143" customFormat="1" ht="15" customHeight="1" x14ac:dyDescent="0.2">
      <c r="A212" s="299" t="str">
        <f>IF('İşçi Bilgileri'!A210="","",'İşçi Bilgileri'!A210)</f>
        <v/>
      </c>
      <c r="B212" s="300" t="str">
        <f>IF($A212="","",VLOOKUP($A212,'İşçi Bilgileri'!$A$2:$D$700,4,FALSE))</f>
        <v/>
      </c>
      <c r="C212" s="301" t="str">
        <f>CONCATENATE(IF($A212="","",VLOOKUP($A212,'İşçi Bilgileri'!$A$2:$D$700,2,FALSE))," ",IF($A212="","",VLOOKUP($A212,'İşçi Bilgileri'!$A$2:$D$700,3,FALSE)))</f>
        <v xml:space="preserve"> </v>
      </c>
      <c r="D212" s="137" t="str">
        <f>IF($A212="","",VERİLER!$C$5)</f>
        <v/>
      </c>
      <c r="E212" s="138" t="str">
        <f>IF($A212="","",Puantaj!AJ217)</f>
        <v/>
      </c>
      <c r="F212" s="137">
        <f t="shared" si="37"/>
        <v>0</v>
      </c>
      <c r="G212" s="137"/>
      <c r="H212" s="137">
        <f t="shared" si="38"/>
        <v>0</v>
      </c>
      <c r="I212" s="137">
        <f t="shared" si="39"/>
        <v>0</v>
      </c>
      <c r="J212" s="137">
        <f>IF(F212&gt;VERİLER!$C$7,'İşçi Bilgileri'!M210+(F212-VERİLER!$C$7),0)</f>
        <v>0</v>
      </c>
      <c r="K212" s="137">
        <f>IF(VERİLER!$C$11&gt;0,ROUND(J212*0.15,2),0)</f>
        <v>0</v>
      </c>
      <c r="L212" s="359">
        <f t="shared" si="40"/>
        <v>0</v>
      </c>
      <c r="M212" s="139">
        <f t="shared" si="41"/>
        <v>0</v>
      </c>
      <c r="N212" s="137">
        <f t="shared" si="42"/>
        <v>0</v>
      </c>
      <c r="O212" s="359">
        <f t="shared" si="43"/>
        <v>0</v>
      </c>
      <c r="P212" s="140">
        <f t="shared" si="44"/>
        <v>0</v>
      </c>
      <c r="Q212" s="140">
        <v>0</v>
      </c>
      <c r="R212" s="137">
        <f t="shared" si="45"/>
        <v>0</v>
      </c>
      <c r="S212" s="141">
        <f t="shared" si="46"/>
        <v>0</v>
      </c>
      <c r="T212" s="137">
        <f t="shared" si="47"/>
        <v>0</v>
      </c>
      <c r="U212" s="137">
        <f>ROUND(VERİLER!$F$9*T212,3)</f>
        <v>0</v>
      </c>
      <c r="V212" s="336">
        <f t="shared" si="48"/>
        <v>0</v>
      </c>
      <c r="W212" s="113"/>
      <c r="X212" s="113"/>
      <c r="Y212" s="113"/>
    </row>
    <row r="213" spans="1:25" s="143" customFormat="1" ht="15" customHeight="1" x14ac:dyDescent="0.2">
      <c r="A213" s="299" t="str">
        <f>IF('İşçi Bilgileri'!A211="","",'İşçi Bilgileri'!A211)</f>
        <v/>
      </c>
      <c r="B213" s="300" t="str">
        <f>IF($A213="","",VLOOKUP($A213,'İşçi Bilgileri'!$A$2:$D$700,4,FALSE))</f>
        <v/>
      </c>
      <c r="C213" s="301" t="str">
        <f>CONCATENATE(IF($A213="","",VLOOKUP($A213,'İşçi Bilgileri'!$A$2:$D$700,2,FALSE))," ",IF($A213="","",VLOOKUP($A213,'İşçi Bilgileri'!$A$2:$D$700,3,FALSE)))</f>
        <v xml:space="preserve"> </v>
      </c>
      <c r="D213" s="137" t="str">
        <f>IF($A213="","",VERİLER!$C$5)</f>
        <v/>
      </c>
      <c r="E213" s="138" t="str">
        <f>IF($A213="","",Puantaj!AJ218)</f>
        <v/>
      </c>
      <c r="F213" s="137">
        <f t="shared" si="37"/>
        <v>0</v>
      </c>
      <c r="G213" s="137"/>
      <c r="H213" s="137">
        <f t="shared" si="38"/>
        <v>0</v>
      </c>
      <c r="I213" s="137">
        <f t="shared" si="39"/>
        <v>0</v>
      </c>
      <c r="J213" s="137">
        <f>IF(F213&gt;VERİLER!$C$7,'İşçi Bilgileri'!M211+(F213-VERİLER!$C$7),0)</f>
        <v>0</v>
      </c>
      <c r="K213" s="137">
        <f>IF(VERİLER!$C$11&gt;0,ROUND(J213*0.15,2),0)</f>
        <v>0</v>
      </c>
      <c r="L213" s="359">
        <f t="shared" si="40"/>
        <v>0</v>
      </c>
      <c r="M213" s="139">
        <f t="shared" si="41"/>
        <v>0</v>
      </c>
      <c r="N213" s="137">
        <f t="shared" si="42"/>
        <v>0</v>
      </c>
      <c r="O213" s="359">
        <f t="shared" si="43"/>
        <v>0</v>
      </c>
      <c r="P213" s="140">
        <f t="shared" si="44"/>
        <v>0</v>
      </c>
      <c r="Q213" s="140">
        <v>0</v>
      </c>
      <c r="R213" s="137">
        <f t="shared" si="45"/>
        <v>0</v>
      </c>
      <c r="S213" s="141">
        <f t="shared" si="46"/>
        <v>0</v>
      </c>
      <c r="T213" s="137">
        <f t="shared" si="47"/>
        <v>0</v>
      </c>
      <c r="U213" s="137">
        <f>ROUND(VERİLER!$F$9*T213,3)</f>
        <v>0</v>
      </c>
      <c r="V213" s="336">
        <f t="shared" si="48"/>
        <v>0</v>
      </c>
      <c r="W213" s="113"/>
      <c r="X213" s="113"/>
      <c r="Y213" s="113"/>
    </row>
    <row r="214" spans="1:25" s="143" customFormat="1" ht="15" customHeight="1" x14ac:dyDescent="0.2">
      <c r="A214" s="299" t="str">
        <f>IF('İşçi Bilgileri'!A212="","",'İşçi Bilgileri'!A212)</f>
        <v/>
      </c>
      <c r="B214" s="300" t="str">
        <f>IF($A214="","",VLOOKUP($A214,'İşçi Bilgileri'!$A$2:$D$700,4,FALSE))</f>
        <v/>
      </c>
      <c r="C214" s="301" t="str">
        <f>CONCATENATE(IF($A214="","",VLOOKUP($A214,'İşçi Bilgileri'!$A$2:$D$700,2,FALSE))," ",IF($A214="","",VLOOKUP($A214,'İşçi Bilgileri'!$A$2:$D$700,3,FALSE)))</f>
        <v xml:space="preserve"> </v>
      </c>
      <c r="D214" s="137" t="str">
        <f>IF($A214="","",VERİLER!$C$5)</f>
        <v/>
      </c>
      <c r="E214" s="138" t="str">
        <f>IF($A214="","",Puantaj!AJ219)</f>
        <v/>
      </c>
      <c r="F214" s="137">
        <f t="shared" si="37"/>
        <v>0</v>
      </c>
      <c r="G214" s="137"/>
      <c r="H214" s="137">
        <f t="shared" si="38"/>
        <v>0</v>
      </c>
      <c r="I214" s="137">
        <f t="shared" si="39"/>
        <v>0</v>
      </c>
      <c r="J214" s="137">
        <f>IF(F214&gt;VERİLER!$C$7,'İşçi Bilgileri'!M212+(F214-VERİLER!$C$7),0)</f>
        <v>0</v>
      </c>
      <c r="K214" s="137">
        <f>IF(VERİLER!$C$11&gt;0,ROUND(J214*0.15,2),0)</f>
        <v>0</v>
      </c>
      <c r="L214" s="359">
        <f t="shared" si="40"/>
        <v>0</v>
      </c>
      <c r="M214" s="139">
        <f t="shared" si="41"/>
        <v>0</v>
      </c>
      <c r="N214" s="137">
        <f t="shared" si="42"/>
        <v>0</v>
      </c>
      <c r="O214" s="359">
        <f t="shared" si="43"/>
        <v>0</v>
      </c>
      <c r="P214" s="140">
        <f t="shared" si="44"/>
        <v>0</v>
      </c>
      <c r="Q214" s="140">
        <v>0</v>
      </c>
      <c r="R214" s="137">
        <f t="shared" si="45"/>
        <v>0</v>
      </c>
      <c r="S214" s="141">
        <f t="shared" si="46"/>
        <v>0</v>
      </c>
      <c r="T214" s="137">
        <f t="shared" si="47"/>
        <v>0</v>
      </c>
      <c r="U214" s="137">
        <f>ROUND(VERİLER!$F$9*T214,3)</f>
        <v>0</v>
      </c>
      <c r="V214" s="336">
        <f t="shared" si="48"/>
        <v>0</v>
      </c>
      <c r="W214" s="113"/>
      <c r="X214" s="113"/>
      <c r="Y214" s="113"/>
    </row>
    <row r="215" spans="1:25" s="143" customFormat="1" ht="15" customHeight="1" x14ac:dyDescent="0.2">
      <c r="A215" s="299" t="str">
        <f>IF('İşçi Bilgileri'!A213="","",'İşçi Bilgileri'!A213)</f>
        <v/>
      </c>
      <c r="B215" s="300" t="str">
        <f>IF($A215="","",VLOOKUP($A215,'İşçi Bilgileri'!$A$2:$D$700,4,FALSE))</f>
        <v/>
      </c>
      <c r="C215" s="301" t="str">
        <f>CONCATENATE(IF($A215="","",VLOOKUP($A215,'İşçi Bilgileri'!$A$2:$D$700,2,FALSE))," ",IF($A215="","",VLOOKUP($A215,'İşçi Bilgileri'!$A$2:$D$700,3,FALSE)))</f>
        <v xml:space="preserve"> </v>
      </c>
      <c r="D215" s="137" t="str">
        <f>IF($A215="","",VERİLER!$C$5)</f>
        <v/>
      </c>
      <c r="E215" s="138" t="str">
        <f>IF($A215="","",Puantaj!AJ220)</f>
        <v/>
      </c>
      <c r="F215" s="137">
        <f t="shared" si="37"/>
        <v>0</v>
      </c>
      <c r="G215" s="137"/>
      <c r="H215" s="137">
        <f t="shared" si="38"/>
        <v>0</v>
      </c>
      <c r="I215" s="137">
        <f t="shared" si="39"/>
        <v>0</v>
      </c>
      <c r="J215" s="137">
        <f>IF(F215&gt;VERİLER!$C$7,'İşçi Bilgileri'!M213+(F215-VERİLER!$C$7),0)</f>
        <v>0</v>
      </c>
      <c r="K215" s="137">
        <f>IF(VERİLER!$C$11&gt;0,ROUND(J215*0.15,2),0)</f>
        <v>0</v>
      </c>
      <c r="L215" s="359">
        <f t="shared" si="40"/>
        <v>0</v>
      </c>
      <c r="M215" s="139">
        <f t="shared" si="41"/>
        <v>0</v>
      </c>
      <c r="N215" s="137">
        <f t="shared" si="42"/>
        <v>0</v>
      </c>
      <c r="O215" s="359">
        <f t="shared" si="43"/>
        <v>0</v>
      </c>
      <c r="P215" s="140">
        <f t="shared" si="44"/>
        <v>0</v>
      </c>
      <c r="Q215" s="140">
        <v>0</v>
      </c>
      <c r="R215" s="137">
        <f t="shared" si="45"/>
        <v>0</v>
      </c>
      <c r="S215" s="141">
        <f t="shared" si="46"/>
        <v>0</v>
      </c>
      <c r="T215" s="137">
        <f t="shared" si="47"/>
        <v>0</v>
      </c>
      <c r="U215" s="137">
        <f>ROUND(VERİLER!$F$9*T215,3)</f>
        <v>0</v>
      </c>
      <c r="V215" s="336">
        <f t="shared" si="48"/>
        <v>0</v>
      </c>
      <c r="W215" s="113"/>
      <c r="X215" s="113"/>
      <c r="Y215" s="113"/>
    </row>
    <row r="216" spans="1:25" s="143" customFormat="1" ht="15" customHeight="1" x14ac:dyDescent="0.2">
      <c r="A216" s="299" t="str">
        <f>IF('İşçi Bilgileri'!A214="","",'İşçi Bilgileri'!A214)</f>
        <v/>
      </c>
      <c r="B216" s="300" t="str">
        <f>IF($A216="","",VLOOKUP($A216,'İşçi Bilgileri'!$A$2:$D$700,4,FALSE))</f>
        <v/>
      </c>
      <c r="C216" s="301" t="str">
        <f>CONCATENATE(IF($A216="","",VLOOKUP($A216,'İşçi Bilgileri'!$A$2:$D$700,2,FALSE))," ",IF($A216="","",VLOOKUP($A216,'İşçi Bilgileri'!$A$2:$D$700,3,FALSE)))</f>
        <v xml:space="preserve"> </v>
      </c>
      <c r="D216" s="137" t="str">
        <f>IF($A216="","",VERİLER!$C$5)</f>
        <v/>
      </c>
      <c r="E216" s="138" t="str">
        <f>IF($A216="","",Puantaj!AJ221)</f>
        <v/>
      </c>
      <c r="F216" s="137">
        <f t="shared" si="37"/>
        <v>0</v>
      </c>
      <c r="G216" s="137"/>
      <c r="H216" s="137">
        <f t="shared" si="38"/>
        <v>0</v>
      </c>
      <c r="I216" s="137">
        <f t="shared" si="39"/>
        <v>0</v>
      </c>
      <c r="J216" s="137">
        <f>IF(F216&gt;VERİLER!$C$7,'İşçi Bilgileri'!M214+(F216-VERİLER!$C$7),0)</f>
        <v>0</v>
      </c>
      <c r="K216" s="137">
        <f>IF(VERİLER!$C$11&gt;0,ROUND(J216*0.15,2),0)</f>
        <v>0</v>
      </c>
      <c r="L216" s="359">
        <f t="shared" si="40"/>
        <v>0</v>
      </c>
      <c r="M216" s="139">
        <f t="shared" si="41"/>
        <v>0</v>
      </c>
      <c r="N216" s="137">
        <f t="shared" si="42"/>
        <v>0</v>
      </c>
      <c r="O216" s="359">
        <f t="shared" si="43"/>
        <v>0</v>
      </c>
      <c r="P216" s="140">
        <f t="shared" si="44"/>
        <v>0</v>
      </c>
      <c r="Q216" s="140">
        <v>0</v>
      </c>
      <c r="R216" s="137">
        <f t="shared" si="45"/>
        <v>0</v>
      </c>
      <c r="S216" s="141">
        <f t="shared" si="46"/>
        <v>0</v>
      </c>
      <c r="T216" s="137">
        <f t="shared" si="47"/>
        <v>0</v>
      </c>
      <c r="U216" s="137">
        <f>ROUND(VERİLER!$F$9*T216,3)</f>
        <v>0</v>
      </c>
      <c r="V216" s="336">
        <f t="shared" si="48"/>
        <v>0</v>
      </c>
      <c r="W216" s="113"/>
      <c r="X216" s="113"/>
      <c r="Y216" s="113"/>
    </row>
    <row r="217" spans="1:25" s="143" customFormat="1" ht="15" customHeight="1" x14ac:dyDescent="0.2">
      <c r="A217" s="299" t="str">
        <f>IF('İşçi Bilgileri'!A215="","",'İşçi Bilgileri'!A215)</f>
        <v/>
      </c>
      <c r="B217" s="300" t="str">
        <f>IF($A217="","",VLOOKUP($A217,'İşçi Bilgileri'!$A$2:$D$700,4,FALSE))</f>
        <v/>
      </c>
      <c r="C217" s="301" t="str">
        <f>CONCATENATE(IF($A217="","",VLOOKUP($A217,'İşçi Bilgileri'!$A$2:$D$700,2,FALSE))," ",IF($A217="","",VLOOKUP($A217,'İşçi Bilgileri'!$A$2:$D$700,3,FALSE)))</f>
        <v xml:space="preserve"> </v>
      </c>
      <c r="D217" s="137" t="str">
        <f>IF($A217="","",VERİLER!$C$5)</f>
        <v/>
      </c>
      <c r="E217" s="138" t="str">
        <f>IF($A217="","",Puantaj!AJ222)</f>
        <v/>
      </c>
      <c r="F217" s="137">
        <f t="shared" si="37"/>
        <v>0</v>
      </c>
      <c r="G217" s="137"/>
      <c r="H217" s="137">
        <f t="shared" si="38"/>
        <v>0</v>
      </c>
      <c r="I217" s="137">
        <f t="shared" si="39"/>
        <v>0</v>
      </c>
      <c r="J217" s="137">
        <f>IF(F217&gt;VERİLER!$C$7,'İşçi Bilgileri'!M215+(F217-VERİLER!$C$7),0)</f>
        <v>0</v>
      </c>
      <c r="K217" s="137">
        <f>IF(VERİLER!$C$11&gt;0,ROUND(J217*0.15,2),0)</f>
        <v>0</v>
      </c>
      <c r="L217" s="359">
        <f t="shared" si="40"/>
        <v>0</v>
      </c>
      <c r="M217" s="139">
        <f t="shared" si="41"/>
        <v>0</v>
      </c>
      <c r="N217" s="137">
        <f t="shared" si="42"/>
        <v>0</v>
      </c>
      <c r="O217" s="359">
        <f t="shared" si="43"/>
        <v>0</v>
      </c>
      <c r="P217" s="140">
        <f t="shared" si="44"/>
        <v>0</v>
      </c>
      <c r="Q217" s="140">
        <v>0</v>
      </c>
      <c r="R217" s="137">
        <f t="shared" si="45"/>
        <v>0</v>
      </c>
      <c r="S217" s="141">
        <f t="shared" si="46"/>
        <v>0</v>
      </c>
      <c r="T217" s="137">
        <f t="shared" si="47"/>
        <v>0</v>
      </c>
      <c r="U217" s="137">
        <f>ROUND(VERİLER!$F$9*T217,3)</f>
        <v>0</v>
      </c>
      <c r="V217" s="336">
        <f t="shared" si="48"/>
        <v>0</v>
      </c>
      <c r="W217" s="113"/>
      <c r="X217" s="113"/>
      <c r="Y217" s="113"/>
    </row>
    <row r="218" spans="1:25" s="143" customFormat="1" ht="15" customHeight="1" x14ac:dyDescent="0.2">
      <c r="A218" s="299" t="str">
        <f>IF('İşçi Bilgileri'!A216="","",'İşçi Bilgileri'!A216)</f>
        <v/>
      </c>
      <c r="B218" s="300" t="str">
        <f>IF($A218="","",VLOOKUP($A218,'İşçi Bilgileri'!$A$2:$D$700,4,FALSE))</f>
        <v/>
      </c>
      <c r="C218" s="301" t="str">
        <f>CONCATENATE(IF($A218="","",VLOOKUP($A218,'İşçi Bilgileri'!$A$2:$D$700,2,FALSE))," ",IF($A218="","",VLOOKUP($A218,'İşçi Bilgileri'!$A$2:$D$700,3,FALSE)))</f>
        <v xml:space="preserve"> </v>
      </c>
      <c r="D218" s="137" t="str">
        <f>IF($A218="","",VERİLER!$C$5)</f>
        <v/>
      </c>
      <c r="E218" s="138" t="str">
        <f>IF($A218="","",Puantaj!AJ223)</f>
        <v/>
      </c>
      <c r="F218" s="137">
        <f t="shared" si="37"/>
        <v>0</v>
      </c>
      <c r="G218" s="137"/>
      <c r="H218" s="137">
        <f t="shared" si="38"/>
        <v>0</v>
      </c>
      <c r="I218" s="137">
        <f t="shared" si="39"/>
        <v>0</v>
      </c>
      <c r="J218" s="137">
        <f>IF(F218&gt;VERİLER!$C$7,'İşçi Bilgileri'!M216+(F218-VERİLER!$C$7),0)</f>
        <v>0</v>
      </c>
      <c r="K218" s="137">
        <f>IF(VERİLER!$C$11&gt;0,ROUND(J218*0.15,2),0)</f>
        <v>0</v>
      </c>
      <c r="L218" s="359">
        <f t="shared" si="40"/>
        <v>0</v>
      </c>
      <c r="M218" s="139">
        <f t="shared" si="41"/>
        <v>0</v>
      </c>
      <c r="N218" s="137">
        <f t="shared" si="42"/>
        <v>0</v>
      </c>
      <c r="O218" s="359">
        <f t="shared" si="43"/>
        <v>0</v>
      </c>
      <c r="P218" s="140">
        <f t="shared" si="44"/>
        <v>0</v>
      </c>
      <c r="Q218" s="140">
        <v>0</v>
      </c>
      <c r="R218" s="137">
        <f t="shared" si="45"/>
        <v>0</v>
      </c>
      <c r="S218" s="141">
        <f t="shared" si="46"/>
        <v>0</v>
      </c>
      <c r="T218" s="137">
        <f t="shared" si="47"/>
        <v>0</v>
      </c>
      <c r="U218" s="137">
        <f>ROUND(VERİLER!$F$9*T218,3)</f>
        <v>0</v>
      </c>
      <c r="V218" s="336">
        <f t="shared" si="48"/>
        <v>0</v>
      </c>
      <c r="W218" s="113"/>
      <c r="X218" s="113"/>
      <c r="Y218" s="113"/>
    </row>
    <row r="219" spans="1:25" s="143" customFormat="1" ht="15" customHeight="1" x14ac:dyDescent="0.2">
      <c r="A219" s="299" t="str">
        <f>IF('İşçi Bilgileri'!A217="","",'İşçi Bilgileri'!A217)</f>
        <v/>
      </c>
      <c r="B219" s="300" t="str">
        <f>IF($A219="","",VLOOKUP($A219,'İşçi Bilgileri'!$A$2:$D$700,4,FALSE))</f>
        <v/>
      </c>
      <c r="C219" s="301" t="str">
        <f>CONCATENATE(IF($A219="","",VLOOKUP($A219,'İşçi Bilgileri'!$A$2:$D$700,2,FALSE))," ",IF($A219="","",VLOOKUP($A219,'İşçi Bilgileri'!$A$2:$D$700,3,FALSE)))</f>
        <v xml:space="preserve"> </v>
      </c>
      <c r="D219" s="137" t="str">
        <f>IF($A219="","",VERİLER!$C$5)</f>
        <v/>
      </c>
      <c r="E219" s="138" t="str">
        <f>IF($A219="","",Puantaj!AJ224)</f>
        <v/>
      </c>
      <c r="F219" s="137">
        <f t="shared" si="37"/>
        <v>0</v>
      </c>
      <c r="G219" s="137"/>
      <c r="H219" s="137">
        <f t="shared" si="38"/>
        <v>0</v>
      </c>
      <c r="I219" s="137">
        <f t="shared" si="39"/>
        <v>0</v>
      </c>
      <c r="J219" s="137">
        <f>IF(F219&gt;VERİLER!$C$7,'İşçi Bilgileri'!M217+(F219-VERİLER!$C$7),0)</f>
        <v>0</v>
      </c>
      <c r="K219" s="137">
        <f>IF(VERİLER!$C$11&gt;0,ROUND(J219*0.15,2),0)</f>
        <v>0</v>
      </c>
      <c r="L219" s="359">
        <f t="shared" si="40"/>
        <v>0</v>
      </c>
      <c r="M219" s="139">
        <f t="shared" si="41"/>
        <v>0</v>
      </c>
      <c r="N219" s="137">
        <f t="shared" si="42"/>
        <v>0</v>
      </c>
      <c r="O219" s="359">
        <f t="shared" si="43"/>
        <v>0</v>
      </c>
      <c r="P219" s="140">
        <f t="shared" si="44"/>
        <v>0</v>
      </c>
      <c r="Q219" s="140">
        <v>0</v>
      </c>
      <c r="R219" s="137">
        <f t="shared" si="45"/>
        <v>0</v>
      </c>
      <c r="S219" s="141">
        <f t="shared" si="46"/>
        <v>0</v>
      </c>
      <c r="T219" s="137">
        <f t="shared" si="47"/>
        <v>0</v>
      </c>
      <c r="U219" s="137">
        <f>ROUND(VERİLER!$F$9*T219,3)</f>
        <v>0</v>
      </c>
      <c r="V219" s="336">
        <f t="shared" si="48"/>
        <v>0</v>
      </c>
      <c r="W219" s="113"/>
      <c r="X219" s="113"/>
      <c r="Y219" s="113"/>
    </row>
    <row r="220" spans="1:25" s="143" customFormat="1" ht="15" customHeight="1" x14ac:dyDescent="0.2">
      <c r="A220" s="299" t="str">
        <f>IF('İşçi Bilgileri'!A218="","",'İşçi Bilgileri'!A218)</f>
        <v/>
      </c>
      <c r="B220" s="300" t="str">
        <f>IF($A220="","",VLOOKUP($A220,'İşçi Bilgileri'!$A$2:$D$700,4,FALSE))</f>
        <v/>
      </c>
      <c r="C220" s="301" t="str">
        <f>CONCATENATE(IF($A220="","",VLOOKUP($A220,'İşçi Bilgileri'!$A$2:$D$700,2,FALSE))," ",IF($A220="","",VLOOKUP($A220,'İşçi Bilgileri'!$A$2:$D$700,3,FALSE)))</f>
        <v xml:space="preserve"> </v>
      </c>
      <c r="D220" s="137" t="str">
        <f>IF($A220="","",VERİLER!$C$5)</f>
        <v/>
      </c>
      <c r="E220" s="138" t="str">
        <f>IF($A220="","",Puantaj!AJ225)</f>
        <v/>
      </c>
      <c r="F220" s="137">
        <f t="shared" si="37"/>
        <v>0</v>
      </c>
      <c r="G220" s="137"/>
      <c r="H220" s="137">
        <f t="shared" si="38"/>
        <v>0</v>
      </c>
      <c r="I220" s="137">
        <f t="shared" si="39"/>
        <v>0</v>
      </c>
      <c r="J220" s="137">
        <f>IF(F220&gt;VERİLER!$C$7,'İşçi Bilgileri'!M218+(F220-VERİLER!$C$7),0)</f>
        <v>0</v>
      </c>
      <c r="K220" s="137">
        <f>IF(VERİLER!$C$11&gt;0,ROUND(J220*0.15,2),0)</f>
        <v>0</v>
      </c>
      <c r="L220" s="359">
        <f t="shared" si="40"/>
        <v>0</v>
      </c>
      <c r="M220" s="139">
        <f t="shared" si="41"/>
        <v>0</v>
      </c>
      <c r="N220" s="137">
        <f t="shared" si="42"/>
        <v>0</v>
      </c>
      <c r="O220" s="359">
        <f t="shared" si="43"/>
        <v>0</v>
      </c>
      <c r="P220" s="140">
        <f t="shared" si="44"/>
        <v>0</v>
      </c>
      <c r="Q220" s="140">
        <v>0</v>
      </c>
      <c r="R220" s="137">
        <f t="shared" si="45"/>
        <v>0</v>
      </c>
      <c r="S220" s="141">
        <f t="shared" si="46"/>
        <v>0</v>
      </c>
      <c r="T220" s="137">
        <f t="shared" si="47"/>
        <v>0</v>
      </c>
      <c r="U220" s="137">
        <f>ROUND(VERİLER!$F$9*T220,3)</f>
        <v>0</v>
      </c>
      <c r="V220" s="336">
        <f t="shared" si="48"/>
        <v>0</v>
      </c>
      <c r="W220" s="113"/>
      <c r="X220" s="113"/>
      <c r="Y220" s="113"/>
    </row>
    <row r="221" spans="1:25" s="143" customFormat="1" ht="15" customHeight="1" x14ac:dyDescent="0.2">
      <c r="A221" s="299" t="str">
        <f>IF('İşçi Bilgileri'!A219="","",'İşçi Bilgileri'!A219)</f>
        <v/>
      </c>
      <c r="B221" s="300" t="str">
        <f>IF($A221="","",VLOOKUP($A221,'İşçi Bilgileri'!$A$2:$D$700,4,FALSE))</f>
        <v/>
      </c>
      <c r="C221" s="301" t="str">
        <f>CONCATENATE(IF($A221="","",VLOOKUP($A221,'İşçi Bilgileri'!$A$2:$D$700,2,FALSE))," ",IF($A221="","",VLOOKUP($A221,'İşçi Bilgileri'!$A$2:$D$700,3,FALSE)))</f>
        <v xml:space="preserve"> </v>
      </c>
      <c r="D221" s="137" t="str">
        <f>IF($A221="","",VERİLER!$C$5)</f>
        <v/>
      </c>
      <c r="E221" s="138" t="str">
        <f>IF($A221="","",Puantaj!AJ226)</f>
        <v/>
      </c>
      <c r="F221" s="137">
        <f t="shared" si="37"/>
        <v>0</v>
      </c>
      <c r="G221" s="137"/>
      <c r="H221" s="137">
        <f t="shared" si="38"/>
        <v>0</v>
      </c>
      <c r="I221" s="137">
        <f t="shared" si="39"/>
        <v>0</v>
      </c>
      <c r="J221" s="137">
        <f>IF(F221&gt;VERİLER!$C$7,'İşçi Bilgileri'!M219+(F221-VERİLER!$C$7),0)</f>
        <v>0</v>
      </c>
      <c r="K221" s="137">
        <f>IF(VERİLER!$C$11&gt;0,ROUND(J221*0.15,2),0)</f>
        <v>0</v>
      </c>
      <c r="L221" s="359">
        <f t="shared" si="40"/>
        <v>0</v>
      </c>
      <c r="M221" s="139">
        <f t="shared" si="41"/>
        <v>0</v>
      </c>
      <c r="N221" s="137">
        <f t="shared" si="42"/>
        <v>0</v>
      </c>
      <c r="O221" s="359">
        <f t="shared" si="43"/>
        <v>0</v>
      </c>
      <c r="P221" s="140">
        <f t="shared" si="44"/>
        <v>0</v>
      </c>
      <c r="Q221" s="140">
        <v>0</v>
      </c>
      <c r="R221" s="137">
        <f t="shared" si="45"/>
        <v>0</v>
      </c>
      <c r="S221" s="141">
        <f t="shared" si="46"/>
        <v>0</v>
      </c>
      <c r="T221" s="137">
        <f t="shared" si="47"/>
        <v>0</v>
      </c>
      <c r="U221" s="137">
        <f>ROUND(VERİLER!$F$9*T221,3)</f>
        <v>0</v>
      </c>
      <c r="V221" s="336">
        <f t="shared" si="48"/>
        <v>0</v>
      </c>
      <c r="W221" s="113"/>
      <c r="X221" s="113"/>
      <c r="Y221" s="113"/>
    </row>
    <row r="222" spans="1:25" s="143" customFormat="1" ht="15" customHeight="1" x14ac:dyDescent="0.2">
      <c r="A222" s="299" t="str">
        <f>IF('İşçi Bilgileri'!A220="","",'İşçi Bilgileri'!A220)</f>
        <v/>
      </c>
      <c r="B222" s="300" t="str">
        <f>IF($A222="","",VLOOKUP($A222,'İşçi Bilgileri'!$A$2:$D$700,4,FALSE))</f>
        <v/>
      </c>
      <c r="C222" s="301" t="str">
        <f>CONCATENATE(IF($A222="","",VLOOKUP($A222,'İşçi Bilgileri'!$A$2:$D$700,2,FALSE))," ",IF($A222="","",VLOOKUP($A222,'İşçi Bilgileri'!$A$2:$D$700,3,FALSE)))</f>
        <v xml:space="preserve"> </v>
      </c>
      <c r="D222" s="137" t="str">
        <f>IF($A222="","",VERİLER!$C$5)</f>
        <v/>
      </c>
      <c r="E222" s="138" t="str">
        <f>IF($A222="","",Puantaj!AJ227)</f>
        <v/>
      </c>
      <c r="F222" s="137">
        <f t="shared" si="37"/>
        <v>0</v>
      </c>
      <c r="G222" s="137"/>
      <c r="H222" s="137">
        <f t="shared" si="38"/>
        <v>0</v>
      </c>
      <c r="I222" s="137">
        <f t="shared" si="39"/>
        <v>0</v>
      </c>
      <c r="J222" s="137">
        <f>IF(F222&gt;VERİLER!$C$7,'İşçi Bilgileri'!M220+(F222-VERİLER!$C$7),0)</f>
        <v>0</v>
      </c>
      <c r="K222" s="137">
        <f>IF(VERİLER!$C$11&gt;0,ROUND(J222*0.15,2),0)</f>
        <v>0</v>
      </c>
      <c r="L222" s="359">
        <f t="shared" si="40"/>
        <v>0</v>
      </c>
      <c r="M222" s="139">
        <f t="shared" si="41"/>
        <v>0</v>
      </c>
      <c r="N222" s="137">
        <f t="shared" si="42"/>
        <v>0</v>
      </c>
      <c r="O222" s="359">
        <f t="shared" si="43"/>
        <v>0</v>
      </c>
      <c r="P222" s="140">
        <f t="shared" si="44"/>
        <v>0</v>
      </c>
      <c r="Q222" s="140">
        <v>0</v>
      </c>
      <c r="R222" s="137">
        <f t="shared" si="45"/>
        <v>0</v>
      </c>
      <c r="S222" s="141">
        <f t="shared" si="46"/>
        <v>0</v>
      </c>
      <c r="T222" s="137">
        <f t="shared" si="47"/>
        <v>0</v>
      </c>
      <c r="U222" s="137">
        <f>ROUND(VERİLER!$F$9*T222,3)</f>
        <v>0</v>
      </c>
      <c r="V222" s="336">
        <f t="shared" si="48"/>
        <v>0</v>
      </c>
      <c r="W222" s="113"/>
      <c r="X222" s="113"/>
      <c r="Y222" s="113"/>
    </row>
    <row r="223" spans="1:25" s="143" customFormat="1" ht="15" customHeight="1" x14ac:dyDescent="0.2">
      <c r="A223" s="299" t="str">
        <f>IF('İşçi Bilgileri'!A221="","",'İşçi Bilgileri'!A221)</f>
        <v/>
      </c>
      <c r="B223" s="300" t="str">
        <f>IF($A223="","",VLOOKUP($A223,'İşçi Bilgileri'!$A$2:$D$700,4,FALSE))</f>
        <v/>
      </c>
      <c r="C223" s="301" t="str">
        <f>CONCATENATE(IF($A223="","",VLOOKUP($A223,'İşçi Bilgileri'!$A$2:$D$700,2,FALSE))," ",IF($A223="","",VLOOKUP($A223,'İşçi Bilgileri'!$A$2:$D$700,3,FALSE)))</f>
        <v xml:space="preserve"> </v>
      </c>
      <c r="D223" s="137" t="str">
        <f>IF($A223="","",VERİLER!$C$5)</f>
        <v/>
      </c>
      <c r="E223" s="138" t="str">
        <f>IF($A223="","",Puantaj!AJ228)</f>
        <v/>
      </c>
      <c r="F223" s="137">
        <f t="shared" si="37"/>
        <v>0</v>
      </c>
      <c r="G223" s="137"/>
      <c r="H223" s="137">
        <f t="shared" si="38"/>
        <v>0</v>
      </c>
      <c r="I223" s="137">
        <f t="shared" si="39"/>
        <v>0</v>
      </c>
      <c r="J223" s="137">
        <f>IF(F223&gt;VERİLER!$C$7,'İşçi Bilgileri'!M221+(F223-VERİLER!$C$7),0)</f>
        <v>0</v>
      </c>
      <c r="K223" s="137">
        <f>IF(VERİLER!$C$11&gt;0,ROUND(J223*0.15,2),0)</f>
        <v>0</v>
      </c>
      <c r="L223" s="359">
        <f t="shared" si="40"/>
        <v>0</v>
      </c>
      <c r="M223" s="139">
        <f t="shared" si="41"/>
        <v>0</v>
      </c>
      <c r="N223" s="137">
        <f t="shared" si="42"/>
        <v>0</v>
      </c>
      <c r="O223" s="359">
        <f t="shared" si="43"/>
        <v>0</v>
      </c>
      <c r="P223" s="140">
        <f t="shared" si="44"/>
        <v>0</v>
      </c>
      <c r="Q223" s="140">
        <v>0</v>
      </c>
      <c r="R223" s="137">
        <f t="shared" si="45"/>
        <v>0</v>
      </c>
      <c r="S223" s="141">
        <f t="shared" si="46"/>
        <v>0</v>
      </c>
      <c r="T223" s="137">
        <f t="shared" si="47"/>
        <v>0</v>
      </c>
      <c r="U223" s="137">
        <f>ROUND(VERİLER!$F$9*T223,3)</f>
        <v>0</v>
      </c>
      <c r="V223" s="336">
        <f t="shared" si="48"/>
        <v>0</v>
      </c>
      <c r="W223" s="113"/>
      <c r="X223" s="113"/>
      <c r="Y223" s="113"/>
    </row>
    <row r="224" spans="1:25" s="143" customFormat="1" ht="15" customHeight="1" x14ac:dyDescent="0.2">
      <c r="A224" s="299" t="str">
        <f>IF('İşçi Bilgileri'!A222="","",'İşçi Bilgileri'!A222)</f>
        <v/>
      </c>
      <c r="B224" s="300" t="str">
        <f>IF($A224="","",VLOOKUP($A224,'İşçi Bilgileri'!$A$2:$D$700,4,FALSE))</f>
        <v/>
      </c>
      <c r="C224" s="301" t="str">
        <f>CONCATENATE(IF($A224="","",VLOOKUP($A224,'İşçi Bilgileri'!$A$2:$D$700,2,FALSE))," ",IF($A224="","",VLOOKUP($A224,'İşçi Bilgileri'!$A$2:$D$700,3,FALSE)))</f>
        <v xml:space="preserve"> </v>
      </c>
      <c r="D224" s="137" t="str">
        <f>IF($A224="","",VERİLER!$C$5)</f>
        <v/>
      </c>
      <c r="E224" s="138" t="str">
        <f>IF($A224="","",Puantaj!AJ229)</f>
        <v/>
      </c>
      <c r="F224" s="137">
        <f t="shared" si="37"/>
        <v>0</v>
      </c>
      <c r="G224" s="137"/>
      <c r="H224" s="137">
        <f t="shared" si="38"/>
        <v>0</v>
      </c>
      <c r="I224" s="137">
        <f t="shared" si="39"/>
        <v>0</v>
      </c>
      <c r="J224" s="137">
        <f>IF(F224&gt;VERİLER!$C$7,'İşçi Bilgileri'!M222+(F224-VERİLER!$C$7),0)</f>
        <v>0</v>
      </c>
      <c r="K224" s="137">
        <f>IF(VERİLER!$C$11&gt;0,ROUND(J224*0.15,2),0)</f>
        <v>0</v>
      </c>
      <c r="L224" s="359">
        <f t="shared" si="40"/>
        <v>0</v>
      </c>
      <c r="M224" s="139">
        <f t="shared" si="41"/>
        <v>0</v>
      </c>
      <c r="N224" s="137">
        <f t="shared" si="42"/>
        <v>0</v>
      </c>
      <c r="O224" s="359">
        <f t="shared" si="43"/>
        <v>0</v>
      </c>
      <c r="P224" s="140">
        <f t="shared" si="44"/>
        <v>0</v>
      </c>
      <c r="Q224" s="140">
        <v>0</v>
      </c>
      <c r="R224" s="137">
        <f t="shared" si="45"/>
        <v>0</v>
      </c>
      <c r="S224" s="141">
        <f t="shared" si="46"/>
        <v>0</v>
      </c>
      <c r="T224" s="137">
        <f t="shared" si="47"/>
        <v>0</v>
      </c>
      <c r="U224" s="137">
        <f>ROUND(VERİLER!$F$9*T224,3)</f>
        <v>0</v>
      </c>
      <c r="V224" s="336">
        <f t="shared" si="48"/>
        <v>0</v>
      </c>
      <c r="W224" s="113"/>
      <c r="X224" s="113"/>
      <c r="Y224" s="113"/>
    </row>
    <row r="225" spans="1:25" s="143" customFormat="1" ht="15" customHeight="1" x14ac:dyDescent="0.2">
      <c r="A225" s="299" t="str">
        <f>IF('İşçi Bilgileri'!A223="","",'İşçi Bilgileri'!A223)</f>
        <v/>
      </c>
      <c r="B225" s="300" t="str">
        <f>IF($A225="","",VLOOKUP($A225,'İşçi Bilgileri'!$A$2:$D$700,4,FALSE))</f>
        <v/>
      </c>
      <c r="C225" s="301" t="str">
        <f>CONCATENATE(IF($A225="","",VLOOKUP($A225,'İşçi Bilgileri'!$A$2:$D$700,2,FALSE))," ",IF($A225="","",VLOOKUP($A225,'İşçi Bilgileri'!$A$2:$D$700,3,FALSE)))</f>
        <v xml:space="preserve"> </v>
      </c>
      <c r="D225" s="137" t="str">
        <f>IF($A225="","",VERİLER!$C$5)</f>
        <v/>
      </c>
      <c r="E225" s="138" t="str">
        <f>IF($A225="","",Puantaj!AJ230)</f>
        <v/>
      </c>
      <c r="F225" s="137">
        <f t="shared" si="37"/>
        <v>0</v>
      </c>
      <c r="G225" s="137"/>
      <c r="H225" s="137">
        <f t="shared" si="38"/>
        <v>0</v>
      </c>
      <c r="I225" s="137">
        <f t="shared" si="39"/>
        <v>0</v>
      </c>
      <c r="J225" s="137">
        <f>IF(F225&gt;VERİLER!$C$7,'İşçi Bilgileri'!M223+(F225-VERİLER!$C$7),0)</f>
        <v>0</v>
      </c>
      <c r="K225" s="137">
        <f>IF(VERİLER!$C$11&gt;0,ROUND(J225*0.15,2),0)</f>
        <v>0</v>
      </c>
      <c r="L225" s="359">
        <f t="shared" si="40"/>
        <v>0</v>
      </c>
      <c r="M225" s="139">
        <f t="shared" si="41"/>
        <v>0</v>
      </c>
      <c r="N225" s="137">
        <f t="shared" si="42"/>
        <v>0</v>
      </c>
      <c r="O225" s="359">
        <f t="shared" si="43"/>
        <v>0</v>
      </c>
      <c r="P225" s="140">
        <f t="shared" si="44"/>
        <v>0</v>
      </c>
      <c r="Q225" s="140">
        <v>0</v>
      </c>
      <c r="R225" s="137">
        <f t="shared" si="45"/>
        <v>0</v>
      </c>
      <c r="S225" s="141">
        <f t="shared" si="46"/>
        <v>0</v>
      </c>
      <c r="T225" s="137">
        <f t="shared" si="47"/>
        <v>0</v>
      </c>
      <c r="U225" s="137">
        <f>ROUND(VERİLER!$F$9*T225,3)</f>
        <v>0</v>
      </c>
      <c r="V225" s="336">
        <f t="shared" si="48"/>
        <v>0</v>
      </c>
      <c r="W225" s="113"/>
      <c r="X225" s="113"/>
      <c r="Y225" s="113"/>
    </row>
    <row r="226" spans="1:25" s="143" customFormat="1" ht="15" customHeight="1" x14ac:dyDescent="0.2">
      <c r="A226" s="299" t="str">
        <f>IF('İşçi Bilgileri'!A224="","",'İşçi Bilgileri'!A224)</f>
        <v/>
      </c>
      <c r="B226" s="300" t="str">
        <f>IF($A226="","",VLOOKUP($A226,'İşçi Bilgileri'!$A$2:$D$700,4,FALSE))</f>
        <v/>
      </c>
      <c r="C226" s="301" t="str">
        <f>CONCATENATE(IF($A226="","",VLOOKUP($A226,'İşçi Bilgileri'!$A$2:$D$700,2,FALSE))," ",IF($A226="","",VLOOKUP($A226,'İşçi Bilgileri'!$A$2:$D$700,3,FALSE)))</f>
        <v xml:space="preserve"> </v>
      </c>
      <c r="D226" s="137" t="str">
        <f>IF($A226="","",VERİLER!$C$5)</f>
        <v/>
      </c>
      <c r="E226" s="138" t="str">
        <f>IF($A226="","",Puantaj!AJ231)</f>
        <v/>
      </c>
      <c r="F226" s="137">
        <f t="shared" si="37"/>
        <v>0</v>
      </c>
      <c r="G226" s="137"/>
      <c r="H226" s="137">
        <f t="shared" si="38"/>
        <v>0</v>
      </c>
      <c r="I226" s="137">
        <f t="shared" si="39"/>
        <v>0</v>
      </c>
      <c r="J226" s="137">
        <f>IF(F226&gt;VERİLER!$C$7,'İşçi Bilgileri'!M224+(F226-VERİLER!$C$7),0)</f>
        <v>0</v>
      </c>
      <c r="K226" s="137">
        <f>IF(VERİLER!$C$11&gt;0,ROUND(J226*0.15,2),0)</f>
        <v>0</v>
      </c>
      <c r="L226" s="359">
        <f t="shared" si="40"/>
        <v>0</v>
      </c>
      <c r="M226" s="139">
        <f t="shared" si="41"/>
        <v>0</v>
      </c>
      <c r="N226" s="137">
        <f t="shared" si="42"/>
        <v>0</v>
      </c>
      <c r="O226" s="359">
        <f t="shared" si="43"/>
        <v>0</v>
      </c>
      <c r="P226" s="140">
        <f t="shared" si="44"/>
        <v>0</v>
      </c>
      <c r="Q226" s="140">
        <v>0</v>
      </c>
      <c r="R226" s="137">
        <f t="shared" si="45"/>
        <v>0</v>
      </c>
      <c r="S226" s="141">
        <f t="shared" si="46"/>
        <v>0</v>
      </c>
      <c r="T226" s="137">
        <f t="shared" si="47"/>
        <v>0</v>
      </c>
      <c r="U226" s="137">
        <f>ROUND(VERİLER!$F$9*T226,3)</f>
        <v>0</v>
      </c>
      <c r="V226" s="336">
        <f t="shared" si="48"/>
        <v>0</v>
      </c>
      <c r="W226" s="113"/>
      <c r="X226" s="113"/>
      <c r="Y226" s="113"/>
    </row>
    <row r="227" spans="1:25" s="143" customFormat="1" ht="15" customHeight="1" x14ac:dyDescent="0.2">
      <c r="A227" s="299" t="str">
        <f>IF('İşçi Bilgileri'!A225="","",'İşçi Bilgileri'!A225)</f>
        <v/>
      </c>
      <c r="B227" s="300" t="str">
        <f>IF($A227="","",VLOOKUP($A227,'İşçi Bilgileri'!$A$2:$D$700,4,FALSE))</f>
        <v/>
      </c>
      <c r="C227" s="301" t="str">
        <f>CONCATENATE(IF($A227="","",VLOOKUP($A227,'İşçi Bilgileri'!$A$2:$D$700,2,FALSE))," ",IF($A227="","",VLOOKUP($A227,'İşçi Bilgileri'!$A$2:$D$700,3,FALSE)))</f>
        <v xml:space="preserve"> </v>
      </c>
      <c r="D227" s="137" t="str">
        <f>IF($A227="","",VERİLER!$C$5)</f>
        <v/>
      </c>
      <c r="E227" s="138" t="str">
        <f>IF($A227="","",Puantaj!AJ232)</f>
        <v/>
      </c>
      <c r="F227" s="137">
        <f t="shared" si="37"/>
        <v>0</v>
      </c>
      <c r="G227" s="137"/>
      <c r="H227" s="137">
        <f t="shared" si="38"/>
        <v>0</v>
      </c>
      <c r="I227" s="137">
        <f t="shared" si="39"/>
        <v>0</v>
      </c>
      <c r="J227" s="137">
        <f>IF(F227&gt;VERİLER!$C$7,'İşçi Bilgileri'!M225+(F227-VERİLER!$C$7),0)</f>
        <v>0</v>
      </c>
      <c r="K227" s="137">
        <f>IF(VERİLER!$C$11&gt;0,ROUND(J227*0.15,2),0)</f>
        <v>0</v>
      </c>
      <c r="L227" s="359">
        <f t="shared" si="40"/>
        <v>0</v>
      </c>
      <c r="M227" s="139">
        <f t="shared" si="41"/>
        <v>0</v>
      </c>
      <c r="N227" s="137">
        <f t="shared" si="42"/>
        <v>0</v>
      </c>
      <c r="O227" s="359">
        <f t="shared" si="43"/>
        <v>0</v>
      </c>
      <c r="P227" s="140">
        <f t="shared" si="44"/>
        <v>0</v>
      </c>
      <c r="Q227" s="140">
        <v>0</v>
      </c>
      <c r="R227" s="137">
        <f t="shared" si="45"/>
        <v>0</v>
      </c>
      <c r="S227" s="141">
        <f t="shared" si="46"/>
        <v>0</v>
      </c>
      <c r="T227" s="137">
        <f t="shared" si="47"/>
        <v>0</v>
      </c>
      <c r="U227" s="137">
        <f>ROUND(VERİLER!$F$9*T227,3)</f>
        <v>0</v>
      </c>
      <c r="V227" s="336">
        <f t="shared" si="48"/>
        <v>0</v>
      </c>
      <c r="W227" s="113"/>
      <c r="X227" s="113"/>
      <c r="Y227" s="113"/>
    </row>
    <row r="228" spans="1:25" s="143" customFormat="1" ht="15" customHeight="1" x14ac:dyDescent="0.2">
      <c r="A228" s="299" t="str">
        <f>IF('İşçi Bilgileri'!A226="","",'İşçi Bilgileri'!A226)</f>
        <v/>
      </c>
      <c r="B228" s="300" t="str">
        <f>IF($A228="","",VLOOKUP($A228,'İşçi Bilgileri'!$A$2:$D$700,4,FALSE))</f>
        <v/>
      </c>
      <c r="C228" s="301" t="str">
        <f>CONCATENATE(IF($A228="","",VLOOKUP($A228,'İşçi Bilgileri'!$A$2:$D$700,2,FALSE))," ",IF($A228="","",VLOOKUP($A228,'İşçi Bilgileri'!$A$2:$D$700,3,FALSE)))</f>
        <v xml:space="preserve"> </v>
      </c>
      <c r="D228" s="137" t="str">
        <f>IF($A228="","",VERİLER!$C$5)</f>
        <v/>
      </c>
      <c r="E228" s="138" t="str">
        <f>IF($A228="","",Puantaj!AJ233)</f>
        <v/>
      </c>
      <c r="F228" s="137">
        <f t="shared" si="37"/>
        <v>0</v>
      </c>
      <c r="G228" s="137"/>
      <c r="H228" s="137">
        <f t="shared" si="38"/>
        <v>0</v>
      </c>
      <c r="I228" s="137">
        <f t="shared" si="39"/>
        <v>0</v>
      </c>
      <c r="J228" s="137">
        <f>IF(F228&gt;VERİLER!$C$7,'İşçi Bilgileri'!M226+(F228-VERİLER!$C$7),0)</f>
        <v>0</v>
      </c>
      <c r="K228" s="137">
        <f>IF(VERİLER!$C$11&gt;0,ROUND(J228*0.15,2),0)</f>
        <v>0</v>
      </c>
      <c r="L228" s="359">
        <f t="shared" si="40"/>
        <v>0</v>
      </c>
      <c r="M228" s="139">
        <f t="shared" si="41"/>
        <v>0</v>
      </c>
      <c r="N228" s="137">
        <f t="shared" si="42"/>
        <v>0</v>
      </c>
      <c r="O228" s="359">
        <f t="shared" si="43"/>
        <v>0</v>
      </c>
      <c r="P228" s="140">
        <f t="shared" si="44"/>
        <v>0</v>
      </c>
      <c r="Q228" s="140">
        <v>0</v>
      </c>
      <c r="R228" s="137">
        <f t="shared" si="45"/>
        <v>0</v>
      </c>
      <c r="S228" s="141">
        <f t="shared" si="46"/>
        <v>0</v>
      </c>
      <c r="T228" s="137">
        <f t="shared" si="47"/>
        <v>0</v>
      </c>
      <c r="U228" s="137">
        <f>ROUND(VERİLER!$F$9*T228,3)</f>
        <v>0</v>
      </c>
      <c r="V228" s="336">
        <f t="shared" si="48"/>
        <v>0</v>
      </c>
      <c r="W228" s="113"/>
      <c r="X228" s="113"/>
      <c r="Y228" s="113"/>
    </row>
    <row r="229" spans="1:25" s="143" customFormat="1" ht="15" customHeight="1" x14ac:dyDescent="0.2">
      <c r="A229" s="299" t="str">
        <f>IF('İşçi Bilgileri'!A227="","",'İşçi Bilgileri'!A227)</f>
        <v/>
      </c>
      <c r="B229" s="300" t="str">
        <f>IF($A229="","",VLOOKUP($A229,'İşçi Bilgileri'!$A$2:$D$700,4,FALSE))</f>
        <v/>
      </c>
      <c r="C229" s="301" t="str">
        <f>CONCATENATE(IF($A229="","",VLOOKUP($A229,'İşçi Bilgileri'!$A$2:$D$700,2,FALSE))," ",IF($A229="","",VLOOKUP($A229,'İşçi Bilgileri'!$A$2:$D$700,3,FALSE)))</f>
        <v xml:space="preserve"> </v>
      </c>
      <c r="D229" s="137" t="str">
        <f>IF($A229="","",VERİLER!$C$5)</f>
        <v/>
      </c>
      <c r="E229" s="138" t="str">
        <f>IF($A229="","",Puantaj!AJ234)</f>
        <v/>
      </c>
      <c r="F229" s="137">
        <f t="shared" si="37"/>
        <v>0</v>
      </c>
      <c r="G229" s="137"/>
      <c r="H229" s="137">
        <f t="shared" si="38"/>
        <v>0</v>
      </c>
      <c r="I229" s="137">
        <f t="shared" si="39"/>
        <v>0</v>
      </c>
      <c r="J229" s="137">
        <f>IF(F229&gt;VERİLER!$C$7,'İşçi Bilgileri'!M227+(F229-VERİLER!$C$7),0)</f>
        <v>0</v>
      </c>
      <c r="K229" s="137">
        <f>IF(VERİLER!$C$11&gt;0,ROUND(J229*0.15,2),0)</f>
        <v>0</v>
      </c>
      <c r="L229" s="359">
        <f t="shared" si="40"/>
        <v>0</v>
      </c>
      <c r="M229" s="139">
        <f t="shared" si="41"/>
        <v>0</v>
      </c>
      <c r="N229" s="137">
        <f t="shared" si="42"/>
        <v>0</v>
      </c>
      <c r="O229" s="359">
        <f t="shared" si="43"/>
        <v>0</v>
      </c>
      <c r="P229" s="140">
        <f t="shared" si="44"/>
        <v>0</v>
      </c>
      <c r="Q229" s="140">
        <v>0</v>
      </c>
      <c r="R229" s="137">
        <f t="shared" si="45"/>
        <v>0</v>
      </c>
      <c r="S229" s="141">
        <f t="shared" si="46"/>
        <v>0</v>
      </c>
      <c r="T229" s="137">
        <f t="shared" si="47"/>
        <v>0</v>
      </c>
      <c r="U229" s="137">
        <f>ROUND(VERİLER!$F$9*T229,3)</f>
        <v>0</v>
      </c>
      <c r="V229" s="336">
        <f t="shared" si="48"/>
        <v>0</v>
      </c>
      <c r="W229" s="113"/>
      <c r="X229" s="113"/>
      <c r="Y229" s="113"/>
    </row>
    <row r="230" spans="1:25" s="143" customFormat="1" ht="15" customHeight="1" x14ac:dyDescent="0.2">
      <c r="A230" s="299" t="str">
        <f>IF('İşçi Bilgileri'!A228="","",'İşçi Bilgileri'!A228)</f>
        <v/>
      </c>
      <c r="B230" s="300" t="str">
        <f>IF($A230="","",VLOOKUP($A230,'İşçi Bilgileri'!$A$2:$D$700,4,FALSE))</f>
        <v/>
      </c>
      <c r="C230" s="301" t="str">
        <f>CONCATENATE(IF($A230="","",VLOOKUP($A230,'İşçi Bilgileri'!$A$2:$D$700,2,FALSE))," ",IF($A230="","",VLOOKUP($A230,'İşçi Bilgileri'!$A$2:$D$700,3,FALSE)))</f>
        <v xml:space="preserve"> </v>
      </c>
      <c r="D230" s="137" t="str">
        <f>IF($A230="","",VERİLER!$C$5)</f>
        <v/>
      </c>
      <c r="E230" s="138" t="str">
        <f>IF($A230="","",Puantaj!AJ235)</f>
        <v/>
      </c>
      <c r="F230" s="137">
        <f t="shared" si="37"/>
        <v>0</v>
      </c>
      <c r="G230" s="137"/>
      <c r="H230" s="137">
        <f t="shared" si="38"/>
        <v>0</v>
      </c>
      <c r="I230" s="137">
        <f t="shared" si="39"/>
        <v>0</v>
      </c>
      <c r="J230" s="137">
        <f>IF(F230&gt;VERİLER!$C$7,'İşçi Bilgileri'!M228+(F230-VERİLER!$C$7),0)</f>
        <v>0</v>
      </c>
      <c r="K230" s="137">
        <f>IF(VERİLER!$C$11&gt;0,ROUND(J230*0.15,2),0)</f>
        <v>0</v>
      </c>
      <c r="L230" s="359">
        <f t="shared" si="40"/>
        <v>0</v>
      </c>
      <c r="M230" s="139">
        <f t="shared" si="41"/>
        <v>0</v>
      </c>
      <c r="N230" s="137">
        <f t="shared" si="42"/>
        <v>0</v>
      </c>
      <c r="O230" s="359">
        <f t="shared" si="43"/>
        <v>0</v>
      </c>
      <c r="P230" s="140">
        <f t="shared" si="44"/>
        <v>0</v>
      </c>
      <c r="Q230" s="140">
        <v>0</v>
      </c>
      <c r="R230" s="137">
        <f t="shared" si="45"/>
        <v>0</v>
      </c>
      <c r="S230" s="141">
        <f t="shared" si="46"/>
        <v>0</v>
      </c>
      <c r="T230" s="137">
        <f t="shared" si="47"/>
        <v>0</v>
      </c>
      <c r="U230" s="137">
        <f>ROUND(VERİLER!$F$9*T230,3)</f>
        <v>0</v>
      </c>
      <c r="V230" s="336">
        <f t="shared" si="48"/>
        <v>0</v>
      </c>
      <c r="W230" s="113"/>
      <c r="X230" s="113"/>
      <c r="Y230" s="113"/>
    </row>
    <row r="231" spans="1:25" s="143" customFormat="1" ht="15" customHeight="1" x14ac:dyDescent="0.2">
      <c r="A231" s="299" t="str">
        <f>IF('İşçi Bilgileri'!A229="","",'İşçi Bilgileri'!A229)</f>
        <v/>
      </c>
      <c r="B231" s="300" t="str">
        <f>IF($A231="","",VLOOKUP($A231,'İşçi Bilgileri'!$A$2:$D$700,4,FALSE))</f>
        <v/>
      </c>
      <c r="C231" s="301" t="str">
        <f>CONCATENATE(IF($A231="","",VLOOKUP($A231,'İşçi Bilgileri'!$A$2:$D$700,2,FALSE))," ",IF($A231="","",VLOOKUP($A231,'İşçi Bilgileri'!$A$2:$D$700,3,FALSE)))</f>
        <v xml:space="preserve"> </v>
      </c>
      <c r="D231" s="137" t="str">
        <f>IF($A231="","",VERİLER!$C$5)</f>
        <v/>
      </c>
      <c r="E231" s="138" t="str">
        <f>IF($A231="","",Puantaj!AJ236)</f>
        <v/>
      </c>
      <c r="F231" s="137">
        <f t="shared" si="37"/>
        <v>0</v>
      </c>
      <c r="G231" s="137"/>
      <c r="H231" s="137">
        <f t="shared" si="38"/>
        <v>0</v>
      </c>
      <c r="I231" s="137">
        <f t="shared" si="39"/>
        <v>0</v>
      </c>
      <c r="J231" s="137">
        <f>IF(F231&gt;VERİLER!$C$7,'İşçi Bilgileri'!M229+(F231-VERİLER!$C$7),0)</f>
        <v>0</v>
      </c>
      <c r="K231" s="137">
        <f>IF(VERİLER!$C$11&gt;0,ROUND(J231*0.15,2),0)</f>
        <v>0</v>
      </c>
      <c r="L231" s="359">
        <f t="shared" si="40"/>
        <v>0</v>
      </c>
      <c r="M231" s="139">
        <f t="shared" si="41"/>
        <v>0</v>
      </c>
      <c r="N231" s="137">
        <f t="shared" si="42"/>
        <v>0</v>
      </c>
      <c r="O231" s="359">
        <f t="shared" si="43"/>
        <v>0</v>
      </c>
      <c r="P231" s="140">
        <f t="shared" si="44"/>
        <v>0</v>
      </c>
      <c r="Q231" s="140">
        <v>0</v>
      </c>
      <c r="R231" s="137">
        <f t="shared" si="45"/>
        <v>0</v>
      </c>
      <c r="S231" s="141">
        <f t="shared" si="46"/>
        <v>0</v>
      </c>
      <c r="T231" s="137">
        <f t="shared" si="47"/>
        <v>0</v>
      </c>
      <c r="U231" s="137">
        <f>ROUND(VERİLER!$F$9*T231,3)</f>
        <v>0</v>
      </c>
      <c r="V231" s="336">
        <f t="shared" si="48"/>
        <v>0</v>
      </c>
      <c r="W231" s="113"/>
      <c r="X231" s="113"/>
      <c r="Y231" s="113"/>
    </row>
    <row r="232" spans="1:25" s="143" customFormat="1" ht="15" customHeight="1" x14ac:dyDescent="0.2">
      <c r="A232" s="299" t="str">
        <f>IF('İşçi Bilgileri'!A230="","",'İşçi Bilgileri'!A230)</f>
        <v/>
      </c>
      <c r="B232" s="300" t="str">
        <f>IF($A232="","",VLOOKUP($A232,'İşçi Bilgileri'!$A$2:$D$700,4,FALSE))</f>
        <v/>
      </c>
      <c r="C232" s="301" t="str">
        <f>CONCATENATE(IF($A232="","",VLOOKUP($A232,'İşçi Bilgileri'!$A$2:$D$700,2,FALSE))," ",IF($A232="","",VLOOKUP($A232,'İşçi Bilgileri'!$A$2:$D$700,3,FALSE)))</f>
        <v xml:space="preserve"> </v>
      </c>
      <c r="D232" s="137" t="str">
        <f>IF($A232="","",VERİLER!$C$5)</f>
        <v/>
      </c>
      <c r="E232" s="138" t="str">
        <f>IF($A232="","",Puantaj!AJ237)</f>
        <v/>
      </c>
      <c r="F232" s="137">
        <f t="shared" si="37"/>
        <v>0</v>
      </c>
      <c r="G232" s="137"/>
      <c r="H232" s="137">
        <f t="shared" si="38"/>
        <v>0</v>
      </c>
      <c r="I232" s="137">
        <f t="shared" si="39"/>
        <v>0</v>
      </c>
      <c r="J232" s="137">
        <f>IF(F232&gt;VERİLER!$C$7,'İşçi Bilgileri'!M230+(F232-VERİLER!$C$7),0)</f>
        <v>0</v>
      </c>
      <c r="K232" s="137">
        <f>IF(VERİLER!$C$11&gt;0,ROUND(J232*0.15,2),0)</f>
        <v>0</v>
      </c>
      <c r="L232" s="359">
        <f t="shared" si="40"/>
        <v>0</v>
      </c>
      <c r="M232" s="139">
        <f t="shared" si="41"/>
        <v>0</v>
      </c>
      <c r="N232" s="137">
        <f t="shared" si="42"/>
        <v>0</v>
      </c>
      <c r="O232" s="359">
        <f t="shared" si="43"/>
        <v>0</v>
      </c>
      <c r="P232" s="140">
        <f t="shared" si="44"/>
        <v>0</v>
      </c>
      <c r="Q232" s="140">
        <v>0</v>
      </c>
      <c r="R232" s="137">
        <f t="shared" si="45"/>
        <v>0</v>
      </c>
      <c r="S232" s="141">
        <f t="shared" si="46"/>
        <v>0</v>
      </c>
      <c r="T232" s="137">
        <f t="shared" si="47"/>
        <v>0</v>
      </c>
      <c r="U232" s="137">
        <f>ROUND(VERİLER!$F$9*T232,3)</f>
        <v>0</v>
      </c>
      <c r="V232" s="336">
        <f t="shared" si="48"/>
        <v>0</v>
      </c>
      <c r="W232" s="113"/>
      <c r="X232" s="113"/>
      <c r="Y232" s="113"/>
    </row>
    <row r="233" spans="1:25" s="143" customFormat="1" ht="15" customHeight="1" x14ac:dyDescent="0.2">
      <c r="A233" s="299" t="str">
        <f>IF('İşçi Bilgileri'!A231="","",'İşçi Bilgileri'!A231)</f>
        <v/>
      </c>
      <c r="B233" s="300" t="str">
        <f>IF($A233="","",VLOOKUP($A233,'İşçi Bilgileri'!$A$2:$D$700,4,FALSE))</f>
        <v/>
      </c>
      <c r="C233" s="301" t="str">
        <f>CONCATENATE(IF($A233="","",VLOOKUP($A233,'İşçi Bilgileri'!$A$2:$D$700,2,FALSE))," ",IF($A233="","",VLOOKUP($A233,'İşçi Bilgileri'!$A$2:$D$700,3,FALSE)))</f>
        <v xml:space="preserve"> </v>
      </c>
      <c r="D233" s="137" t="str">
        <f>IF($A233="","",VERİLER!$C$5)</f>
        <v/>
      </c>
      <c r="E233" s="138" t="str">
        <f>IF($A233="","",Puantaj!AJ238)</f>
        <v/>
      </c>
      <c r="F233" s="137">
        <f t="shared" si="37"/>
        <v>0</v>
      </c>
      <c r="G233" s="137"/>
      <c r="H233" s="137">
        <f t="shared" si="38"/>
        <v>0</v>
      </c>
      <c r="I233" s="137">
        <f t="shared" si="39"/>
        <v>0</v>
      </c>
      <c r="J233" s="137">
        <f>IF(F233&gt;VERİLER!$C$7,'İşçi Bilgileri'!M231+(F233-VERİLER!$C$7),0)</f>
        <v>0</v>
      </c>
      <c r="K233" s="137">
        <f>IF(VERİLER!$C$11&gt;0,ROUND(J233*0.15,2),0)</f>
        <v>0</v>
      </c>
      <c r="L233" s="359">
        <f t="shared" si="40"/>
        <v>0</v>
      </c>
      <c r="M233" s="139">
        <f t="shared" si="41"/>
        <v>0</v>
      </c>
      <c r="N233" s="137">
        <f t="shared" si="42"/>
        <v>0</v>
      </c>
      <c r="O233" s="359">
        <f t="shared" si="43"/>
        <v>0</v>
      </c>
      <c r="P233" s="140">
        <f t="shared" si="44"/>
        <v>0</v>
      </c>
      <c r="Q233" s="140">
        <v>0</v>
      </c>
      <c r="R233" s="137">
        <f t="shared" si="45"/>
        <v>0</v>
      </c>
      <c r="S233" s="141">
        <f t="shared" si="46"/>
        <v>0</v>
      </c>
      <c r="T233" s="137">
        <f t="shared" si="47"/>
        <v>0</v>
      </c>
      <c r="U233" s="137">
        <f>ROUND(VERİLER!$F$9*T233,3)</f>
        <v>0</v>
      </c>
      <c r="V233" s="336">
        <f t="shared" si="48"/>
        <v>0</v>
      </c>
      <c r="W233" s="113"/>
      <c r="X233" s="113"/>
      <c r="Y233" s="113"/>
    </row>
    <row r="234" spans="1:25" s="143" customFormat="1" ht="15" customHeight="1" x14ac:dyDescent="0.2">
      <c r="A234" s="299" t="str">
        <f>IF('İşçi Bilgileri'!A232="","",'İşçi Bilgileri'!A232)</f>
        <v/>
      </c>
      <c r="B234" s="300" t="str">
        <f>IF($A234="","",VLOOKUP($A234,'İşçi Bilgileri'!$A$2:$D$700,4,FALSE))</f>
        <v/>
      </c>
      <c r="C234" s="301" t="str">
        <f>CONCATENATE(IF($A234="","",VLOOKUP($A234,'İşçi Bilgileri'!$A$2:$D$700,2,FALSE))," ",IF($A234="","",VLOOKUP($A234,'İşçi Bilgileri'!$A$2:$D$700,3,FALSE)))</f>
        <v xml:space="preserve"> </v>
      </c>
      <c r="D234" s="137" t="str">
        <f>IF($A234="","",VERİLER!$C$5)</f>
        <v/>
      </c>
      <c r="E234" s="138" t="str">
        <f>IF($A234="","",Puantaj!AJ239)</f>
        <v/>
      </c>
      <c r="F234" s="137">
        <f t="shared" si="37"/>
        <v>0</v>
      </c>
      <c r="G234" s="137"/>
      <c r="H234" s="137">
        <f t="shared" si="38"/>
        <v>0</v>
      </c>
      <c r="I234" s="137">
        <f t="shared" si="39"/>
        <v>0</v>
      </c>
      <c r="J234" s="137">
        <f>IF(F234&gt;VERİLER!$C$7,'İşçi Bilgileri'!M232+(F234-VERİLER!$C$7),0)</f>
        <v>0</v>
      </c>
      <c r="K234" s="137">
        <f>IF(VERİLER!$C$11&gt;0,ROUND(J234*0.15,2),0)</f>
        <v>0</v>
      </c>
      <c r="L234" s="359">
        <f t="shared" si="40"/>
        <v>0</v>
      </c>
      <c r="M234" s="139">
        <f t="shared" si="41"/>
        <v>0</v>
      </c>
      <c r="N234" s="137">
        <f t="shared" si="42"/>
        <v>0</v>
      </c>
      <c r="O234" s="359">
        <f t="shared" si="43"/>
        <v>0</v>
      </c>
      <c r="P234" s="140">
        <f t="shared" si="44"/>
        <v>0</v>
      </c>
      <c r="Q234" s="140">
        <v>0</v>
      </c>
      <c r="R234" s="137">
        <f t="shared" si="45"/>
        <v>0</v>
      </c>
      <c r="S234" s="141">
        <f t="shared" si="46"/>
        <v>0</v>
      </c>
      <c r="T234" s="137">
        <f t="shared" si="47"/>
        <v>0</v>
      </c>
      <c r="U234" s="137">
        <f>ROUND(VERİLER!$F$9*T234,3)</f>
        <v>0</v>
      </c>
      <c r="V234" s="336">
        <f t="shared" si="48"/>
        <v>0</v>
      </c>
      <c r="W234" s="113"/>
      <c r="X234" s="113"/>
      <c r="Y234" s="113"/>
    </row>
    <row r="235" spans="1:25" s="143" customFormat="1" ht="15" customHeight="1" x14ac:dyDescent="0.2">
      <c r="A235" s="299" t="str">
        <f>IF('İşçi Bilgileri'!A233="","",'İşçi Bilgileri'!A233)</f>
        <v/>
      </c>
      <c r="B235" s="300" t="str">
        <f>IF($A235="","",VLOOKUP($A235,'İşçi Bilgileri'!$A$2:$D$700,4,FALSE))</f>
        <v/>
      </c>
      <c r="C235" s="301" t="str">
        <f>CONCATENATE(IF($A235="","",VLOOKUP($A235,'İşçi Bilgileri'!$A$2:$D$700,2,FALSE))," ",IF($A235="","",VLOOKUP($A235,'İşçi Bilgileri'!$A$2:$D$700,3,FALSE)))</f>
        <v xml:space="preserve"> </v>
      </c>
      <c r="D235" s="137" t="str">
        <f>IF($A235="","",VERİLER!$C$5)</f>
        <v/>
      </c>
      <c r="E235" s="138" t="str">
        <f>IF($A235="","",Puantaj!AJ240)</f>
        <v/>
      </c>
      <c r="F235" s="137">
        <f t="shared" si="37"/>
        <v>0</v>
      </c>
      <c r="G235" s="137"/>
      <c r="H235" s="137">
        <f t="shared" si="38"/>
        <v>0</v>
      </c>
      <c r="I235" s="137">
        <f t="shared" si="39"/>
        <v>0</v>
      </c>
      <c r="J235" s="137">
        <f>IF(F235&gt;VERİLER!$C$7,'İşçi Bilgileri'!M233+(F235-VERİLER!$C$7),0)</f>
        <v>0</v>
      </c>
      <c r="K235" s="137">
        <f>IF(VERİLER!$C$11&gt;0,ROUND(J235*0.15,2),0)</f>
        <v>0</v>
      </c>
      <c r="L235" s="359">
        <f t="shared" si="40"/>
        <v>0</v>
      </c>
      <c r="M235" s="139">
        <f t="shared" si="41"/>
        <v>0</v>
      </c>
      <c r="N235" s="137">
        <f t="shared" si="42"/>
        <v>0</v>
      </c>
      <c r="O235" s="359">
        <f t="shared" si="43"/>
        <v>0</v>
      </c>
      <c r="P235" s="140">
        <f t="shared" si="44"/>
        <v>0</v>
      </c>
      <c r="Q235" s="140">
        <v>0</v>
      </c>
      <c r="R235" s="137">
        <f t="shared" si="45"/>
        <v>0</v>
      </c>
      <c r="S235" s="141">
        <f t="shared" si="46"/>
        <v>0</v>
      </c>
      <c r="T235" s="137">
        <f t="shared" si="47"/>
        <v>0</v>
      </c>
      <c r="U235" s="137">
        <f>ROUND(VERİLER!$F$9*T235,3)</f>
        <v>0</v>
      </c>
      <c r="V235" s="336">
        <f t="shared" si="48"/>
        <v>0</v>
      </c>
      <c r="W235" s="113"/>
      <c r="X235" s="113"/>
      <c r="Y235" s="113"/>
    </row>
    <row r="236" spans="1:25" s="143" customFormat="1" ht="15" customHeight="1" x14ac:dyDescent="0.2">
      <c r="A236" s="299" t="str">
        <f>IF('İşçi Bilgileri'!A234="","",'İşçi Bilgileri'!A234)</f>
        <v/>
      </c>
      <c r="B236" s="300" t="str">
        <f>IF($A236="","",VLOOKUP($A236,'İşçi Bilgileri'!$A$2:$D$700,4,FALSE))</f>
        <v/>
      </c>
      <c r="C236" s="301" t="str">
        <f>CONCATENATE(IF($A236="","",VLOOKUP($A236,'İşçi Bilgileri'!$A$2:$D$700,2,FALSE))," ",IF($A236="","",VLOOKUP($A236,'İşçi Bilgileri'!$A$2:$D$700,3,FALSE)))</f>
        <v xml:space="preserve"> </v>
      </c>
      <c r="D236" s="137" t="str">
        <f>IF($A236="","",VERİLER!$C$5)</f>
        <v/>
      </c>
      <c r="E236" s="138" t="str">
        <f>IF($A236="","",Puantaj!AJ241)</f>
        <v/>
      </c>
      <c r="F236" s="137">
        <f t="shared" si="37"/>
        <v>0</v>
      </c>
      <c r="G236" s="137"/>
      <c r="H236" s="137">
        <f t="shared" si="38"/>
        <v>0</v>
      </c>
      <c r="I236" s="137">
        <f t="shared" si="39"/>
        <v>0</v>
      </c>
      <c r="J236" s="137">
        <f>IF(F236&gt;VERİLER!$C$7,'İşçi Bilgileri'!M234+(F236-VERİLER!$C$7),0)</f>
        <v>0</v>
      </c>
      <c r="K236" s="137">
        <f>IF(VERİLER!$C$11&gt;0,ROUND(J236*0.15,2),0)</f>
        <v>0</v>
      </c>
      <c r="L236" s="359">
        <f t="shared" si="40"/>
        <v>0</v>
      </c>
      <c r="M236" s="139">
        <f t="shared" si="41"/>
        <v>0</v>
      </c>
      <c r="N236" s="137">
        <f t="shared" si="42"/>
        <v>0</v>
      </c>
      <c r="O236" s="359">
        <f t="shared" si="43"/>
        <v>0</v>
      </c>
      <c r="P236" s="140">
        <f t="shared" si="44"/>
        <v>0</v>
      </c>
      <c r="Q236" s="140">
        <v>0</v>
      </c>
      <c r="R236" s="137">
        <f t="shared" si="45"/>
        <v>0</v>
      </c>
      <c r="S236" s="141">
        <f t="shared" si="46"/>
        <v>0</v>
      </c>
      <c r="T236" s="137">
        <f t="shared" si="47"/>
        <v>0</v>
      </c>
      <c r="U236" s="137">
        <f>ROUND(VERİLER!$F$9*T236,3)</f>
        <v>0</v>
      </c>
      <c r="V236" s="336">
        <f t="shared" si="48"/>
        <v>0</v>
      </c>
      <c r="W236" s="113"/>
      <c r="X236" s="113"/>
      <c r="Y236" s="113"/>
    </row>
    <row r="237" spans="1:25" s="143" customFormat="1" ht="15" customHeight="1" x14ac:dyDescent="0.2">
      <c r="A237" s="299" t="str">
        <f>IF('İşçi Bilgileri'!A235="","",'İşçi Bilgileri'!A235)</f>
        <v/>
      </c>
      <c r="B237" s="300" t="str">
        <f>IF($A237="","",VLOOKUP($A237,'İşçi Bilgileri'!$A$2:$D$700,4,FALSE))</f>
        <v/>
      </c>
      <c r="C237" s="301" t="str">
        <f>CONCATENATE(IF($A237="","",VLOOKUP($A237,'İşçi Bilgileri'!$A$2:$D$700,2,FALSE))," ",IF($A237="","",VLOOKUP($A237,'İşçi Bilgileri'!$A$2:$D$700,3,FALSE)))</f>
        <v xml:space="preserve"> </v>
      </c>
      <c r="D237" s="137" t="str">
        <f>IF($A237="","",VERİLER!$C$5)</f>
        <v/>
      </c>
      <c r="E237" s="138" t="str">
        <f>IF($A237="","",Puantaj!AJ242)</f>
        <v/>
      </c>
      <c r="F237" s="137">
        <f t="shared" si="37"/>
        <v>0</v>
      </c>
      <c r="G237" s="137"/>
      <c r="H237" s="137">
        <f t="shared" si="38"/>
        <v>0</v>
      </c>
      <c r="I237" s="137">
        <f t="shared" si="39"/>
        <v>0</v>
      </c>
      <c r="J237" s="137">
        <f>IF(F237&gt;VERİLER!$C$7,'İşçi Bilgileri'!M235+(F237-VERİLER!$C$7),0)</f>
        <v>0</v>
      </c>
      <c r="K237" s="137">
        <f>IF(VERİLER!$C$11&gt;0,ROUND(J237*0.15,2),0)</f>
        <v>0</v>
      </c>
      <c r="L237" s="359">
        <f t="shared" si="40"/>
        <v>0</v>
      </c>
      <c r="M237" s="139">
        <f t="shared" si="41"/>
        <v>0</v>
      </c>
      <c r="N237" s="137">
        <f t="shared" si="42"/>
        <v>0</v>
      </c>
      <c r="O237" s="359">
        <f t="shared" si="43"/>
        <v>0</v>
      </c>
      <c r="P237" s="140">
        <f t="shared" si="44"/>
        <v>0</v>
      </c>
      <c r="Q237" s="140">
        <v>0</v>
      </c>
      <c r="R237" s="137">
        <f t="shared" si="45"/>
        <v>0</v>
      </c>
      <c r="S237" s="141">
        <f t="shared" si="46"/>
        <v>0</v>
      </c>
      <c r="T237" s="137">
        <f t="shared" si="47"/>
        <v>0</v>
      </c>
      <c r="U237" s="137">
        <f>ROUND(VERİLER!$F$9*T237,3)</f>
        <v>0</v>
      </c>
      <c r="V237" s="336">
        <f t="shared" si="48"/>
        <v>0</v>
      </c>
      <c r="W237" s="113"/>
      <c r="X237" s="113"/>
      <c r="Y237" s="113"/>
    </row>
    <row r="238" spans="1:25" s="143" customFormat="1" ht="15" customHeight="1" x14ac:dyDescent="0.2">
      <c r="A238" s="299" t="str">
        <f>IF('İşçi Bilgileri'!A236="","",'İşçi Bilgileri'!A236)</f>
        <v/>
      </c>
      <c r="B238" s="300" t="str">
        <f>IF($A238="","",VLOOKUP($A238,'İşçi Bilgileri'!$A$2:$D$700,4,FALSE))</f>
        <v/>
      </c>
      <c r="C238" s="301" t="str">
        <f>CONCATENATE(IF($A238="","",VLOOKUP($A238,'İşçi Bilgileri'!$A$2:$D$700,2,FALSE))," ",IF($A238="","",VLOOKUP($A238,'İşçi Bilgileri'!$A$2:$D$700,3,FALSE)))</f>
        <v xml:space="preserve"> </v>
      </c>
      <c r="D238" s="137" t="str">
        <f>IF($A238="","",VERİLER!$C$5)</f>
        <v/>
      </c>
      <c r="E238" s="138" t="str">
        <f>IF($A238="","",Puantaj!AJ243)</f>
        <v/>
      </c>
      <c r="F238" s="137">
        <f t="shared" si="37"/>
        <v>0</v>
      </c>
      <c r="G238" s="137"/>
      <c r="H238" s="137">
        <f t="shared" si="38"/>
        <v>0</v>
      </c>
      <c r="I238" s="137">
        <f t="shared" si="39"/>
        <v>0</v>
      </c>
      <c r="J238" s="137">
        <f>IF(F238&gt;VERİLER!$C$7,'İşçi Bilgileri'!M236+(F238-VERİLER!$C$7),0)</f>
        <v>0</v>
      </c>
      <c r="K238" s="137">
        <f>IF(VERİLER!$C$11&gt;0,ROUND(J238*0.15,2),0)</f>
        <v>0</v>
      </c>
      <c r="L238" s="359">
        <f t="shared" si="40"/>
        <v>0</v>
      </c>
      <c r="M238" s="139">
        <f t="shared" si="41"/>
        <v>0</v>
      </c>
      <c r="N238" s="137">
        <f t="shared" si="42"/>
        <v>0</v>
      </c>
      <c r="O238" s="359">
        <f t="shared" si="43"/>
        <v>0</v>
      </c>
      <c r="P238" s="140">
        <f t="shared" si="44"/>
        <v>0</v>
      </c>
      <c r="Q238" s="140">
        <v>0</v>
      </c>
      <c r="R238" s="137">
        <f t="shared" si="45"/>
        <v>0</v>
      </c>
      <c r="S238" s="141">
        <f t="shared" si="46"/>
        <v>0</v>
      </c>
      <c r="T238" s="137">
        <f t="shared" si="47"/>
        <v>0</v>
      </c>
      <c r="U238" s="137">
        <f>ROUND(VERİLER!$F$9*T238,3)</f>
        <v>0</v>
      </c>
      <c r="V238" s="336">
        <f t="shared" si="48"/>
        <v>0</v>
      </c>
      <c r="W238" s="113"/>
      <c r="X238" s="113"/>
      <c r="Y238" s="113"/>
    </row>
    <row r="239" spans="1:25" s="143" customFormat="1" ht="15" customHeight="1" x14ac:dyDescent="0.2">
      <c r="A239" s="299" t="str">
        <f>IF('İşçi Bilgileri'!A237="","",'İşçi Bilgileri'!A237)</f>
        <v/>
      </c>
      <c r="B239" s="300" t="str">
        <f>IF($A239="","",VLOOKUP($A239,'İşçi Bilgileri'!$A$2:$D$700,4,FALSE))</f>
        <v/>
      </c>
      <c r="C239" s="301" t="str">
        <f>CONCATENATE(IF($A239="","",VLOOKUP($A239,'İşçi Bilgileri'!$A$2:$D$700,2,FALSE))," ",IF($A239="","",VLOOKUP($A239,'İşçi Bilgileri'!$A$2:$D$700,3,FALSE)))</f>
        <v xml:space="preserve"> </v>
      </c>
      <c r="D239" s="137" t="str">
        <f>IF($A239="","",VERİLER!$C$5)</f>
        <v/>
      </c>
      <c r="E239" s="138" t="str">
        <f>IF($A239="","",Puantaj!AJ244)</f>
        <v/>
      </c>
      <c r="F239" s="137">
        <f t="shared" si="37"/>
        <v>0</v>
      </c>
      <c r="G239" s="137"/>
      <c r="H239" s="137">
        <f t="shared" si="38"/>
        <v>0</v>
      </c>
      <c r="I239" s="137">
        <f t="shared" si="39"/>
        <v>0</v>
      </c>
      <c r="J239" s="137">
        <f>IF(F239&gt;VERİLER!$C$7,'İşçi Bilgileri'!M237+(F239-VERİLER!$C$7),0)</f>
        <v>0</v>
      </c>
      <c r="K239" s="137">
        <f>IF(VERİLER!$C$11&gt;0,ROUND(J239*0.15,2),0)</f>
        <v>0</v>
      </c>
      <c r="L239" s="359">
        <f t="shared" si="40"/>
        <v>0</v>
      </c>
      <c r="M239" s="139">
        <f t="shared" si="41"/>
        <v>0</v>
      </c>
      <c r="N239" s="137">
        <f t="shared" si="42"/>
        <v>0</v>
      </c>
      <c r="O239" s="359">
        <f t="shared" si="43"/>
        <v>0</v>
      </c>
      <c r="P239" s="140">
        <f t="shared" si="44"/>
        <v>0</v>
      </c>
      <c r="Q239" s="140">
        <v>0</v>
      </c>
      <c r="R239" s="137">
        <f t="shared" si="45"/>
        <v>0</v>
      </c>
      <c r="S239" s="141">
        <f t="shared" si="46"/>
        <v>0</v>
      </c>
      <c r="T239" s="137">
        <f t="shared" si="47"/>
        <v>0</v>
      </c>
      <c r="U239" s="137">
        <f>ROUND(VERİLER!$F$9*T239,3)</f>
        <v>0</v>
      </c>
      <c r="V239" s="336">
        <f t="shared" si="48"/>
        <v>0</v>
      </c>
      <c r="W239" s="113"/>
      <c r="X239" s="113"/>
      <c r="Y239" s="113"/>
    </row>
    <row r="240" spans="1:25" s="143" customFormat="1" ht="15" customHeight="1" x14ac:dyDescent="0.2">
      <c r="A240" s="299" t="str">
        <f>IF('İşçi Bilgileri'!A238="","",'İşçi Bilgileri'!A238)</f>
        <v/>
      </c>
      <c r="B240" s="300" t="str">
        <f>IF($A240="","",VLOOKUP($A240,'İşçi Bilgileri'!$A$2:$D$700,4,FALSE))</f>
        <v/>
      </c>
      <c r="C240" s="301" t="str">
        <f>CONCATENATE(IF($A240="","",VLOOKUP($A240,'İşçi Bilgileri'!$A$2:$D$700,2,FALSE))," ",IF($A240="","",VLOOKUP($A240,'İşçi Bilgileri'!$A$2:$D$700,3,FALSE)))</f>
        <v xml:space="preserve"> </v>
      </c>
      <c r="D240" s="137" t="str">
        <f>IF($A240="","",VERİLER!$C$5)</f>
        <v/>
      </c>
      <c r="E240" s="138" t="str">
        <f>IF($A240="","",Puantaj!AJ245)</f>
        <v/>
      </c>
      <c r="F240" s="137">
        <f t="shared" si="37"/>
        <v>0</v>
      </c>
      <c r="G240" s="137"/>
      <c r="H240" s="137">
        <f t="shared" si="38"/>
        <v>0</v>
      </c>
      <c r="I240" s="137">
        <f t="shared" si="39"/>
        <v>0</v>
      </c>
      <c r="J240" s="137">
        <f>IF(F240&gt;VERİLER!$C$7,'İşçi Bilgileri'!M238+(F240-VERİLER!$C$7),0)</f>
        <v>0</v>
      </c>
      <c r="K240" s="137">
        <f>IF(VERİLER!$C$11&gt;0,ROUND(J240*0.15,2),0)</f>
        <v>0</v>
      </c>
      <c r="L240" s="359">
        <f t="shared" si="40"/>
        <v>0</v>
      </c>
      <c r="M240" s="139">
        <f t="shared" si="41"/>
        <v>0</v>
      </c>
      <c r="N240" s="137">
        <f t="shared" si="42"/>
        <v>0</v>
      </c>
      <c r="O240" s="359">
        <f t="shared" si="43"/>
        <v>0</v>
      </c>
      <c r="P240" s="140">
        <f t="shared" si="44"/>
        <v>0</v>
      </c>
      <c r="Q240" s="140">
        <v>0</v>
      </c>
      <c r="R240" s="137">
        <f t="shared" si="45"/>
        <v>0</v>
      </c>
      <c r="S240" s="141">
        <f t="shared" si="46"/>
        <v>0</v>
      </c>
      <c r="T240" s="137">
        <f t="shared" si="47"/>
        <v>0</v>
      </c>
      <c r="U240" s="137">
        <f>ROUND(VERİLER!$F$9*T240,3)</f>
        <v>0</v>
      </c>
      <c r="V240" s="336">
        <f t="shared" si="48"/>
        <v>0</v>
      </c>
      <c r="W240" s="113"/>
      <c r="X240" s="113"/>
      <c r="Y240" s="113"/>
    </row>
    <row r="241" spans="1:25" s="143" customFormat="1" ht="15" customHeight="1" x14ac:dyDescent="0.2">
      <c r="A241" s="299" t="str">
        <f>IF('İşçi Bilgileri'!A239="","",'İşçi Bilgileri'!A239)</f>
        <v/>
      </c>
      <c r="B241" s="300" t="str">
        <f>IF($A241="","",VLOOKUP($A241,'İşçi Bilgileri'!$A$2:$D$700,4,FALSE))</f>
        <v/>
      </c>
      <c r="C241" s="301" t="str">
        <f>CONCATENATE(IF($A241="","",VLOOKUP($A241,'İşçi Bilgileri'!$A$2:$D$700,2,FALSE))," ",IF($A241="","",VLOOKUP($A241,'İşçi Bilgileri'!$A$2:$D$700,3,FALSE)))</f>
        <v xml:space="preserve"> </v>
      </c>
      <c r="D241" s="137" t="str">
        <f>IF($A241="","",VERİLER!$C$5)</f>
        <v/>
      </c>
      <c r="E241" s="138" t="str">
        <f>IF($A241="","",Puantaj!AJ246)</f>
        <v/>
      </c>
      <c r="F241" s="137">
        <f t="shared" si="37"/>
        <v>0</v>
      </c>
      <c r="G241" s="137"/>
      <c r="H241" s="137">
        <f t="shared" si="38"/>
        <v>0</v>
      </c>
      <c r="I241" s="137">
        <f t="shared" si="39"/>
        <v>0</v>
      </c>
      <c r="J241" s="137">
        <f>IF(F241&gt;VERİLER!$C$7,'İşçi Bilgileri'!M239+(F241-VERİLER!$C$7),0)</f>
        <v>0</v>
      </c>
      <c r="K241" s="137">
        <f>IF(VERİLER!$C$11&gt;0,ROUND(J241*0.15,2),0)</f>
        <v>0</v>
      </c>
      <c r="L241" s="359">
        <f t="shared" si="40"/>
        <v>0</v>
      </c>
      <c r="M241" s="139">
        <f t="shared" si="41"/>
        <v>0</v>
      </c>
      <c r="N241" s="137">
        <f t="shared" si="42"/>
        <v>0</v>
      </c>
      <c r="O241" s="359">
        <f t="shared" si="43"/>
        <v>0</v>
      </c>
      <c r="P241" s="140">
        <f t="shared" si="44"/>
        <v>0</v>
      </c>
      <c r="Q241" s="140">
        <v>0</v>
      </c>
      <c r="R241" s="137">
        <f t="shared" si="45"/>
        <v>0</v>
      </c>
      <c r="S241" s="141">
        <f t="shared" si="46"/>
        <v>0</v>
      </c>
      <c r="T241" s="137">
        <f t="shared" si="47"/>
        <v>0</v>
      </c>
      <c r="U241" s="137">
        <f>ROUND(VERİLER!$F$9*T241,3)</f>
        <v>0</v>
      </c>
      <c r="V241" s="336">
        <f t="shared" si="48"/>
        <v>0</v>
      </c>
      <c r="W241" s="113"/>
      <c r="X241" s="113"/>
      <c r="Y241" s="113"/>
    </row>
    <row r="242" spans="1:25" s="143" customFormat="1" ht="15" customHeight="1" x14ac:dyDescent="0.2">
      <c r="A242" s="299" t="str">
        <f>IF('İşçi Bilgileri'!A240="","",'İşçi Bilgileri'!A240)</f>
        <v/>
      </c>
      <c r="B242" s="300" t="str">
        <f>IF($A242="","",VLOOKUP($A242,'İşçi Bilgileri'!$A$2:$D$700,4,FALSE))</f>
        <v/>
      </c>
      <c r="C242" s="301" t="str">
        <f>CONCATENATE(IF($A242="","",VLOOKUP($A242,'İşçi Bilgileri'!$A$2:$D$700,2,FALSE))," ",IF($A242="","",VLOOKUP($A242,'İşçi Bilgileri'!$A$2:$D$700,3,FALSE)))</f>
        <v xml:space="preserve"> </v>
      </c>
      <c r="D242" s="137" t="str">
        <f>IF($A242="","",VERİLER!$C$5)</f>
        <v/>
      </c>
      <c r="E242" s="138" t="str">
        <f>IF($A242="","",Puantaj!AJ247)</f>
        <v/>
      </c>
      <c r="F242" s="137">
        <f t="shared" si="37"/>
        <v>0</v>
      </c>
      <c r="G242" s="137"/>
      <c r="H242" s="137">
        <f t="shared" si="38"/>
        <v>0</v>
      </c>
      <c r="I242" s="137">
        <f t="shared" si="39"/>
        <v>0</v>
      </c>
      <c r="J242" s="137">
        <f>IF(F242&gt;VERİLER!$C$7,'İşçi Bilgileri'!M240+(F242-VERİLER!$C$7),0)</f>
        <v>0</v>
      </c>
      <c r="K242" s="137">
        <f>IF(VERİLER!$C$11&gt;0,ROUND(J242*0.15,2),0)</f>
        <v>0</v>
      </c>
      <c r="L242" s="359">
        <f t="shared" si="40"/>
        <v>0</v>
      </c>
      <c r="M242" s="139">
        <f t="shared" si="41"/>
        <v>0</v>
      </c>
      <c r="N242" s="137">
        <f t="shared" si="42"/>
        <v>0</v>
      </c>
      <c r="O242" s="359">
        <f t="shared" si="43"/>
        <v>0</v>
      </c>
      <c r="P242" s="140">
        <f t="shared" si="44"/>
        <v>0</v>
      </c>
      <c r="Q242" s="140">
        <v>0</v>
      </c>
      <c r="R242" s="137">
        <f t="shared" si="45"/>
        <v>0</v>
      </c>
      <c r="S242" s="141">
        <f t="shared" si="46"/>
        <v>0</v>
      </c>
      <c r="T242" s="137">
        <f t="shared" si="47"/>
        <v>0</v>
      </c>
      <c r="U242" s="137">
        <f>ROUND(VERİLER!$F$9*T242,3)</f>
        <v>0</v>
      </c>
      <c r="V242" s="336">
        <f t="shared" si="48"/>
        <v>0</v>
      </c>
      <c r="W242" s="113"/>
      <c r="X242" s="113"/>
      <c r="Y242" s="113"/>
    </row>
    <row r="243" spans="1:25" s="143" customFormat="1" ht="15" customHeight="1" x14ac:dyDescent="0.2">
      <c r="A243" s="299" t="str">
        <f>IF('İşçi Bilgileri'!A241="","",'İşçi Bilgileri'!A241)</f>
        <v/>
      </c>
      <c r="B243" s="300" t="str">
        <f>IF($A243="","",VLOOKUP($A243,'İşçi Bilgileri'!$A$2:$D$700,4,FALSE))</f>
        <v/>
      </c>
      <c r="C243" s="301" t="str">
        <f>CONCATENATE(IF($A243="","",VLOOKUP($A243,'İşçi Bilgileri'!$A$2:$D$700,2,FALSE))," ",IF($A243="","",VLOOKUP($A243,'İşçi Bilgileri'!$A$2:$D$700,3,FALSE)))</f>
        <v xml:space="preserve"> </v>
      </c>
      <c r="D243" s="137" t="str">
        <f>IF($A243="","",VERİLER!$C$5)</f>
        <v/>
      </c>
      <c r="E243" s="138" t="str">
        <f>IF($A243="","",Puantaj!AJ248)</f>
        <v/>
      </c>
      <c r="F243" s="137">
        <f t="shared" si="37"/>
        <v>0</v>
      </c>
      <c r="G243" s="137"/>
      <c r="H243" s="137">
        <f t="shared" si="38"/>
        <v>0</v>
      </c>
      <c r="I243" s="137">
        <f t="shared" si="39"/>
        <v>0</v>
      </c>
      <c r="J243" s="137">
        <f>IF(F243&gt;VERİLER!$C$7,'İşçi Bilgileri'!M241+(F243-VERİLER!$C$7),0)</f>
        <v>0</v>
      </c>
      <c r="K243" s="137">
        <f>IF(VERİLER!$C$11&gt;0,ROUND(J243*0.15,2),0)</f>
        <v>0</v>
      </c>
      <c r="L243" s="359">
        <f t="shared" si="40"/>
        <v>0</v>
      </c>
      <c r="M243" s="139">
        <f t="shared" si="41"/>
        <v>0</v>
      </c>
      <c r="N243" s="137">
        <f t="shared" si="42"/>
        <v>0</v>
      </c>
      <c r="O243" s="359">
        <f t="shared" si="43"/>
        <v>0</v>
      </c>
      <c r="P243" s="140">
        <f t="shared" si="44"/>
        <v>0</v>
      </c>
      <c r="Q243" s="140">
        <v>0</v>
      </c>
      <c r="R243" s="137">
        <f t="shared" si="45"/>
        <v>0</v>
      </c>
      <c r="S243" s="141">
        <f t="shared" si="46"/>
        <v>0</v>
      </c>
      <c r="T243" s="137">
        <f t="shared" si="47"/>
        <v>0</v>
      </c>
      <c r="U243" s="137">
        <f>ROUND(VERİLER!$F$9*T243,3)</f>
        <v>0</v>
      </c>
      <c r="V243" s="336">
        <f t="shared" si="48"/>
        <v>0</v>
      </c>
      <c r="W243" s="113"/>
      <c r="X243" s="113"/>
      <c r="Y243" s="113"/>
    </row>
    <row r="244" spans="1:25" s="143" customFormat="1" ht="16.5" customHeight="1" x14ac:dyDescent="0.2">
      <c r="A244" s="299" t="str">
        <f>IF('İşçi Bilgileri'!A242="","",'İşçi Bilgileri'!A242)</f>
        <v/>
      </c>
      <c r="B244" s="300" t="str">
        <f>IF($A244="","",VLOOKUP($A244,'İşçi Bilgileri'!$A$2:$D$700,4,FALSE))</f>
        <v/>
      </c>
      <c r="C244" s="301" t="str">
        <f>CONCATENATE(IF($A244="","",VLOOKUP($A244,'İşçi Bilgileri'!$A$2:$D$700,2,FALSE))," ",IF($A244="","",VLOOKUP($A244,'İşçi Bilgileri'!$A$2:$D$700,3,FALSE)))</f>
        <v xml:space="preserve"> </v>
      </c>
      <c r="D244" s="137" t="str">
        <f>IF($A244="","",VERİLER!$C$5)</f>
        <v/>
      </c>
      <c r="E244" s="138" t="str">
        <f>IF($A244="","",Puantaj!AJ249)</f>
        <v/>
      </c>
      <c r="F244" s="137">
        <f t="shared" si="37"/>
        <v>0</v>
      </c>
      <c r="G244" s="137"/>
      <c r="H244" s="137">
        <f t="shared" si="38"/>
        <v>0</v>
      </c>
      <c r="I244" s="137">
        <f t="shared" si="39"/>
        <v>0</v>
      </c>
      <c r="J244" s="137">
        <f>IF(F244&gt;VERİLER!$C$7,'İşçi Bilgileri'!M242+(F244-VERİLER!$C$7),0)</f>
        <v>0</v>
      </c>
      <c r="K244" s="137">
        <f>IF(VERİLER!$C$11&gt;0,ROUND(J244*0.15,2),0)</f>
        <v>0</v>
      </c>
      <c r="L244" s="359">
        <f t="shared" si="40"/>
        <v>0</v>
      </c>
      <c r="M244" s="139">
        <f t="shared" si="41"/>
        <v>0</v>
      </c>
      <c r="N244" s="137">
        <f t="shared" si="42"/>
        <v>0</v>
      </c>
      <c r="O244" s="359">
        <f t="shared" si="43"/>
        <v>0</v>
      </c>
      <c r="P244" s="140">
        <f t="shared" si="44"/>
        <v>0</v>
      </c>
      <c r="Q244" s="140">
        <v>0</v>
      </c>
      <c r="R244" s="137">
        <f t="shared" si="45"/>
        <v>0</v>
      </c>
      <c r="S244" s="141">
        <f t="shared" si="46"/>
        <v>0</v>
      </c>
      <c r="T244" s="137">
        <f t="shared" si="47"/>
        <v>0</v>
      </c>
      <c r="U244" s="137">
        <f>ROUND(VERİLER!$F$9*T244,3)</f>
        <v>0</v>
      </c>
      <c r="V244" s="336">
        <f t="shared" si="48"/>
        <v>0</v>
      </c>
      <c r="W244" s="113"/>
      <c r="X244" s="113"/>
      <c r="Y244" s="113"/>
    </row>
    <row r="245" spans="1:25" s="143" customFormat="1" ht="15" customHeight="1" x14ac:dyDescent="0.2">
      <c r="A245" s="299" t="str">
        <f>IF('İşçi Bilgileri'!A243="","",'İşçi Bilgileri'!A243)</f>
        <v/>
      </c>
      <c r="B245" s="300" t="str">
        <f>IF($A245="","",VLOOKUP($A245,'İşçi Bilgileri'!$A$2:$D$700,4,FALSE))</f>
        <v/>
      </c>
      <c r="C245" s="301" t="str">
        <f>CONCATENATE(IF($A245="","",VLOOKUP($A245,'İşçi Bilgileri'!$A$2:$D$700,2,FALSE))," ",IF($A245="","",VLOOKUP($A245,'İşçi Bilgileri'!$A$2:$D$700,3,FALSE)))</f>
        <v xml:space="preserve"> </v>
      </c>
      <c r="D245" s="137" t="str">
        <f>IF($A245="","",VERİLER!$C$5)</f>
        <v/>
      </c>
      <c r="E245" s="138" t="str">
        <f>IF($A245="","",Puantaj!AJ250)</f>
        <v/>
      </c>
      <c r="F245" s="137">
        <f t="shared" si="37"/>
        <v>0</v>
      </c>
      <c r="G245" s="137"/>
      <c r="H245" s="137">
        <f t="shared" si="38"/>
        <v>0</v>
      </c>
      <c r="I245" s="137">
        <f t="shared" si="39"/>
        <v>0</v>
      </c>
      <c r="J245" s="137">
        <f>IF(F245&gt;VERİLER!$C$7,'İşçi Bilgileri'!M243+(F245-VERİLER!$C$7),0)</f>
        <v>0</v>
      </c>
      <c r="K245" s="137">
        <f>IF(VERİLER!$C$11&gt;0,ROUND(J245*0.15,2),0)</f>
        <v>0</v>
      </c>
      <c r="L245" s="359">
        <f t="shared" si="40"/>
        <v>0</v>
      </c>
      <c r="M245" s="139">
        <f t="shared" si="41"/>
        <v>0</v>
      </c>
      <c r="N245" s="137">
        <f t="shared" si="42"/>
        <v>0</v>
      </c>
      <c r="O245" s="359">
        <f t="shared" si="43"/>
        <v>0</v>
      </c>
      <c r="P245" s="140">
        <f t="shared" si="44"/>
        <v>0</v>
      </c>
      <c r="Q245" s="140">
        <v>0</v>
      </c>
      <c r="R245" s="137">
        <f t="shared" si="45"/>
        <v>0</v>
      </c>
      <c r="S245" s="141">
        <f t="shared" si="46"/>
        <v>0</v>
      </c>
      <c r="T245" s="137">
        <f t="shared" si="47"/>
        <v>0</v>
      </c>
      <c r="U245" s="137">
        <f>ROUND(VERİLER!$F$9*T245,3)</f>
        <v>0</v>
      </c>
      <c r="V245" s="336">
        <f t="shared" si="48"/>
        <v>0</v>
      </c>
      <c r="W245" s="113"/>
      <c r="X245" s="113"/>
      <c r="Y245" s="113"/>
    </row>
    <row r="246" spans="1:25" s="143" customFormat="1" ht="15" customHeight="1" x14ac:dyDescent="0.2">
      <c r="A246" s="299" t="str">
        <f>IF('İşçi Bilgileri'!A244="","",'İşçi Bilgileri'!A244)</f>
        <v/>
      </c>
      <c r="B246" s="300" t="str">
        <f>IF($A246="","",VLOOKUP($A246,'İşçi Bilgileri'!$A$2:$D$700,4,FALSE))</f>
        <v/>
      </c>
      <c r="C246" s="301" t="str">
        <f>CONCATENATE(IF($A246="","",VLOOKUP($A246,'İşçi Bilgileri'!$A$2:$D$700,2,FALSE))," ",IF($A246="","",VLOOKUP($A246,'İşçi Bilgileri'!$A$2:$D$700,3,FALSE)))</f>
        <v xml:space="preserve"> </v>
      </c>
      <c r="D246" s="137" t="str">
        <f>IF($A246="","",VERİLER!$C$5)</f>
        <v/>
      </c>
      <c r="E246" s="138" t="str">
        <f>IF($A246="","",Puantaj!AJ251)</f>
        <v/>
      </c>
      <c r="F246" s="137">
        <f t="shared" si="37"/>
        <v>0</v>
      </c>
      <c r="G246" s="137"/>
      <c r="H246" s="137">
        <f t="shared" si="38"/>
        <v>0</v>
      </c>
      <c r="I246" s="137">
        <f t="shared" si="39"/>
        <v>0</v>
      </c>
      <c r="J246" s="137">
        <f>IF(F246&gt;VERİLER!$C$7,'İşçi Bilgileri'!M244+(F246-VERİLER!$C$7),0)</f>
        <v>0</v>
      </c>
      <c r="K246" s="137">
        <f>IF(VERİLER!$C$11&gt;0,ROUND(J246*0.15,2),0)</f>
        <v>0</v>
      </c>
      <c r="L246" s="359">
        <f t="shared" si="40"/>
        <v>0</v>
      </c>
      <c r="M246" s="139">
        <f t="shared" si="41"/>
        <v>0</v>
      </c>
      <c r="N246" s="137">
        <f t="shared" si="42"/>
        <v>0</v>
      </c>
      <c r="O246" s="359">
        <f t="shared" si="43"/>
        <v>0</v>
      </c>
      <c r="P246" s="140">
        <f t="shared" si="44"/>
        <v>0</v>
      </c>
      <c r="Q246" s="140">
        <v>0</v>
      </c>
      <c r="R246" s="137">
        <f t="shared" si="45"/>
        <v>0</v>
      </c>
      <c r="S246" s="141">
        <f t="shared" si="46"/>
        <v>0</v>
      </c>
      <c r="T246" s="137">
        <f t="shared" si="47"/>
        <v>0</v>
      </c>
      <c r="U246" s="137">
        <f>ROUND(VERİLER!$F$9*T246,3)</f>
        <v>0</v>
      </c>
      <c r="V246" s="336">
        <f t="shared" si="48"/>
        <v>0</v>
      </c>
      <c r="W246" s="113"/>
      <c r="X246" s="113"/>
      <c r="Y246" s="113"/>
    </row>
    <row r="247" spans="1:25" s="143" customFormat="1" ht="15" customHeight="1" x14ac:dyDescent="0.2">
      <c r="A247" s="299" t="str">
        <f>IF('İşçi Bilgileri'!A245="","",'İşçi Bilgileri'!A245)</f>
        <v/>
      </c>
      <c r="B247" s="300" t="str">
        <f>IF($A247="","",VLOOKUP($A247,'İşçi Bilgileri'!$A$2:$D$700,4,FALSE))</f>
        <v/>
      </c>
      <c r="C247" s="301" t="str">
        <f>CONCATENATE(IF($A247="","",VLOOKUP($A247,'İşçi Bilgileri'!$A$2:$D$700,2,FALSE))," ",IF($A247="","",VLOOKUP($A247,'İşçi Bilgileri'!$A$2:$D$700,3,FALSE)))</f>
        <v xml:space="preserve"> </v>
      </c>
      <c r="D247" s="137" t="str">
        <f>IF($A247="","",VERİLER!$C$5)</f>
        <v/>
      </c>
      <c r="E247" s="138" t="str">
        <f>IF($A247="","",Puantaj!AJ252)</f>
        <v/>
      </c>
      <c r="F247" s="137">
        <f t="shared" si="37"/>
        <v>0</v>
      </c>
      <c r="G247" s="137"/>
      <c r="H247" s="137">
        <f t="shared" si="38"/>
        <v>0</v>
      </c>
      <c r="I247" s="137">
        <f t="shared" si="39"/>
        <v>0</v>
      </c>
      <c r="J247" s="137">
        <f>IF(F247&gt;VERİLER!$C$7,'İşçi Bilgileri'!M245+(F247-VERİLER!$C$7),0)</f>
        <v>0</v>
      </c>
      <c r="K247" s="137">
        <f>IF(VERİLER!$C$11&gt;0,ROUND(J247*0.15,2),0)</f>
        <v>0</v>
      </c>
      <c r="L247" s="359">
        <f t="shared" si="40"/>
        <v>0</v>
      </c>
      <c r="M247" s="139">
        <f t="shared" si="41"/>
        <v>0</v>
      </c>
      <c r="N247" s="137">
        <f t="shared" si="42"/>
        <v>0</v>
      </c>
      <c r="O247" s="359">
        <f t="shared" si="43"/>
        <v>0</v>
      </c>
      <c r="P247" s="140">
        <f t="shared" si="44"/>
        <v>0</v>
      </c>
      <c r="Q247" s="140">
        <v>0</v>
      </c>
      <c r="R247" s="137">
        <f t="shared" si="45"/>
        <v>0</v>
      </c>
      <c r="S247" s="141">
        <f t="shared" si="46"/>
        <v>0</v>
      </c>
      <c r="T247" s="137">
        <f t="shared" si="47"/>
        <v>0</v>
      </c>
      <c r="U247" s="137">
        <f>ROUND(VERİLER!$F$9*T247,3)</f>
        <v>0</v>
      </c>
      <c r="V247" s="336">
        <f t="shared" si="48"/>
        <v>0</v>
      </c>
      <c r="W247" s="113"/>
      <c r="X247" s="113"/>
      <c r="Y247" s="113"/>
    </row>
    <row r="248" spans="1:25" s="143" customFormat="1" ht="15" customHeight="1" x14ac:dyDescent="0.2">
      <c r="A248" s="299" t="str">
        <f>IF('İşçi Bilgileri'!A246="","",'İşçi Bilgileri'!A246)</f>
        <v/>
      </c>
      <c r="B248" s="300" t="str">
        <f>IF($A248="","",VLOOKUP($A248,'İşçi Bilgileri'!$A$2:$D$700,4,FALSE))</f>
        <v/>
      </c>
      <c r="C248" s="301" t="str">
        <f>CONCATENATE(IF($A248="","",VLOOKUP($A248,'İşçi Bilgileri'!$A$2:$D$700,2,FALSE))," ",IF($A248="","",VLOOKUP($A248,'İşçi Bilgileri'!$A$2:$D$700,3,FALSE)))</f>
        <v xml:space="preserve"> </v>
      </c>
      <c r="D248" s="137" t="str">
        <f>IF($A248="","",VERİLER!$C$5)</f>
        <v/>
      </c>
      <c r="E248" s="138" t="str">
        <f>IF($A248="","",Puantaj!AJ253)</f>
        <v/>
      </c>
      <c r="F248" s="137">
        <f t="shared" si="37"/>
        <v>0</v>
      </c>
      <c r="G248" s="137"/>
      <c r="H248" s="137">
        <f t="shared" si="38"/>
        <v>0</v>
      </c>
      <c r="I248" s="137">
        <f t="shared" si="39"/>
        <v>0</v>
      </c>
      <c r="J248" s="137">
        <f>IF(F248&gt;VERİLER!$C$7,'İşçi Bilgileri'!M246+(F248-VERİLER!$C$7),0)</f>
        <v>0</v>
      </c>
      <c r="K248" s="137">
        <f>IF(VERİLER!$C$11&gt;0,ROUND(J248*0.15,2),0)</f>
        <v>0</v>
      </c>
      <c r="L248" s="359">
        <f t="shared" si="40"/>
        <v>0</v>
      </c>
      <c r="M248" s="139">
        <f t="shared" si="41"/>
        <v>0</v>
      </c>
      <c r="N248" s="137">
        <f t="shared" si="42"/>
        <v>0</v>
      </c>
      <c r="O248" s="359">
        <f t="shared" si="43"/>
        <v>0</v>
      </c>
      <c r="P248" s="140">
        <f t="shared" si="44"/>
        <v>0</v>
      </c>
      <c r="Q248" s="140">
        <v>0</v>
      </c>
      <c r="R248" s="137">
        <f t="shared" si="45"/>
        <v>0</v>
      </c>
      <c r="S248" s="141">
        <f t="shared" si="46"/>
        <v>0</v>
      </c>
      <c r="T248" s="137">
        <f t="shared" si="47"/>
        <v>0</v>
      </c>
      <c r="U248" s="137">
        <f>ROUND(VERİLER!$F$9*T248,3)</f>
        <v>0</v>
      </c>
      <c r="V248" s="336">
        <f t="shared" si="48"/>
        <v>0</v>
      </c>
      <c r="W248" s="113"/>
      <c r="X248" s="113"/>
      <c r="Y248" s="113"/>
    </row>
    <row r="249" spans="1:25" s="143" customFormat="1" ht="15" customHeight="1" x14ac:dyDescent="0.2">
      <c r="A249" s="299" t="str">
        <f>IF('İşçi Bilgileri'!A247="","",'İşçi Bilgileri'!A247)</f>
        <v/>
      </c>
      <c r="B249" s="300" t="str">
        <f>IF($A249="","",VLOOKUP($A249,'İşçi Bilgileri'!$A$2:$D$700,4,FALSE))</f>
        <v/>
      </c>
      <c r="C249" s="301" t="str">
        <f>CONCATENATE(IF($A249="","",VLOOKUP($A249,'İşçi Bilgileri'!$A$2:$D$700,2,FALSE))," ",IF($A249="","",VLOOKUP($A249,'İşçi Bilgileri'!$A$2:$D$700,3,FALSE)))</f>
        <v xml:space="preserve"> </v>
      </c>
      <c r="D249" s="137" t="str">
        <f>IF($A249="","",VERİLER!$C$5)</f>
        <v/>
      </c>
      <c r="E249" s="138" t="str">
        <f>IF($A249="","",Puantaj!AJ254)</f>
        <v/>
      </c>
      <c r="F249" s="137">
        <f t="shared" si="37"/>
        <v>0</v>
      </c>
      <c r="G249" s="137"/>
      <c r="H249" s="137">
        <f t="shared" si="38"/>
        <v>0</v>
      </c>
      <c r="I249" s="137">
        <f t="shared" si="39"/>
        <v>0</v>
      </c>
      <c r="J249" s="137">
        <f>IF(F249&gt;VERİLER!$C$7,'İşçi Bilgileri'!M247+(F249-VERİLER!$C$7),0)</f>
        <v>0</v>
      </c>
      <c r="K249" s="137">
        <f>IF(VERİLER!$C$11&gt;0,ROUND(J249*0.15,2),0)</f>
        <v>0</v>
      </c>
      <c r="L249" s="359">
        <f t="shared" si="40"/>
        <v>0</v>
      </c>
      <c r="M249" s="139">
        <f t="shared" si="41"/>
        <v>0</v>
      </c>
      <c r="N249" s="137">
        <f t="shared" si="42"/>
        <v>0</v>
      </c>
      <c r="O249" s="359">
        <f t="shared" si="43"/>
        <v>0</v>
      </c>
      <c r="P249" s="140">
        <f t="shared" si="44"/>
        <v>0</v>
      </c>
      <c r="Q249" s="140">
        <v>0</v>
      </c>
      <c r="R249" s="137">
        <f t="shared" si="45"/>
        <v>0</v>
      </c>
      <c r="S249" s="141">
        <f t="shared" si="46"/>
        <v>0</v>
      </c>
      <c r="T249" s="137">
        <f t="shared" si="47"/>
        <v>0</v>
      </c>
      <c r="U249" s="137">
        <f>ROUND(VERİLER!$F$9*T249,3)</f>
        <v>0</v>
      </c>
      <c r="V249" s="336">
        <f t="shared" si="48"/>
        <v>0</v>
      </c>
      <c r="W249" s="113"/>
      <c r="X249" s="113"/>
      <c r="Y249" s="113"/>
    </row>
    <row r="250" spans="1:25" s="143" customFormat="1" ht="17.25" customHeight="1" x14ac:dyDescent="0.2">
      <c r="A250" s="299" t="str">
        <f>IF('İşçi Bilgileri'!A248="","",'İşçi Bilgileri'!A248)</f>
        <v/>
      </c>
      <c r="B250" s="300" t="str">
        <f>IF($A250="","",VLOOKUP($A250,'İşçi Bilgileri'!$A$2:$D$700,4,FALSE))</f>
        <v/>
      </c>
      <c r="C250" s="301" t="str">
        <f>CONCATENATE(IF($A250="","",VLOOKUP($A250,'İşçi Bilgileri'!$A$2:$D$700,2,FALSE))," ",IF($A250="","",VLOOKUP($A250,'İşçi Bilgileri'!$A$2:$D$700,3,FALSE)))</f>
        <v xml:space="preserve"> </v>
      </c>
      <c r="D250" s="137" t="str">
        <f>IF($A250="","",VERİLER!$C$5)</f>
        <v/>
      </c>
      <c r="E250" s="138" t="str">
        <f>IF($A250="","",Puantaj!AJ255)</f>
        <v/>
      </c>
      <c r="F250" s="137">
        <f t="shared" si="37"/>
        <v>0</v>
      </c>
      <c r="G250" s="137"/>
      <c r="H250" s="137">
        <f t="shared" si="38"/>
        <v>0</v>
      </c>
      <c r="I250" s="137">
        <f t="shared" si="39"/>
        <v>0</v>
      </c>
      <c r="J250" s="137">
        <f>IF(F250&gt;VERİLER!$C$7,'İşçi Bilgileri'!M248+(F250-VERİLER!$C$7),0)</f>
        <v>0</v>
      </c>
      <c r="K250" s="137">
        <f>IF(VERİLER!$C$11&gt;0,ROUND(J250*0.15,2),0)</f>
        <v>0</v>
      </c>
      <c r="L250" s="359">
        <f t="shared" si="40"/>
        <v>0</v>
      </c>
      <c r="M250" s="139">
        <f t="shared" si="41"/>
        <v>0</v>
      </c>
      <c r="N250" s="137">
        <f t="shared" si="42"/>
        <v>0</v>
      </c>
      <c r="O250" s="359">
        <f t="shared" si="43"/>
        <v>0</v>
      </c>
      <c r="P250" s="140">
        <f t="shared" si="44"/>
        <v>0</v>
      </c>
      <c r="Q250" s="140">
        <v>0</v>
      </c>
      <c r="R250" s="137">
        <f t="shared" si="45"/>
        <v>0</v>
      </c>
      <c r="S250" s="141">
        <f t="shared" si="46"/>
        <v>0</v>
      </c>
      <c r="T250" s="137">
        <f t="shared" si="47"/>
        <v>0</v>
      </c>
      <c r="U250" s="137">
        <f>ROUND(VERİLER!$F$9*T250,3)</f>
        <v>0</v>
      </c>
      <c r="V250" s="336">
        <f t="shared" si="48"/>
        <v>0</v>
      </c>
      <c r="W250" s="113"/>
      <c r="X250" s="113"/>
      <c r="Y250" s="113"/>
    </row>
    <row r="251" spans="1:25" s="143" customFormat="1" ht="15" customHeight="1" x14ac:dyDescent="0.2">
      <c r="A251" s="299" t="str">
        <f>IF('İşçi Bilgileri'!A249="","",'İşçi Bilgileri'!A249)</f>
        <v/>
      </c>
      <c r="B251" s="300" t="str">
        <f>IF($A251="","",VLOOKUP($A251,'İşçi Bilgileri'!$A$2:$D$700,4,FALSE))</f>
        <v/>
      </c>
      <c r="C251" s="301" t="str">
        <f>CONCATENATE(IF($A251="","",VLOOKUP($A251,'İşçi Bilgileri'!$A$2:$D$700,2,FALSE))," ",IF($A251="","",VLOOKUP($A251,'İşçi Bilgileri'!$A$2:$D$700,3,FALSE)))</f>
        <v xml:space="preserve"> </v>
      </c>
      <c r="D251" s="137" t="str">
        <f>IF($A251="","",VERİLER!$C$5)</f>
        <v/>
      </c>
      <c r="E251" s="138" t="str">
        <f>IF($A251="","",Puantaj!AJ256)</f>
        <v/>
      </c>
      <c r="F251" s="137">
        <f t="shared" si="37"/>
        <v>0</v>
      </c>
      <c r="G251" s="137"/>
      <c r="H251" s="137">
        <f t="shared" si="38"/>
        <v>0</v>
      </c>
      <c r="I251" s="137">
        <f t="shared" si="39"/>
        <v>0</v>
      </c>
      <c r="J251" s="137">
        <f>IF(F251&gt;VERİLER!$C$7,'İşçi Bilgileri'!M249+(F251-VERİLER!$C$7),0)</f>
        <v>0</v>
      </c>
      <c r="K251" s="137">
        <f>IF(VERİLER!$C$11&gt;0,ROUND(J251*0.15,2),0)</f>
        <v>0</v>
      </c>
      <c r="L251" s="359">
        <f t="shared" si="40"/>
        <v>0</v>
      </c>
      <c r="M251" s="139">
        <f t="shared" si="41"/>
        <v>0</v>
      </c>
      <c r="N251" s="137">
        <f t="shared" si="42"/>
        <v>0</v>
      </c>
      <c r="O251" s="359">
        <f t="shared" si="43"/>
        <v>0</v>
      </c>
      <c r="P251" s="140">
        <f t="shared" si="44"/>
        <v>0</v>
      </c>
      <c r="Q251" s="140">
        <v>0</v>
      </c>
      <c r="R251" s="137">
        <f t="shared" si="45"/>
        <v>0</v>
      </c>
      <c r="S251" s="141">
        <f t="shared" si="46"/>
        <v>0</v>
      </c>
      <c r="T251" s="137">
        <f t="shared" si="47"/>
        <v>0</v>
      </c>
      <c r="U251" s="137">
        <f>ROUND(VERİLER!$F$9*T251,3)</f>
        <v>0</v>
      </c>
      <c r="V251" s="336">
        <f t="shared" si="48"/>
        <v>0</v>
      </c>
      <c r="W251" s="113"/>
      <c r="X251" s="113"/>
      <c r="Y251" s="113"/>
    </row>
    <row r="252" spans="1:25" s="143" customFormat="1" ht="15" customHeight="1" x14ac:dyDescent="0.2">
      <c r="A252" s="299" t="str">
        <f>IF('İşçi Bilgileri'!A250="","",'İşçi Bilgileri'!A250)</f>
        <v/>
      </c>
      <c r="B252" s="300" t="str">
        <f>IF($A252="","",VLOOKUP($A252,'İşçi Bilgileri'!$A$2:$D$700,4,FALSE))</f>
        <v/>
      </c>
      <c r="C252" s="301" t="str">
        <f>CONCATENATE(IF($A252="","",VLOOKUP($A252,'İşçi Bilgileri'!$A$2:$D$700,2,FALSE))," ",IF($A252="","",VLOOKUP($A252,'İşçi Bilgileri'!$A$2:$D$700,3,FALSE)))</f>
        <v xml:space="preserve"> </v>
      </c>
      <c r="D252" s="137" t="str">
        <f>IF($A252="","",VERİLER!$C$5)</f>
        <v/>
      </c>
      <c r="E252" s="138" t="str">
        <f>IF($A252="","",Puantaj!AJ257)</f>
        <v/>
      </c>
      <c r="F252" s="137">
        <f t="shared" si="37"/>
        <v>0</v>
      </c>
      <c r="G252" s="137"/>
      <c r="H252" s="137">
        <f t="shared" si="38"/>
        <v>0</v>
      </c>
      <c r="I252" s="137">
        <f t="shared" si="39"/>
        <v>0</v>
      </c>
      <c r="J252" s="137">
        <f>IF(F252&gt;VERİLER!$C$7,'İşçi Bilgileri'!M250+(F252-VERİLER!$C$7),0)</f>
        <v>0</v>
      </c>
      <c r="K252" s="137">
        <f>IF(VERİLER!$C$11&gt;0,ROUND(J252*0.15,2),0)</f>
        <v>0</v>
      </c>
      <c r="L252" s="359">
        <f t="shared" si="40"/>
        <v>0</v>
      </c>
      <c r="M252" s="139">
        <f t="shared" si="41"/>
        <v>0</v>
      </c>
      <c r="N252" s="137">
        <f t="shared" si="42"/>
        <v>0</v>
      </c>
      <c r="O252" s="359">
        <f t="shared" si="43"/>
        <v>0</v>
      </c>
      <c r="P252" s="140">
        <f t="shared" si="44"/>
        <v>0</v>
      </c>
      <c r="Q252" s="140">
        <v>0</v>
      </c>
      <c r="R252" s="137">
        <f t="shared" si="45"/>
        <v>0</v>
      </c>
      <c r="S252" s="141">
        <f t="shared" si="46"/>
        <v>0</v>
      </c>
      <c r="T252" s="137">
        <f t="shared" si="47"/>
        <v>0</v>
      </c>
      <c r="U252" s="137">
        <f>ROUND(VERİLER!$F$9*T252,3)</f>
        <v>0</v>
      </c>
      <c r="V252" s="336">
        <f t="shared" si="48"/>
        <v>0</v>
      </c>
      <c r="W252" s="113"/>
      <c r="X252" s="113"/>
      <c r="Y252" s="113"/>
    </row>
    <row r="253" spans="1:25" s="143" customFormat="1" ht="15" customHeight="1" x14ac:dyDescent="0.2">
      <c r="A253" s="299" t="str">
        <f>IF('İşçi Bilgileri'!A251="","",'İşçi Bilgileri'!A251)</f>
        <v/>
      </c>
      <c r="B253" s="300" t="str">
        <f>IF($A253="","",VLOOKUP($A253,'İşçi Bilgileri'!$A$2:$D$700,4,FALSE))</f>
        <v/>
      </c>
      <c r="C253" s="301" t="str">
        <f>CONCATENATE(IF($A253="","",VLOOKUP($A253,'İşçi Bilgileri'!$A$2:$D$700,2,FALSE))," ",IF($A253="","",VLOOKUP($A253,'İşçi Bilgileri'!$A$2:$D$700,3,FALSE)))</f>
        <v xml:space="preserve"> </v>
      </c>
      <c r="D253" s="137" t="str">
        <f>IF($A253="","",VERİLER!$C$5)</f>
        <v/>
      </c>
      <c r="E253" s="138" t="str">
        <f>IF($A253="","",Puantaj!AJ258)</f>
        <v/>
      </c>
      <c r="F253" s="137">
        <f t="shared" si="37"/>
        <v>0</v>
      </c>
      <c r="G253" s="137"/>
      <c r="H253" s="137">
        <f t="shared" si="38"/>
        <v>0</v>
      </c>
      <c r="I253" s="137">
        <f t="shared" si="39"/>
        <v>0</v>
      </c>
      <c r="J253" s="137">
        <f>IF(F253&gt;VERİLER!$C$7,'İşçi Bilgileri'!M251+(F253-VERİLER!$C$7),0)</f>
        <v>0</v>
      </c>
      <c r="K253" s="137">
        <f>IF(VERİLER!$C$11&gt;0,ROUND(J253*0.15,2),0)</f>
        <v>0</v>
      </c>
      <c r="L253" s="359">
        <f t="shared" si="40"/>
        <v>0</v>
      </c>
      <c r="M253" s="139">
        <f t="shared" si="41"/>
        <v>0</v>
      </c>
      <c r="N253" s="137">
        <f t="shared" si="42"/>
        <v>0</v>
      </c>
      <c r="O253" s="359">
        <f t="shared" si="43"/>
        <v>0</v>
      </c>
      <c r="P253" s="140">
        <f t="shared" si="44"/>
        <v>0</v>
      </c>
      <c r="Q253" s="140">
        <v>0</v>
      </c>
      <c r="R253" s="137">
        <f t="shared" si="45"/>
        <v>0</v>
      </c>
      <c r="S253" s="141">
        <f t="shared" si="46"/>
        <v>0</v>
      </c>
      <c r="T253" s="137">
        <f t="shared" si="47"/>
        <v>0</v>
      </c>
      <c r="U253" s="137">
        <f>ROUND(VERİLER!$F$9*T253,3)</f>
        <v>0</v>
      </c>
      <c r="V253" s="336">
        <f t="shared" si="48"/>
        <v>0</v>
      </c>
      <c r="W253" s="113"/>
      <c r="X253" s="113"/>
      <c r="Y253" s="113"/>
    </row>
    <row r="254" spans="1:25" s="143" customFormat="1" ht="15" customHeight="1" x14ac:dyDescent="0.2">
      <c r="A254" s="299" t="str">
        <f>IF('İşçi Bilgileri'!A252="","",'İşçi Bilgileri'!A252)</f>
        <v/>
      </c>
      <c r="B254" s="300" t="str">
        <f>IF($A254="","",VLOOKUP($A254,'İşçi Bilgileri'!$A$2:$D$700,4,FALSE))</f>
        <v/>
      </c>
      <c r="C254" s="301" t="str">
        <f>CONCATENATE(IF($A254="","",VLOOKUP($A254,'İşçi Bilgileri'!$A$2:$D$700,2,FALSE))," ",IF($A254="","",VLOOKUP($A254,'İşçi Bilgileri'!$A$2:$D$700,3,FALSE)))</f>
        <v xml:space="preserve"> </v>
      </c>
      <c r="D254" s="137" t="str">
        <f>IF($A254="","",VERİLER!$C$5)</f>
        <v/>
      </c>
      <c r="E254" s="138" t="str">
        <f>IF($A254="","",Puantaj!AJ259)</f>
        <v/>
      </c>
      <c r="F254" s="137">
        <f t="shared" si="37"/>
        <v>0</v>
      </c>
      <c r="G254" s="137"/>
      <c r="H254" s="137">
        <f t="shared" si="38"/>
        <v>0</v>
      </c>
      <c r="I254" s="137">
        <f t="shared" si="39"/>
        <v>0</v>
      </c>
      <c r="J254" s="137">
        <f>IF(F254&gt;VERİLER!$C$7,'İşçi Bilgileri'!M252+(F254-VERİLER!$C$7),0)</f>
        <v>0</v>
      </c>
      <c r="K254" s="137">
        <f>IF(VERİLER!$C$11&gt;0,ROUND(J254*0.15,2),0)</f>
        <v>0</v>
      </c>
      <c r="L254" s="359">
        <f t="shared" si="40"/>
        <v>0</v>
      </c>
      <c r="M254" s="139">
        <f t="shared" si="41"/>
        <v>0</v>
      </c>
      <c r="N254" s="137">
        <f t="shared" si="42"/>
        <v>0</v>
      </c>
      <c r="O254" s="359">
        <f t="shared" si="43"/>
        <v>0</v>
      </c>
      <c r="P254" s="140">
        <f t="shared" si="44"/>
        <v>0</v>
      </c>
      <c r="Q254" s="140">
        <v>0</v>
      </c>
      <c r="R254" s="137">
        <f t="shared" si="45"/>
        <v>0</v>
      </c>
      <c r="S254" s="141">
        <f t="shared" si="46"/>
        <v>0</v>
      </c>
      <c r="T254" s="137">
        <f t="shared" si="47"/>
        <v>0</v>
      </c>
      <c r="U254" s="137">
        <f>ROUND(VERİLER!$F$9*T254,3)</f>
        <v>0</v>
      </c>
      <c r="V254" s="336">
        <f t="shared" si="48"/>
        <v>0</v>
      </c>
      <c r="W254" s="113"/>
      <c r="X254" s="113"/>
      <c r="Y254" s="113"/>
    </row>
    <row r="255" spans="1:25" s="143" customFormat="1" ht="15" customHeight="1" x14ac:dyDescent="0.2">
      <c r="A255" s="299" t="str">
        <f>IF('İşçi Bilgileri'!A253="","",'İşçi Bilgileri'!A253)</f>
        <v/>
      </c>
      <c r="B255" s="300" t="str">
        <f>IF($A255="","",VLOOKUP($A255,'İşçi Bilgileri'!$A$2:$D$700,4,FALSE))</f>
        <v/>
      </c>
      <c r="C255" s="301" t="str">
        <f>CONCATENATE(IF($A255="","",VLOOKUP($A255,'İşçi Bilgileri'!$A$2:$D$700,2,FALSE))," ",IF($A255="","",VLOOKUP($A255,'İşçi Bilgileri'!$A$2:$D$700,3,FALSE)))</f>
        <v xml:space="preserve"> </v>
      </c>
      <c r="D255" s="137" t="str">
        <f>IF($A255="","",VERİLER!$C$5)</f>
        <v/>
      </c>
      <c r="E255" s="138" t="str">
        <f>IF($A255="","",Puantaj!AJ260)</f>
        <v/>
      </c>
      <c r="F255" s="137">
        <f t="shared" si="37"/>
        <v>0</v>
      </c>
      <c r="G255" s="137"/>
      <c r="H255" s="137">
        <f t="shared" si="38"/>
        <v>0</v>
      </c>
      <c r="I255" s="137">
        <f t="shared" si="39"/>
        <v>0</v>
      </c>
      <c r="J255" s="137">
        <f>IF(F255&gt;VERİLER!$C$7,'İşçi Bilgileri'!M253+(F255-VERİLER!$C$7),0)</f>
        <v>0</v>
      </c>
      <c r="K255" s="137">
        <f>IF(VERİLER!$C$11&gt;0,ROUND(J255*0.15,2),0)</f>
        <v>0</v>
      </c>
      <c r="L255" s="359">
        <f t="shared" si="40"/>
        <v>0</v>
      </c>
      <c r="M255" s="139">
        <f t="shared" si="41"/>
        <v>0</v>
      </c>
      <c r="N255" s="137">
        <f t="shared" si="42"/>
        <v>0</v>
      </c>
      <c r="O255" s="359">
        <f t="shared" si="43"/>
        <v>0</v>
      </c>
      <c r="P255" s="140">
        <f t="shared" si="44"/>
        <v>0</v>
      </c>
      <c r="Q255" s="140">
        <v>0</v>
      </c>
      <c r="R255" s="137">
        <f t="shared" si="45"/>
        <v>0</v>
      </c>
      <c r="S255" s="141">
        <f t="shared" si="46"/>
        <v>0</v>
      </c>
      <c r="T255" s="137">
        <f t="shared" si="47"/>
        <v>0</v>
      </c>
      <c r="U255" s="137">
        <f>ROUND(VERİLER!$F$9*T255,3)</f>
        <v>0</v>
      </c>
      <c r="V255" s="336">
        <f t="shared" si="48"/>
        <v>0</v>
      </c>
      <c r="W255" s="113"/>
      <c r="X255" s="113"/>
      <c r="Y255" s="113"/>
    </row>
    <row r="256" spans="1:25" s="143" customFormat="1" ht="15" customHeight="1" x14ac:dyDescent="0.2">
      <c r="A256" s="299" t="str">
        <f>IF('İşçi Bilgileri'!A254="","",'İşçi Bilgileri'!A254)</f>
        <v/>
      </c>
      <c r="B256" s="300" t="str">
        <f>IF($A256="","",VLOOKUP($A256,'İşçi Bilgileri'!$A$2:$D$700,4,FALSE))</f>
        <v/>
      </c>
      <c r="C256" s="301" t="str">
        <f>CONCATENATE(IF($A256="","",VLOOKUP($A256,'İşçi Bilgileri'!$A$2:$D$700,2,FALSE))," ",IF($A256="","",VLOOKUP($A256,'İşçi Bilgileri'!$A$2:$D$700,3,FALSE)))</f>
        <v xml:space="preserve"> </v>
      </c>
      <c r="D256" s="137" t="str">
        <f>IF($A256="","",VERİLER!$C$5)</f>
        <v/>
      </c>
      <c r="E256" s="138" t="str">
        <f>IF($A256="","",Puantaj!AJ261)</f>
        <v/>
      </c>
      <c r="F256" s="137">
        <f t="shared" si="37"/>
        <v>0</v>
      </c>
      <c r="G256" s="137"/>
      <c r="H256" s="137">
        <f t="shared" si="38"/>
        <v>0</v>
      </c>
      <c r="I256" s="137">
        <f t="shared" si="39"/>
        <v>0</v>
      </c>
      <c r="J256" s="137">
        <f>IF(F256&gt;VERİLER!$C$7,'İşçi Bilgileri'!M254+(F256-VERİLER!$C$7),0)</f>
        <v>0</v>
      </c>
      <c r="K256" s="137">
        <f>IF(VERİLER!$C$11&gt;0,ROUND(J256*0.15,2),0)</f>
        <v>0</v>
      </c>
      <c r="L256" s="359">
        <f t="shared" si="40"/>
        <v>0</v>
      </c>
      <c r="M256" s="139">
        <f t="shared" si="41"/>
        <v>0</v>
      </c>
      <c r="N256" s="137">
        <f t="shared" si="42"/>
        <v>0</v>
      </c>
      <c r="O256" s="359">
        <f t="shared" si="43"/>
        <v>0</v>
      </c>
      <c r="P256" s="140">
        <f t="shared" si="44"/>
        <v>0</v>
      </c>
      <c r="Q256" s="140">
        <v>0</v>
      </c>
      <c r="R256" s="137">
        <f t="shared" si="45"/>
        <v>0</v>
      </c>
      <c r="S256" s="141">
        <f t="shared" si="46"/>
        <v>0</v>
      </c>
      <c r="T256" s="137">
        <f t="shared" si="47"/>
        <v>0</v>
      </c>
      <c r="U256" s="137">
        <f>ROUND(VERİLER!$F$9*T256,3)</f>
        <v>0</v>
      </c>
      <c r="V256" s="336">
        <f t="shared" si="48"/>
        <v>0</v>
      </c>
      <c r="W256" s="113"/>
      <c r="X256" s="113"/>
      <c r="Y256" s="113"/>
    </row>
    <row r="257" spans="1:25" s="143" customFormat="1" ht="15" customHeight="1" x14ac:dyDescent="0.2">
      <c r="A257" s="299" t="str">
        <f>IF('İşçi Bilgileri'!A255="","",'İşçi Bilgileri'!A255)</f>
        <v/>
      </c>
      <c r="B257" s="300" t="str">
        <f>IF($A257="","",VLOOKUP($A257,'İşçi Bilgileri'!$A$2:$D$700,4,FALSE))</f>
        <v/>
      </c>
      <c r="C257" s="301" t="str">
        <f>CONCATENATE(IF($A257="","",VLOOKUP($A257,'İşçi Bilgileri'!$A$2:$D$700,2,FALSE))," ",IF($A257="","",VLOOKUP($A257,'İşçi Bilgileri'!$A$2:$D$700,3,FALSE)))</f>
        <v xml:space="preserve"> </v>
      </c>
      <c r="D257" s="137" t="str">
        <f>IF($A257="","",VERİLER!$C$5)</f>
        <v/>
      </c>
      <c r="E257" s="138" t="str">
        <f>IF($A257="","",Puantaj!AJ262)</f>
        <v/>
      </c>
      <c r="F257" s="137">
        <f t="shared" si="37"/>
        <v>0</v>
      </c>
      <c r="G257" s="137"/>
      <c r="H257" s="137">
        <f t="shared" si="38"/>
        <v>0</v>
      </c>
      <c r="I257" s="137">
        <f t="shared" si="39"/>
        <v>0</v>
      </c>
      <c r="J257" s="137">
        <f>IF(F257&gt;VERİLER!$C$7,'İşçi Bilgileri'!M255+(F257-VERİLER!$C$7),0)</f>
        <v>0</v>
      </c>
      <c r="K257" s="137">
        <f>IF(VERİLER!$C$11&gt;0,ROUND(J257*0.15,2),0)</f>
        <v>0</v>
      </c>
      <c r="L257" s="359">
        <f t="shared" si="40"/>
        <v>0</v>
      </c>
      <c r="M257" s="139">
        <f t="shared" si="41"/>
        <v>0</v>
      </c>
      <c r="N257" s="137">
        <f t="shared" si="42"/>
        <v>0</v>
      </c>
      <c r="O257" s="359">
        <f t="shared" si="43"/>
        <v>0</v>
      </c>
      <c r="P257" s="140">
        <f t="shared" si="44"/>
        <v>0</v>
      </c>
      <c r="Q257" s="140">
        <v>0</v>
      </c>
      <c r="R257" s="137">
        <f t="shared" si="45"/>
        <v>0</v>
      </c>
      <c r="S257" s="141">
        <f t="shared" si="46"/>
        <v>0</v>
      </c>
      <c r="T257" s="137">
        <f t="shared" si="47"/>
        <v>0</v>
      </c>
      <c r="U257" s="137">
        <f>ROUND(VERİLER!$F$9*T257,3)</f>
        <v>0</v>
      </c>
      <c r="V257" s="336">
        <f t="shared" si="48"/>
        <v>0</v>
      </c>
      <c r="W257" s="113"/>
      <c r="X257" s="113"/>
      <c r="Y257" s="113"/>
    </row>
    <row r="258" spans="1:25" s="143" customFormat="1" ht="15" customHeight="1" x14ac:dyDescent="0.2">
      <c r="A258" s="299" t="str">
        <f>IF('İşçi Bilgileri'!A256="","",'İşçi Bilgileri'!A256)</f>
        <v/>
      </c>
      <c r="B258" s="300" t="str">
        <f>IF($A258="","",VLOOKUP($A258,'İşçi Bilgileri'!$A$2:$D$700,4,FALSE))</f>
        <v/>
      </c>
      <c r="C258" s="301" t="str">
        <f>CONCATENATE(IF($A258="","",VLOOKUP($A258,'İşçi Bilgileri'!$A$2:$D$700,2,FALSE))," ",IF($A258="","",VLOOKUP($A258,'İşçi Bilgileri'!$A$2:$D$700,3,FALSE)))</f>
        <v xml:space="preserve"> </v>
      </c>
      <c r="D258" s="137" t="str">
        <f>IF($A258="","",VERİLER!$C$5)</f>
        <v/>
      </c>
      <c r="E258" s="138" t="str">
        <f>IF($A258="","",Puantaj!AJ263)</f>
        <v/>
      </c>
      <c r="F258" s="137">
        <f t="shared" si="37"/>
        <v>0</v>
      </c>
      <c r="G258" s="137"/>
      <c r="H258" s="137">
        <f t="shared" si="38"/>
        <v>0</v>
      </c>
      <c r="I258" s="137">
        <f t="shared" si="39"/>
        <v>0</v>
      </c>
      <c r="J258" s="137">
        <f>IF(F258&gt;VERİLER!$C$7,'İşçi Bilgileri'!M256+(F258-VERİLER!$C$7),0)</f>
        <v>0</v>
      </c>
      <c r="K258" s="137">
        <f>IF(VERİLER!$C$11&gt;0,ROUND(J258*0.15,2),0)</f>
        <v>0</v>
      </c>
      <c r="L258" s="359">
        <f t="shared" si="40"/>
        <v>0</v>
      </c>
      <c r="M258" s="139">
        <f t="shared" si="41"/>
        <v>0</v>
      </c>
      <c r="N258" s="137">
        <f t="shared" si="42"/>
        <v>0</v>
      </c>
      <c r="O258" s="359">
        <f t="shared" si="43"/>
        <v>0</v>
      </c>
      <c r="P258" s="140">
        <f t="shared" si="44"/>
        <v>0</v>
      </c>
      <c r="Q258" s="140">
        <v>0</v>
      </c>
      <c r="R258" s="137">
        <f t="shared" si="45"/>
        <v>0</v>
      </c>
      <c r="S258" s="141">
        <f t="shared" si="46"/>
        <v>0</v>
      </c>
      <c r="T258" s="137">
        <f t="shared" si="47"/>
        <v>0</v>
      </c>
      <c r="U258" s="137">
        <f>ROUND(VERİLER!$F$9*T258,3)</f>
        <v>0</v>
      </c>
      <c r="V258" s="336">
        <f t="shared" si="48"/>
        <v>0</v>
      </c>
      <c r="W258" s="113"/>
      <c r="X258" s="113"/>
      <c r="Y258" s="113"/>
    </row>
    <row r="259" spans="1:25" s="143" customFormat="1" ht="15" customHeight="1" x14ac:dyDescent="0.2">
      <c r="A259" s="299" t="str">
        <f>IF('İşçi Bilgileri'!A257="","",'İşçi Bilgileri'!A257)</f>
        <v/>
      </c>
      <c r="B259" s="300" t="str">
        <f>IF($A259="","",VLOOKUP($A259,'İşçi Bilgileri'!$A$2:$D$700,4,FALSE))</f>
        <v/>
      </c>
      <c r="C259" s="301" t="str">
        <f>CONCATENATE(IF($A259="","",VLOOKUP($A259,'İşçi Bilgileri'!$A$2:$D$700,2,FALSE))," ",IF($A259="","",VLOOKUP($A259,'İşçi Bilgileri'!$A$2:$D$700,3,FALSE)))</f>
        <v xml:space="preserve"> </v>
      </c>
      <c r="D259" s="137" t="str">
        <f>IF($A259="","",VERİLER!$C$5)</f>
        <v/>
      </c>
      <c r="E259" s="138" t="str">
        <f>IF($A259="","",Puantaj!AJ264)</f>
        <v/>
      </c>
      <c r="F259" s="137">
        <f t="shared" si="37"/>
        <v>0</v>
      </c>
      <c r="G259" s="137"/>
      <c r="H259" s="137">
        <f t="shared" si="38"/>
        <v>0</v>
      </c>
      <c r="I259" s="137">
        <f t="shared" si="39"/>
        <v>0</v>
      </c>
      <c r="J259" s="137">
        <f>IF(F259&gt;VERİLER!$C$7,'İşçi Bilgileri'!M257+(F259-VERİLER!$C$7),0)</f>
        <v>0</v>
      </c>
      <c r="K259" s="137">
        <f>IF(VERİLER!$C$11&gt;0,ROUND(J259*0.15,2),0)</f>
        <v>0</v>
      </c>
      <c r="L259" s="359">
        <f t="shared" si="40"/>
        <v>0</v>
      </c>
      <c r="M259" s="139">
        <f t="shared" si="41"/>
        <v>0</v>
      </c>
      <c r="N259" s="137">
        <f t="shared" si="42"/>
        <v>0</v>
      </c>
      <c r="O259" s="359">
        <f t="shared" si="43"/>
        <v>0</v>
      </c>
      <c r="P259" s="140">
        <f t="shared" si="44"/>
        <v>0</v>
      </c>
      <c r="Q259" s="140">
        <v>0</v>
      </c>
      <c r="R259" s="137">
        <f t="shared" si="45"/>
        <v>0</v>
      </c>
      <c r="S259" s="141">
        <f t="shared" si="46"/>
        <v>0</v>
      </c>
      <c r="T259" s="137">
        <f t="shared" si="47"/>
        <v>0</v>
      </c>
      <c r="U259" s="137">
        <f>ROUND(VERİLER!$F$9*T259,3)</f>
        <v>0</v>
      </c>
      <c r="V259" s="336">
        <f t="shared" si="48"/>
        <v>0</v>
      </c>
      <c r="W259" s="113"/>
      <c r="X259" s="113"/>
      <c r="Y259" s="113"/>
    </row>
    <row r="260" spans="1:25" s="143" customFormat="1" ht="15" customHeight="1" x14ac:dyDescent="0.2">
      <c r="A260" s="299" t="str">
        <f>IF('İşçi Bilgileri'!A258="","",'İşçi Bilgileri'!A258)</f>
        <v/>
      </c>
      <c r="B260" s="300" t="str">
        <f>IF($A260="","",VLOOKUP($A260,'İşçi Bilgileri'!$A$2:$D$700,4,FALSE))</f>
        <v/>
      </c>
      <c r="C260" s="301" t="str">
        <f>CONCATENATE(IF($A260="","",VLOOKUP($A260,'İşçi Bilgileri'!$A$2:$D$700,2,FALSE))," ",IF($A260="","",VLOOKUP($A260,'İşçi Bilgileri'!$A$2:$D$700,3,FALSE)))</f>
        <v xml:space="preserve"> </v>
      </c>
      <c r="D260" s="137" t="str">
        <f>IF($A260="","",VERİLER!$C$5)</f>
        <v/>
      </c>
      <c r="E260" s="138" t="str">
        <f>IF($A260="","",Puantaj!AJ265)</f>
        <v/>
      </c>
      <c r="F260" s="137">
        <f t="shared" si="37"/>
        <v>0</v>
      </c>
      <c r="G260" s="137"/>
      <c r="H260" s="137">
        <f t="shared" si="38"/>
        <v>0</v>
      </c>
      <c r="I260" s="137">
        <f t="shared" si="39"/>
        <v>0</v>
      </c>
      <c r="J260" s="137">
        <f>IF(F260&gt;VERİLER!$C$7,'İşçi Bilgileri'!M258+(F260-VERİLER!$C$7),0)</f>
        <v>0</v>
      </c>
      <c r="K260" s="137">
        <f>IF(VERİLER!$C$11&gt;0,ROUND(J260*0.15,2),0)</f>
        <v>0</v>
      </c>
      <c r="L260" s="359">
        <f t="shared" si="40"/>
        <v>0</v>
      </c>
      <c r="M260" s="139">
        <f t="shared" si="41"/>
        <v>0</v>
      </c>
      <c r="N260" s="137">
        <f t="shared" si="42"/>
        <v>0</v>
      </c>
      <c r="O260" s="359">
        <f t="shared" si="43"/>
        <v>0</v>
      </c>
      <c r="P260" s="140">
        <f t="shared" si="44"/>
        <v>0</v>
      </c>
      <c r="Q260" s="140">
        <v>0</v>
      </c>
      <c r="R260" s="137">
        <f t="shared" si="45"/>
        <v>0</v>
      </c>
      <c r="S260" s="141">
        <f t="shared" si="46"/>
        <v>0</v>
      </c>
      <c r="T260" s="137">
        <f t="shared" si="47"/>
        <v>0</v>
      </c>
      <c r="U260" s="137">
        <f>ROUND(VERİLER!$F$9*T260,3)</f>
        <v>0</v>
      </c>
      <c r="V260" s="336">
        <f t="shared" si="48"/>
        <v>0</v>
      </c>
      <c r="W260" s="113"/>
      <c r="X260" s="113"/>
      <c r="Y260" s="113"/>
    </row>
    <row r="261" spans="1:25" s="143" customFormat="1" ht="15" customHeight="1" x14ac:dyDescent="0.2">
      <c r="A261" s="299" t="str">
        <f>IF('İşçi Bilgileri'!A259="","",'İşçi Bilgileri'!A259)</f>
        <v/>
      </c>
      <c r="B261" s="300" t="str">
        <f>IF($A261="","",VLOOKUP($A261,'İşçi Bilgileri'!$A$2:$D$700,4,FALSE))</f>
        <v/>
      </c>
      <c r="C261" s="301" t="str">
        <f>CONCATENATE(IF($A261="","",VLOOKUP($A261,'İşçi Bilgileri'!$A$2:$D$700,2,FALSE))," ",IF($A261="","",VLOOKUP($A261,'İşçi Bilgileri'!$A$2:$D$700,3,FALSE)))</f>
        <v xml:space="preserve"> </v>
      </c>
      <c r="D261" s="137" t="str">
        <f>IF($A261="","",VERİLER!$C$5)</f>
        <v/>
      </c>
      <c r="E261" s="138" t="str">
        <f>IF($A261="","",Puantaj!AJ266)</f>
        <v/>
      </c>
      <c r="F261" s="137">
        <f t="shared" ref="F261:F324" si="49">IFERROR(ROUND(D261*E261,2),0)</f>
        <v>0</v>
      </c>
      <c r="G261" s="137"/>
      <c r="H261" s="137">
        <f t="shared" ref="H261:H324" si="50">ROUND(T261*0.045,3)</f>
        <v>0</v>
      </c>
      <c r="I261" s="137">
        <f t="shared" ref="I261:I324" si="51">ROUND(F261*0.01,2)</f>
        <v>0</v>
      </c>
      <c r="J261" s="137">
        <f>IF(F261&gt;VERİLER!$C$7,'İşçi Bilgileri'!M259+(F261-VERİLER!$C$7),0)</f>
        <v>0</v>
      </c>
      <c r="K261" s="137">
        <f>IF(VERİLER!$C$11&gt;0,ROUND(J261*0.15,2),0)</f>
        <v>0</v>
      </c>
      <c r="L261" s="359">
        <f t="shared" ref="L261:L324" si="52">K261</f>
        <v>0</v>
      </c>
      <c r="M261" s="139">
        <f t="shared" ref="M261:M324" si="53">K261-L261</f>
        <v>0</v>
      </c>
      <c r="N261" s="137">
        <f t="shared" ref="N261:N324" si="54">F261*0.00759</f>
        <v>0</v>
      </c>
      <c r="O261" s="359">
        <f t="shared" ref="O261:O324" si="55">N261</f>
        <v>0</v>
      </c>
      <c r="P261" s="140">
        <f t="shared" ref="P261:P324" si="56">N261-O261</f>
        <v>0</v>
      </c>
      <c r="Q261" s="140">
        <v>0</v>
      </c>
      <c r="R261" s="137">
        <f t="shared" ref="R261:R324" si="57">ROUND(H261+I261,2)</f>
        <v>0</v>
      </c>
      <c r="S261" s="141">
        <f t="shared" ref="S261:S324" si="58">ROUND(F261,3)</f>
        <v>0</v>
      </c>
      <c r="T261" s="137">
        <f t="shared" ref="T261:T324" si="59">F261</f>
        <v>0</v>
      </c>
      <c r="U261" s="137">
        <f>ROUND(VERİLER!$F$9*T261,3)</f>
        <v>0</v>
      </c>
      <c r="V261" s="336">
        <f t="shared" ref="V261:V324" si="60">T261+U261+H261+I261</f>
        <v>0</v>
      </c>
      <c r="W261" s="113"/>
      <c r="X261" s="113"/>
      <c r="Y261" s="113"/>
    </row>
    <row r="262" spans="1:25" s="143" customFormat="1" ht="15" customHeight="1" x14ac:dyDescent="0.2">
      <c r="A262" s="299" t="str">
        <f>IF('İşçi Bilgileri'!A260="","",'İşçi Bilgileri'!A260)</f>
        <v/>
      </c>
      <c r="B262" s="300" t="str">
        <f>IF($A262="","",VLOOKUP($A262,'İşçi Bilgileri'!$A$2:$D$700,4,FALSE))</f>
        <v/>
      </c>
      <c r="C262" s="301" t="str">
        <f>CONCATENATE(IF($A262="","",VLOOKUP($A262,'İşçi Bilgileri'!$A$2:$D$700,2,FALSE))," ",IF($A262="","",VLOOKUP($A262,'İşçi Bilgileri'!$A$2:$D$700,3,FALSE)))</f>
        <v xml:space="preserve"> </v>
      </c>
      <c r="D262" s="137" t="str">
        <f>IF($A262="","",VERİLER!$C$5)</f>
        <v/>
      </c>
      <c r="E262" s="138" t="str">
        <f>IF($A262="","",Puantaj!AJ267)</f>
        <v/>
      </c>
      <c r="F262" s="137">
        <f t="shared" si="49"/>
        <v>0</v>
      </c>
      <c r="G262" s="137"/>
      <c r="H262" s="137">
        <f t="shared" si="50"/>
        <v>0</v>
      </c>
      <c r="I262" s="137">
        <f t="shared" si="51"/>
        <v>0</v>
      </c>
      <c r="J262" s="137">
        <f>IF(F262&gt;VERİLER!$C$7,'İşçi Bilgileri'!M260+(F262-VERİLER!$C$7),0)</f>
        <v>0</v>
      </c>
      <c r="K262" s="137">
        <f>IF(VERİLER!$C$11&gt;0,ROUND(J262*0.15,2),0)</f>
        <v>0</v>
      </c>
      <c r="L262" s="359">
        <f t="shared" si="52"/>
        <v>0</v>
      </c>
      <c r="M262" s="139">
        <f t="shared" si="53"/>
        <v>0</v>
      </c>
      <c r="N262" s="137">
        <f t="shared" si="54"/>
        <v>0</v>
      </c>
      <c r="O262" s="359">
        <f t="shared" si="55"/>
        <v>0</v>
      </c>
      <c r="P262" s="140">
        <f t="shared" si="56"/>
        <v>0</v>
      </c>
      <c r="Q262" s="140">
        <v>0</v>
      </c>
      <c r="R262" s="137">
        <f t="shared" si="57"/>
        <v>0</v>
      </c>
      <c r="S262" s="141">
        <f t="shared" si="58"/>
        <v>0</v>
      </c>
      <c r="T262" s="137">
        <f t="shared" si="59"/>
        <v>0</v>
      </c>
      <c r="U262" s="137">
        <f>ROUND(VERİLER!$F$9*T262,3)</f>
        <v>0</v>
      </c>
      <c r="V262" s="336">
        <f t="shared" si="60"/>
        <v>0</v>
      </c>
      <c r="W262" s="113"/>
      <c r="X262" s="113"/>
      <c r="Y262" s="113"/>
    </row>
    <row r="263" spans="1:25" s="143" customFormat="1" ht="15" customHeight="1" x14ac:dyDescent="0.2">
      <c r="A263" s="299" t="str">
        <f>IF('İşçi Bilgileri'!A261="","",'İşçi Bilgileri'!A261)</f>
        <v/>
      </c>
      <c r="B263" s="300" t="str">
        <f>IF($A263="","",VLOOKUP($A263,'İşçi Bilgileri'!$A$2:$D$700,4,FALSE))</f>
        <v/>
      </c>
      <c r="C263" s="301" t="str">
        <f>CONCATENATE(IF($A263="","",VLOOKUP($A263,'İşçi Bilgileri'!$A$2:$D$700,2,FALSE))," ",IF($A263="","",VLOOKUP($A263,'İşçi Bilgileri'!$A$2:$D$700,3,FALSE)))</f>
        <v xml:space="preserve"> </v>
      </c>
      <c r="D263" s="137" t="str">
        <f>IF($A263="","",VERİLER!$C$5)</f>
        <v/>
      </c>
      <c r="E263" s="138" t="str">
        <f>IF($A263="","",Puantaj!AJ268)</f>
        <v/>
      </c>
      <c r="F263" s="137">
        <f t="shared" si="49"/>
        <v>0</v>
      </c>
      <c r="G263" s="137"/>
      <c r="H263" s="137">
        <f t="shared" si="50"/>
        <v>0</v>
      </c>
      <c r="I263" s="137">
        <f t="shared" si="51"/>
        <v>0</v>
      </c>
      <c r="J263" s="137">
        <f>IF(F263&gt;VERİLER!$C$7,'İşçi Bilgileri'!M261+(F263-VERİLER!$C$7),0)</f>
        <v>0</v>
      </c>
      <c r="K263" s="137">
        <f>IF(VERİLER!$C$11&gt;0,ROUND(J263*0.15,2),0)</f>
        <v>0</v>
      </c>
      <c r="L263" s="359">
        <f t="shared" si="52"/>
        <v>0</v>
      </c>
      <c r="M263" s="139">
        <f t="shared" si="53"/>
        <v>0</v>
      </c>
      <c r="N263" s="137">
        <f t="shared" si="54"/>
        <v>0</v>
      </c>
      <c r="O263" s="359">
        <f t="shared" si="55"/>
        <v>0</v>
      </c>
      <c r="P263" s="140">
        <f t="shared" si="56"/>
        <v>0</v>
      </c>
      <c r="Q263" s="140">
        <v>0</v>
      </c>
      <c r="R263" s="137">
        <f t="shared" si="57"/>
        <v>0</v>
      </c>
      <c r="S263" s="141">
        <f t="shared" si="58"/>
        <v>0</v>
      </c>
      <c r="T263" s="137">
        <f t="shared" si="59"/>
        <v>0</v>
      </c>
      <c r="U263" s="137">
        <f>ROUND(VERİLER!$F$9*T263,3)</f>
        <v>0</v>
      </c>
      <c r="V263" s="336">
        <f t="shared" si="60"/>
        <v>0</v>
      </c>
      <c r="W263" s="113"/>
      <c r="X263" s="113"/>
      <c r="Y263" s="113"/>
    </row>
    <row r="264" spans="1:25" s="143" customFormat="1" ht="15" customHeight="1" x14ac:dyDescent="0.2">
      <c r="A264" s="299" t="str">
        <f>IF('İşçi Bilgileri'!A262="","",'İşçi Bilgileri'!A262)</f>
        <v/>
      </c>
      <c r="B264" s="300" t="str">
        <f>IF($A264="","",VLOOKUP($A264,'İşçi Bilgileri'!$A$2:$D$700,4,FALSE))</f>
        <v/>
      </c>
      <c r="C264" s="301" t="str">
        <f>CONCATENATE(IF($A264="","",VLOOKUP($A264,'İşçi Bilgileri'!$A$2:$D$700,2,FALSE))," ",IF($A264="","",VLOOKUP($A264,'İşçi Bilgileri'!$A$2:$D$700,3,FALSE)))</f>
        <v xml:space="preserve"> </v>
      </c>
      <c r="D264" s="137" t="str">
        <f>IF($A264="","",VERİLER!$C$5)</f>
        <v/>
      </c>
      <c r="E264" s="138" t="str">
        <f>IF($A264="","",Puantaj!AJ269)</f>
        <v/>
      </c>
      <c r="F264" s="137">
        <f t="shared" si="49"/>
        <v>0</v>
      </c>
      <c r="G264" s="137"/>
      <c r="H264" s="137">
        <f t="shared" si="50"/>
        <v>0</v>
      </c>
      <c r="I264" s="137">
        <f t="shared" si="51"/>
        <v>0</v>
      </c>
      <c r="J264" s="137">
        <f>IF(F264&gt;VERİLER!$C$7,'İşçi Bilgileri'!M262+(F264-VERİLER!$C$7),0)</f>
        <v>0</v>
      </c>
      <c r="K264" s="137">
        <f>IF(VERİLER!$C$11&gt;0,ROUND(J264*0.15,2),0)</f>
        <v>0</v>
      </c>
      <c r="L264" s="359">
        <f t="shared" si="52"/>
        <v>0</v>
      </c>
      <c r="M264" s="139">
        <f t="shared" si="53"/>
        <v>0</v>
      </c>
      <c r="N264" s="137">
        <f t="shared" si="54"/>
        <v>0</v>
      </c>
      <c r="O264" s="359">
        <f t="shared" si="55"/>
        <v>0</v>
      </c>
      <c r="P264" s="140">
        <f t="shared" si="56"/>
        <v>0</v>
      </c>
      <c r="Q264" s="140">
        <v>0</v>
      </c>
      <c r="R264" s="137">
        <f t="shared" si="57"/>
        <v>0</v>
      </c>
      <c r="S264" s="141">
        <f t="shared" si="58"/>
        <v>0</v>
      </c>
      <c r="T264" s="137">
        <f t="shared" si="59"/>
        <v>0</v>
      </c>
      <c r="U264" s="137">
        <f>ROUND(VERİLER!$F$9*T264,3)</f>
        <v>0</v>
      </c>
      <c r="V264" s="336">
        <f t="shared" si="60"/>
        <v>0</v>
      </c>
      <c r="W264" s="113"/>
      <c r="X264" s="113"/>
      <c r="Y264" s="113"/>
    </row>
    <row r="265" spans="1:25" s="143" customFormat="1" ht="15" customHeight="1" x14ac:dyDescent="0.2">
      <c r="A265" s="299" t="str">
        <f>IF('İşçi Bilgileri'!A263="","",'İşçi Bilgileri'!A263)</f>
        <v/>
      </c>
      <c r="B265" s="300" t="str">
        <f>IF($A265="","",VLOOKUP($A265,'İşçi Bilgileri'!$A$2:$D$700,4,FALSE))</f>
        <v/>
      </c>
      <c r="C265" s="301" t="str">
        <f>CONCATENATE(IF($A265="","",VLOOKUP($A265,'İşçi Bilgileri'!$A$2:$D$700,2,FALSE))," ",IF($A265="","",VLOOKUP($A265,'İşçi Bilgileri'!$A$2:$D$700,3,FALSE)))</f>
        <v xml:space="preserve"> </v>
      </c>
      <c r="D265" s="137" t="str">
        <f>IF($A265="","",VERİLER!$C$5)</f>
        <v/>
      </c>
      <c r="E265" s="138" t="str">
        <f>IF($A265="","",Puantaj!AJ270)</f>
        <v/>
      </c>
      <c r="F265" s="137">
        <f t="shared" si="49"/>
        <v>0</v>
      </c>
      <c r="G265" s="137"/>
      <c r="H265" s="137">
        <f t="shared" si="50"/>
        <v>0</v>
      </c>
      <c r="I265" s="137">
        <f t="shared" si="51"/>
        <v>0</v>
      </c>
      <c r="J265" s="137">
        <f>IF(F265&gt;VERİLER!$C$7,'İşçi Bilgileri'!M263+(F265-VERİLER!$C$7),0)</f>
        <v>0</v>
      </c>
      <c r="K265" s="137">
        <f>IF(VERİLER!$C$11&gt;0,ROUND(J265*0.15,2),0)</f>
        <v>0</v>
      </c>
      <c r="L265" s="359">
        <f t="shared" si="52"/>
        <v>0</v>
      </c>
      <c r="M265" s="139">
        <f t="shared" si="53"/>
        <v>0</v>
      </c>
      <c r="N265" s="137">
        <f t="shared" si="54"/>
        <v>0</v>
      </c>
      <c r="O265" s="359">
        <f t="shared" si="55"/>
        <v>0</v>
      </c>
      <c r="P265" s="140">
        <f t="shared" si="56"/>
        <v>0</v>
      </c>
      <c r="Q265" s="140">
        <v>0</v>
      </c>
      <c r="R265" s="137">
        <f t="shared" si="57"/>
        <v>0</v>
      </c>
      <c r="S265" s="141">
        <f t="shared" si="58"/>
        <v>0</v>
      </c>
      <c r="T265" s="137">
        <f t="shared" si="59"/>
        <v>0</v>
      </c>
      <c r="U265" s="137">
        <f>ROUND(VERİLER!$F$9*T265,3)</f>
        <v>0</v>
      </c>
      <c r="V265" s="336">
        <f t="shared" si="60"/>
        <v>0</v>
      </c>
      <c r="W265" s="113"/>
      <c r="X265" s="113"/>
      <c r="Y265" s="113"/>
    </row>
    <row r="266" spans="1:25" s="143" customFormat="1" ht="15" customHeight="1" x14ac:dyDescent="0.2">
      <c r="A266" s="299" t="str">
        <f>IF('İşçi Bilgileri'!A264="","",'İşçi Bilgileri'!A264)</f>
        <v/>
      </c>
      <c r="B266" s="300" t="str">
        <f>IF($A266="","",VLOOKUP($A266,'İşçi Bilgileri'!$A$2:$D$700,4,FALSE))</f>
        <v/>
      </c>
      <c r="C266" s="301" t="str">
        <f>CONCATENATE(IF($A266="","",VLOOKUP($A266,'İşçi Bilgileri'!$A$2:$D$700,2,FALSE))," ",IF($A266="","",VLOOKUP($A266,'İşçi Bilgileri'!$A$2:$D$700,3,FALSE)))</f>
        <v xml:space="preserve"> </v>
      </c>
      <c r="D266" s="137" t="str">
        <f>IF($A266="","",VERİLER!$C$5)</f>
        <v/>
      </c>
      <c r="E266" s="138" t="str">
        <f>IF($A266="","",Puantaj!AJ271)</f>
        <v/>
      </c>
      <c r="F266" s="137">
        <f t="shared" si="49"/>
        <v>0</v>
      </c>
      <c r="G266" s="137"/>
      <c r="H266" s="137">
        <f t="shared" si="50"/>
        <v>0</v>
      </c>
      <c r="I266" s="137">
        <f t="shared" si="51"/>
        <v>0</v>
      </c>
      <c r="J266" s="137">
        <f>IF(F266&gt;VERİLER!$C$7,'İşçi Bilgileri'!M264+(F266-VERİLER!$C$7),0)</f>
        <v>0</v>
      </c>
      <c r="K266" s="137">
        <f>IF(VERİLER!$C$11&gt;0,ROUND(J266*0.15,2),0)</f>
        <v>0</v>
      </c>
      <c r="L266" s="359">
        <f t="shared" si="52"/>
        <v>0</v>
      </c>
      <c r="M266" s="139">
        <f t="shared" si="53"/>
        <v>0</v>
      </c>
      <c r="N266" s="137">
        <f t="shared" si="54"/>
        <v>0</v>
      </c>
      <c r="O266" s="359">
        <f t="shared" si="55"/>
        <v>0</v>
      </c>
      <c r="P266" s="140">
        <f t="shared" si="56"/>
        <v>0</v>
      </c>
      <c r="Q266" s="140">
        <v>0</v>
      </c>
      <c r="R266" s="137">
        <f t="shared" si="57"/>
        <v>0</v>
      </c>
      <c r="S266" s="141">
        <f t="shared" si="58"/>
        <v>0</v>
      </c>
      <c r="T266" s="137">
        <f t="shared" si="59"/>
        <v>0</v>
      </c>
      <c r="U266" s="137">
        <f>ROUND(VERİLER!$F$9*T266,3)</f>
        <v>0</v>
      </c>
      <c r="V266" s="336">
        <f t="shared" si="60"/>
        <v>0</v>
      </c>
      <c r="W266" s="113"/>
      <c r="X266" s="113"/>
      <c r="Y266" s="113"/>
    </row>
    <row r="267" spans="1:25" s="143" customFormat="1" ht="15" customHeight="1" x14ac:dyDescent="0.2">
      <c r="A267" s="299" t="str">
        <f>IF('İşçi Bilgileri'!A265="","",'İşçi Bilgileri'!A265)</f>
        <v/>
      </c>
      <c r="B267" s="300" t="str">
        <f>IF($A267="","",VLOOKUP($A267,'İşçi Bilgileri'!$A$2:$D$700,4,FALSE))</f>
        <v/>
      </c>
      <c r="C267" s="301" t="str">
        <f>CONCATENATE(IF($A267="","",VLOOKUP($A267,'İşçi Bilgileri'!$A$2:$D$700,2,FALSE))," ",IF($A267="","",VLOOKUP($A267,'İşçi Bilgileri'!$A$2:$D$700,3,FALSE)))</f>
        <v xml:space="preserve"> </v>
      </c>
      <c r="D267" s="137" t="str">
        <f>IF($A267="","",VERİLER!$C$5)</f>
        <v/>
      </c>
      <c r="E267" s="138" t="str">
        <f>IF($A267="","",Puantaj!AJ272)</f>
        <v/>
      </c>
      <c r="F267" s="137">
        <f t="shared" si="49"/>
        <v>0</v>
      </c>
      <c r="G267" s="137"/>
      <c r="H267" s="137">
        <f t="shared" si="50"/>
        <v>0</v>
      </c>
      <c r="I267" s="137">
        <f t="shared" si="51"/>
        <v>0</v>
      </c>
      <c r="J267" s="137">
        <f>IF(F267&gt;VERİLER!$C$7,'İşçi Bilgileri'!M265+(F267-VERİLER!$C$7),0)</f>
        <v>0</v>
      </c>
      <c r="K267" s="137">
        <f>IF(VERİLER!$C$11&gt;0,ROUND(J267*0.15,2),0)</f>
        <v>0</v>
      </c>
      <c r="L267" s="359">
        <f t="shared" si="52"/>
        <v>0</v>
      </c>
      <c r="M267" s="139">
        <f t="shared" si="53"/>
        <v>0</v>
      </c>
      <c r="N267" s="137">
        <f t="shared" si="54"/>
        <v>0</v>
      </c>
      <c r="O267" s="359">
        <f t="shared" si="55"/>
        <v>0</v>
      </c>
      <c r="P267" s="140">
        <f t="shared" si="56"/>
        <v>0</v>
      </c>
      <c r="Q267" s="140">
        <v>0</v>
      </c>
      <c r="R267" s="137">
        <f t="shared" si="57"/>
        <v>0</v>
      </c>
      <c r="S267" s="141">
        <f t="shared" si="58"/>
        <v>0</v>
      </c>
      <c r="T267" s="137">
        <f t="shared" si="59"/>
        <v>0</v>
      </c>
      <c r="U267" s="137">
        <f>ROUND(VERİLER!$F$9*T267,3)</f>
        <v>0</v>
      </c>
      <c r="V267" s="336">
        <f t="shared" si="60"/>
        <v>0</v>
      </c>
      <c r="W267" s="113"/>
      <c r="X267" s="113"/>
      <c r="Y267" s="113"/>
    </row>
    <row r="268" spans="1:25" s="143" customFormat="1" ht="15" customHeight="1" x14ac:dyDescent="0.2">
      <c r="A268" s="299" t="str">
        <f>IF('İşçi Bilgileri'!A266="","",'İşçi Bilgileri'!A266)</f>
        <v/>
      </c>
      <c r="B268" s="300" t="str">
        <f>IF($A268="","",VLOOKUP($A268,'İşçi Bilgileri'!$A$2:$D$700,4,FALSE))</f>
        <v/>
      </c>
      <c r="C268" s="301" t="str">
        <f>CONCATENATE(IF($A268="","",VLOOKUP($A268,'İşçi Bilgileri'!$A$2:$D$700,2,FALSE))," ",IF($A268="","",VLOOKUP($A268,'İşçi Bilgileri'!$A$2:$D$700,3,FALSE)))</f>
        <v xml:space="preserve"> </v>
      </c>
      <c r="D268" s="137" t="str">
        <f>IF($A268="","",VERİLER!$C$5)</f>
        <v/>
      </c>
      <c r="E268" s="138" t="str">
        <f>IF($A268="","",Puantaj!AJ273)</f>
        <v/>
      </c>
      <c r="F268" s="137">
        <f t="shared" si="49"/>
        <v>0</v>
      </c>
      <c r="G268" s="137"/>
      <c r="H268" s="137">
        <f t="shared" si="50"/>
        <v>0</v>
      </c>
      <c r="I268" s="137">
        <f t="shared" si="51"/>
        <v>0</v>
      </c>
      <c r="J268" s="137">
        <f>IF(F268&gt;VERİLER!$C$7,'İşçi Bilgileri'!M266+(F268-VERİLER!$C$7),0)</f>
        <v>0</v>
      </c>
      <c r="K268" s="137">
        <f>IF(VERİLER!$C$11&gt;0,ROUND(J268*0.15,2),0)</f>
        <v>0</v>
      </c>
      <c r="L268" s="359">
        <f t="shared" si="52"/>
        <v>0</v>
      </c>
      <c r="M268" s="139">
        <f t="shared" si="53"/>
        <v>0</v>
      </c>
      <c r="N268" s="137">
        <f t="shared" si="54"/>
        <v>0</v>
      </c>
      <c r="O268" s="359">
        <f t="shared" si="55"/>
        <v>0</v>
      </c>
      <c r="P268" s="140">
        <f t="shared" si="56"/>
        <v>0</v>
      </c>
      <c r="Q268" s="140">
        <v>0</v>
      </c>
      <c r="R268" s="137">
        <f t="shared" si="57"/>
        <v>0</v>
      </c>
      <c r="S268" s="141">
        <f t="shared" si="58"/>
        <v>0</v>
      </c>
      <c r="T268" s="137">
        <f t="shared" si="59"/>
        <v>0</v>
      </c>
      <c r="U268" s="137">
        <f>ROUND(VERİLER!$F$9*T268,3)</f>
        <v>0</v>
      </c>
      <c r="V268" s="336">
        <f t="shared" si="60"/>
        <v>0</v>
      </c>
      <c r="W268" s="113"/>
      <c r="X268" s="113"/>
      <c r="Y268" s="113"/>
    </row>
    <row r="269" spans="1:25" s="143" customFormat="1" ht="15" customHeight="1" x14ac:dyDescent="0.2">
      <c r="A269" s="299" t="str">
        <f>IF('İşçi Bilgileri'!A267="","",'İşçi Bilgileri'!A267)</f>
        <v/>
      </c>
      <c r="B269" s="300" t="str">
        <f>IF($A269="","",VLOOKUP($A269,'İşçi Bilgileri'!$A$2:$D$700,4,FALSE))</f>
        <v/>
      </c>
      <c r="C269" s="301" t="str">
        <f>CONCATENATE(IF($A269="","",VLOOKUP($A269,'İşçi Bilgileri'!$A$2:$D$700,2,FALSE))," ",IF($A269="","",VLOOKUP($A269,'İşçi Bilgileri'!$A$2:$D$700,3,FALSE)))</f>
        <v xml:space="preserve"> </v>
      </c>
      <c r="D269" s="137" t="str">
        <f>IF($A269="","",VERİLER!$C$5)</f>
        <v/>
      </c>
      <c r="E269" s="138" t="str">
        <f>IF($A269="","",Puantaj!AJ274)</f>
        <v/>
      </c>
      <c r="F269" s="137">
        <f t="shared" si="49"/>
        <v>0</v>
      </c>
      <c r="G269" s="137"/>
      <c r="H269" s="137">
        <f t="shared" si="50"/>
        <v>0</v>
      </c>
      <c r="I269" s="137">
        <f t="shared" si="51"/>
        <v>0</v>
      </c>
      <c r="J269" s="137">
        <f>IF(F269&gt;VERİLER!$C$7,'İşçi Bilgileri'!M267+(F269-VERİLER!$C$7),0)</f>
        <v>0</v>
      </c>
      <c r="K269" s="137">
        <f>IF(VERİLER!$C$11&gt;0,ROUND(J269*0.15,2),0)</f>
        <v>0</v>
      </c>
      <c r="L269" s="359">
        <f t="shared" si="52"/>
        <v>0</v>
      </c>
      <c r="M269" s="139">
        <f t="shared" si="53"/>
        <v>0</v>
      </c>
      <c r="N269" s="137">
        <f t="shared" si="54"/>
        <v>0</v>
      </c>
      <c r="O269" s="359">
        <f t="shared" si="55"/>
        <v>0</v>
      </c>
      <c r="P269" s="140">
        <f t="shared" si="56"/>
        <v>0</v>
      </c>
      <c r="Q269" s="140">
        <v>0</v>
      </c>
      <c r="R269" s="137">
        <f t="shared" si="57"/>
        <v>0</v>
      </c>
      <c r="S269" s="141">
        <f t="shared" si="58"/>
        <v>0</v>
      </c>
      <c r="T269" s="137">
        <f t="shared" si="59"/>
        <v>0</v>
      </c>
      <c r="U269" s="137">
        <f>ROUND(VERİLER!$F$9*T269,3)</f>
        <v>0</v>
      </c>
      <c r="V269" s="336">
        <f t="shared" si="60"/>
        <v>0</v>
      </c>
      <c r="W269" s="113"/>
      <c r="X269" s="113"/>
      <c r="Y269" s="113"/>
    </row>
    <row r="270" spans="1:25" s="143" customFormat="1" ht="15" customHeight="1" x14ac:dyDescent="0.2">
      <c r="A270" s="299" t="str">
        <f>IF('İşçi Bilgileri'!A268="","",'İşçi Bilgileri'!A268)</f>
        <v/>
      </c>
      <c r="B270" s="300" t="str">
        <f>IF($A270="","",VLOOKUP($A270,'İşçi Bilgileri'!$A$2:$D$700,4,FALSE))</f>
        <v/>
      </c>
      <c r="C270" s="301" t="str">
        <f>CONCATENATE(IF($A270="","",VLOOKUP($A270,'İşçi Bilgileri'!$A$2:$D$700,2,FALSE))," ",IF($A270="","",VLOOKUP($A270,'İşçi Bilgileri'!$A$2:$D$700,3,FALSE)))</f>
        <v xml:space="preserve"> </v>
      </c>
      <c r="D270" s="137" t="str">
        <f>IF($A270="","",VERİLER!$C$5)</f>
        <v/>
      </c>
      <c r="E270" s="138" t="str">
        <f>IF($A270="","",Puantaj!AJ275)</f>
        <v/>
      </c>
      <c r="F270" s="137">
        <f t="shared" si="49"/>
        <v>0</v>
      </c>
      <c r="G270" s="137"/>
      <c r="H270" s="137">
        <f t="shared" si="50"/>
        <v>0</v>
      </c>
      <c r="I270" s="137">
        <f t="shared" si="51"/>
        <v>0</v>
      </c>
      <c r="J270" s="137">
        <f>IF(F270&gt;VERİLER!$C$7,'İşçi Bilgileri'!M268+(F270-VERİLER!$C$7),0)</f>
        <v>0</v>
      </c>
      <c r="K270" s="137">
        <f>IF(VERİLER!$C$11&gt;0,ROUND(J270*0.15,2),0)</f>
        <v>0</v>
      </c>
      <c r="L270" s="359">
        <f t="shared" si="52"/>
        <v>0</v>
      </c>
      <c r="M270" s="139">
        <f t="shared" si="53"/>
        <v>0</v>
      </c>
      <c r="N270" s="137">
        <f t="shared" si="54"/>
        <v>0</v>
      </c>
      <c r="O270" s="359">
        <f t="shared" si="55"/>
        <v>0</v>
      </c>
      <c r="P270" s="140">
        <f t="shared" si="56"/>
        <v>0</v>
      </c>
      <c r="Q270" s="140">
        <v>0</v>
      </c>
      <c r="R270" s="137">
        <f t="shared" si="57"/>
        <v>0</v>
      </c>
      <c r="S270" s="141">
        <f t="shared" si="58"/>
        <v>0</v>
      </c>
      <c r="T270" s="137">
        <f t="shared" si="59"/>
        <v>0</v>
      </c>
      <c r="U270" s="137">
        <f>ROUND(VERİLER!$F$9*T270,3)</f>
        <v>0</v>
      </c>
      <c r="V270" s="336">
        <f t="shared" si="60"/>
        <v>0</v>
      </c>
      <c r="W270" s="113"/>
      <c r="X270" s="113"/>
      <c r="Y270" s="113"/>
    </row>
    <row r="271" spans="1:25" s="143" customFormat="1" ht="15" customHeight="1" x14ac:dyDescent="0.2">
      <c r="A271" s="299" t="str">
        <f>IF('İşçi Bilgileri'!A269="","",'İşçi Bilgileri'!A269)</f>
        <v/>
      </c>
      <c r="B271" s="300" t="str">
        <f>IF($A271="","",VLOOKUP($A271,'İşçi Bilgileri'!$A$2:$D$700,4,FALSE))</f>
        <v/>
      </c>
      <c r="C271" s="301" t="str">
        <f>CONCATENATE(IF($A271="","",VLOOKUP($A271,'İşçi Bilgileri'!$A$2:$D$700,2,FALSE))," ",IF($A271="","",VLOOKUP($A271,'İşçi Bilgileri'!$A$2:$D$700,3,FALSE)))</f>
        <v xml:space="preserve"> </v>
      </c>
      <c r="D271" s="137" t="str">
        <f>IF($A271="","",VERİLER!$C$5)</f>
        <v/>
      </c>
      <c r="E271" s="138" t="str">
        <f>IF($A271="","",Puantaj!AJ276)</f>
        <v/>
      </c>
      <c r="F271" s="137">
        <f t="shared" si="49"/>
        <v>0</v>
      </c>
      <c r="G271" s="137"/>
      <c r="H271" s="137">
        <f t="shared" si="50"/>
        <v>0</v>
      </c>
      <c r="I271" s="137">
        <f t="shared" si="51"/>
        <v>0</v>
      </c>
      <c r="J271" s="137">
        <f>IF(F271&gt;VERİLER!$C$7,'İşçi Bilgileri'!M269+(F271-VERİLER!$C$7),0)</f>
        <v>0</v>
      </c>
      <c r="K271" s="137">
        <f>IF(VERİLER!$C$11&gt;0,ROUND(J271*0.15,2),0)</f>
        <v>0</v>
      </c>
      <c r="L271" s="359">
        <f t="shared" si="52"/>
        <v>0</v>
      </c>
      <c r="M271" s="139">
        <f t="shared" si="53"/>
        <v>0</v>
      </c>
      <c r="N271" s="137">
        <f t="shared" si="54"/>
        <v>0</v>
      </c>
      <c r="O271" s="359">
        <f t="shared" si="55"/>
        <v>0</v>
      </c>
      <c r="P271" s="140">
        <f t="shared" si="56"/>
        <v>0</v>
      </c>
      <c r="Q271" s="140">
        <v>0</v>
      </c>
      <c r="R271" s="137">
        <f t="shared" si="57"/>
        <v>0</v>
      </c>
      <c r="S271" s="141">
        <f t="shared" si="58"/>
        <v>0</v>
      </c>
      <c r="T271" s="137">
        <f t="shared" si="59"/>
        <v>0</v>
      </c>
      <c r="U271" s="137">
        <f>ROUND(VERİLER!$F$9*T271,3)</f>
        <v>0</v>
      </c>
      <c r="V271" s="336">
        <f t="shared" si="60"/>
        <v>0</v>
      </c>
      <c r="W271" s="113"/>
      <c r="X271" s="113"/>
      <c r="Y271" s="113"/>
    </row>
    <row r="272" spans="1:25" s="143" customFormat="1" ht="15" customHeight="1" x14ac:dyDescent="0.2">
      <c r="A272" s="299" t="str">
        <f>IF('İşçi Bilgileri'!A270="","",'İşçi Bilgileri'!A270)</f>
        <v/>
      </c>
      <c r="B272" s="300" t="str">
        <f>IF($A272="","",VLOOKUP($A272,'İşçi Bilgileri'!$A$2:$D$700,4,FALSE))</f>
        <v/>
      </c>
      <c r="C272" s="301" t="str">
        <f>CONCATENATE(IF($A272="","",VLOOKUP($A272,'İşçi Bilgileri'!$A$2:$D$700,2,FALSE))," ",IF($A272="","",VLOOKUP($A272,'İşçi Bilgileri'!$A$2:$D$700,3,FALSE)))</f>
        <v xml:space="preserve"> </v>
      </c>
      <c r="D272" s="137" t="str">
        <f>IF($A272="","",VERİLER!$C$5)</f>
        <v/>
      </c>
      <c r="E272" s="138" t="str">
        <f>IF($A272="","",Puantaj!AJ277)</f>
        <v/>
      </c>
      <c r="F272" s="137">
        <f t="shared" si="49"/>
        <v>0</v>
      </c>
      <c r="G272" s="137"/>
      <c r="H272" s="137">
        <f t="shared" si="50"/>
        <v>0</v>
      </c>
      <c r="I272" s="137">
        <f t="shared" si="51"/>
        <v>0</v>
      </c>
      <c r="J272" s="137">
        <f>IF(F272&gt;VERİLER!$C$7,'İşçi Bilgileri'!M270+(F272-VERİLER!$C$7),0)</f>
        <v>0</v>
      </c>
      <c r="K272" s="137">
        <f>IF(VERİLER!$C$11&gt;0,ROUND(J272*0.15,2),0)</f>
        <v>0</v>
      </c>
      <c r="L272" s="359">
        <f t="shared" si="52"/>
        <v>0</v>
      </c>
      <c r="M272" s="139">
        <f t="shared" si="53"/>
        <v>0</v>
      </c>
      <c r="N272" s="137">
        <f t="shared" si="54"/>
        <v>0</v>
      </c>
      <c r="O272" s="359">
        <f t="shared" si="55"/>
        <v>0</v>
      </c>
      <c r="P272" s="140">
        <f t="shared" si="56"/>
        <v>0</v>
      </c>
      <c r="Q272" s="140">
        <v>0</v>
      </c>
      <c r="R272" s="137">
        <f t="shared" si="57"/>
        <v>0</v>
      </c>
      <c r="S272" s="141">
        <f t="shared" si="58"/>
        <v>0</v>
      </c>
      <c r="T272" s="137">
        <f t="shared" si="59"/>
        <v>0</v>
      </c>
      <c r="U272" s="137">
        <f>ROUND(VERİLER!$F$9*T272,3)</f>
        <v>0</v>
      </c>
      <c r="V272" s="336">
        <f t="shared" si="60"/>
        <v>0</v>
      </c>
      <c r="W272" s="113"/>
      <c r="X272" s="113"/>
      <c r="Y272" s="113"/>
    </row>
    <row r="273" spans="1:25" s="143" customFormat="1" ht="15" customHeight="1" x14ac:dyDescent="0.2">
      <c r="A273" s="299" t="str">
        <f>IF('İşçi Bilgileri'!A271="","",'İşçi Bilgileri'!A271)</f>
        <v/>
      </c>
      <c r="B273" s="300" t="str">
        <f>IF($A273="","",VLOOKUP($A273,'İşçi Bilgileri'!$A$2:$D$700,4,FALSE))</f>
        <v/>
      </c>
      <c r="C273" s="301" t="str">
        <f>CONCATENATE(IF($A273="","",VLOOKUP($A273,'İşçi Bilgileri'!$A$2:$D$700,2,FALSE))," ",IF($A273="","",VLOOKUP($A273,'İşçi Bilgileri'!$A$2:$D$700,3,FALSE)))</f>
        <v xml:space="preserve"> </v>
      </c>
      <c r="D273" s="137" t="str">
        <f>IF($A273="","",VERİLER!$C$5)</f>
        <v/>
      </c>
      <c r="E273" s="138" t="str">
        <f>IF($A273="","",Puantaj!AJ278)</f>
        <v/>
      </c>
      <c r="F273" s="137">
        <f t="shared" si="49"/>
        <v>0</v>
      </c>
      <c r="G273" s="137"/>
      <c r="H273" s="137">
        <f t="shared" si="50"/>
        <v>0</v>
      </c>
      <c r="I273" s="137">
        <f t="shared" si="51"/>
        <v>0</v>
      </c>
      <c r="J273" s="137">
        <f>IF(F273&gt;VERİLER!$C$7,'İşçi Bilgileri'!M271+(F273-VERİLER!$C$7),0)</f>
        <v>0</v>
      </c>
      <c r="K273" s="137">
        <f>IF(VERİLER!$C$11&gt;0,ROUND(J273*0.15,2),0)</f>
        <v>0</v>
      </c>
      <c r="L273" s="359">
        <f t="shared" si="52"/>
        <v>0</v>
      </c>
      <c r="M273" s="139">
        <f t="shared" si="53"/>
        <v>0</v>
      </c>
      <c r="N273" s="137">
        <f t="shared" si="54"/>
        <v>0</v>
      </c>
      <c r="O273" s="359">
        <f t="shared" si="55"/>
        <v>0</v>
      </c>
      <c r="P273" s="140">
        <f t="shared" si="56"/>
        <v>0</v>
      </c>
      <c r="Q273" s="140">
        <v>0</v>
      </c>
      <c r="R273" s="137">
        <f t="shared" si="57"/>
        <v>0</v>
      </c>
      <c r="S273" s="141">
        <f t="shared" si="58"/>
        <v>0</v>
      </c>
      <c r="T273" s="137">
        <f t="shared" si="59"/>
        <v>0</v>
      </c>
      <c r="U273" s="137">
        <f>ROUND(VERİLER!$F$9*T273,3)</f>
        <v>0</v>
      </c>
      <c r="V273" s="336">
        <f t="shared" si="60"/>
        <v>0</v>
      </c>
      <c r="W273" s="113"/>
      <c r="X273" s="113"/>
      <c r="Y273" s="113"/>
    </row>
    <row r="274" spans="1:25" s="337" customFormat="1" ht="15" customHeight="1" x14ac:dyDescent="0.2">
      <c r="A274" s="299" t="str">
        <f>IF('İşçi Bilgileri'!A272="","",'İşçi Bilgileri'!A272)</f>
        <v/>
      </c>
      <c r="B274" s="300" t="str">
        <f>IF($A274="","",VLOOKUP($A274,'İşçi Bilgileri'!$A$2:$D$700,4,FALSE))</f>
        <v/>
      </c>
      <c r="C274" s="301" t="str">
        <f>CONCATENATE(IF($A274="","",VLOOKUP($A274,'İşçi Bilgileri'!$A$2:$D$700,2,FALSE))," ",IF($A274="","",VLOOKUP($A274,'İşçi Bilgileri'!$A$2:$D$700,3,FALSE)))</f>
        <v xml:space="preserve"> </v>
      </c>
      <c r="D274" s="137" t="str">
        <f>IF($A274="","",VERİLER!$C$5)</f>
        <v/>
      </c>
      <c r="E274" s="138" t="str">
        <f>IF($A274="","",Puantaj!AJ279)</f>
        <v/>
      </c>
      <c r="F274" s="137">
        <f t="shared" si="49"/>
        <v>0</v>
      </c>
      <c r="G274" s="137"/>
      <c r="H274" s="137">
        <f t="shared" si="50"/>
        <v>0</v>
      </c>
      <c r="I274" s="137">
        <f t="shared" si="51"/>
        <v>0</v>
      </c>
      <c r="J274" s="137">
        <f>IF(F274&gt;VERİLER!$C$7,'İşçi Bilgileri'!M272+(F274-VERİLER!$C$7),0)</f>
        <v>0</v>
      </c>
      <c r="K274" s="137">
        <f>IF(VERİLER!$C$11&gt;0,ROUND(J274*0.15,2),0)</f>
        <v>0</v>
      </c>
      <c r="L274" s="359">
        <f t="shared" si="52"/>
        <v>0</v>
      </c>
      <c r="M274" s="139">
        <f t="shared" si="53"/>
        <v>0</v>
      </c>
      <c r="N274" s="137">
        <f t="shared" si="54"/>
        <v>0</v>
      </c>
      <c r="O274" s="359">
        <f t="shared" si="55"/>
        <v>0</v>
      </c>
      <c r="P274" s="140">
        <f t="shared" si="56"/>
        <v>0</v>
      </c>
      <c r="Q274" s="140">
        <v>0</v>
      </c>
      <c r="R274" s="137">
        <f t="shared" si="57"/>
        <v>0</v>
      </c>
      <c r="S274" s="141">
        <f t="shared" si="58"/>
        <v>0</v>
      </c>
      <c r="T274" s="137">
        <f t="shared" si="59"/>
        <v>0</v>
      </c>
      <c r="U274" s="137">
        <f>ROUND(VERİLER!$F$9*T274,3)</f>
        <v>0</v>
      </c>
      <c r="V274" s="336">
        <f t="shared" si="60"/>
        <v>0</v>
      </c>
      <c r="W274" s="335"/>
      <c r="X274" s="335"/>
      <c r="Y274" s="335"/>
    </row>
    <row r="275" spans="1:25" s="337" customFormat="1" ht="15" customHeight="1" x14ac:dyDescent="0.2">
      <c r="A275" s="299" t="str">
        <f>IF('İşçi Bilgileri'!A273="","",'İşçi Bilgileri'!A273)</f>
        <v/>
      </c>
      <c r="B275" s="300" t="str">
        <f>IF($A275="","",VLOOKUP($A275,'İşçi Bilgileri'!$A$2:$D$700,4,FALSE))</f>
        <v/>
      </c>
      <c r="C275" s="301" t="str">
        <f>CONCATENATE(IF($A275="","",VLOOKUP($A275,'İşçi Bilgileri'!$A$2:$D$700,2,FALSE))," ",IF($A275="","",VLOOKUP($A275,'İşçi Bilgileri'!$A$2:$D$700,3,FALSE)))</f>
        <v xml:space="preserve"> </v>
      </c>
      <c r="D275" s="137" t="str">
        <f>IF($A275="","",VERİLER!$C$5)</f>
        <v/>
      </c>
      <c r="E275" s="138" t="str">
        <f>IF($A275="","",Puantaj!AJ280)</f>
        <v/>
      </c>
      <c r="F275" s="137">
        <f t="shared" si="49"/>
        <v>0</v>
      </c>
      <c r="G275" s="137"/>
      <c r="H275" s="137">
        <f t="shared" si="50"/>
        <v>0</v>
      </c>
      <c r="I275" s="137">
        <f t="shared" si="51"/>
        <v>0</v>
      </c>
      <c r="J275" s="137">
        <f>IF(F275&gt;VERİLER!$C$7,'İşçi Bilgileri'!M273+(F275-VERİLER!$C$7),0)</f>
        <v>0</v>
      </c>
      <c r="K275" s="137">
        <f>IF(VERİLER!$C$11&gt;0,ROUND(J275*0.15,2),0)</f>
        <v>0</v>
      </c>
      <c r="L275" s="359">
        <f t="shared" si="52"/>
        <v>0</v>
      </c>
      <c r="M275" s="139">
        <f t="shared" si="53"/>
        <v>0</v>
      </c>
      <c r="N275" s="137">
        <f t="shared" si="54"/>
        <v>0</v>
      </c>
      <c r="O275" s="359">
        <f t="shared" si="55"/>
        <v>0</v>
      </c>
      <c r="P275" s="140">
        <f t="shared" si="56"/>
        <v>0</v>
      </c>
      <c r="Q275" s="140">
        <v>0</v>
      </c>
      <c r="R275" s="137">
        <f t="shared" si="57"/>
        <v>0</v>
      </c>
      <c r="S275" s="141">
        <f t="shared" si="58"/>
        <v>0</v>
      </c>
      <c r="T275" s="137">
        <f t="shared" si="59"/>
        <v>0</v>
      </c>
      <c r="U275" s="137">
        <f>ROUND(VERİLER!$F$9*T275,3)</f>
        <v>0</v>
      </c>
      <c r="V275" s="336">
        <f t="shared" si="60"/>
        <v>0</v>
      </c>
      <c r="W275" s="335"/>
      <c r="X275" s="335"/>
      <c r="Y275" s="335"/>
    </row>
    <row r="276" spans="1:25" s="337" customFormat="1" ht="15" customHeight="1" x14ac:dyDescent="0.2">
      <c r="A276" s="299" t="str">
        <f>IF('İşçi Bilgileri'!A274="","",'İşçi Bilgileri'!A274)</f>
        <v/>
      </c>
      <c r="B276" s="300" t="str">
        <f>IF($A276="","",VLOOKUP($A276,'İşçi Bilgileri'!$A$2:$D$700,4,FALSE))</f>
        <v/>
      </c>
      <c r="C276" s="301" t="str">
        <f>CONCATENATE(IF($A276="","",VLOOKUP($A276,'İşçi Bilgileri'!$A$2:$D$700,2,FALSE))," ",IF($A276="","",VLOOKUP($A276,'İşçi Bilgileri'!$A$2:$D$700,3,FALSE)))</f>
        <v xml:space="preserve"> </v>
      </c>
      <c r="D276" s="137" t="str">
        <f>IF($A276="","",VERİLER!$C$5)</f>
        <v/>
      </c>
      <c r="E276" s="138" t="str">
        <f>IF($A276="","",Puantaj!AJ281)</f>
        <v/>
      </c>
      <c r="F276" s="137">
        <f t="shared" si="49"/>
        <v>0</v>
      </c>
      <c r="G276" s="137"/>
      <c r="H276" s="137">
        <f t="shared" si="50"/>
        <v>0</v>
      </c>
      <c r="I276" s="137">
        <f t="shared" si="51"/>
        <v>0</v>
      </c>
      <c r="J276" s="137">
        <f>IF(F276&gt;VERİLER!$C$7,'İşçi Bilgileri'!M274+(F276-VERİLER!$C$7),0)</f>
        <v>0</v>
      </c>
      <c r="K276" s="137">
        <f>IF(VERİLER!$C$11&gt;0,ROUND(J276*0.15,2),0)</f>
        <v>0</v>
      </c>
      <c r="L276" s="359">
        <f t="shared" si="52"/>
        <v>0</v>
      </c>
      <c r="M276" s="139">
        <f t="shared" si="53"/>
        <v>0</v>
      </c>
      <c r="N276" s="137">
        <f t="shared" si="54"/>
        <v>0</v>
      </c>
      <c r="O276" s="359">
        <f t="shared" si="55"/>
        <v>0</v>
      </c>
      <c r="P276" s="140">
        <f t="shared" si="56"/>
        <v>0</v>
      </c>
      <c r="Q276" s="140">
        <v>0</v>
      </c>
      <c r="R276" s="137">
        <f t="shared" si="57"/>
        <v>0</v>
      </c>
      <c r="S276" s="141">
        <f t="shared" si="58"/>
        <v>0</v>
      </c>
      <c r="T276" s="137">
        <f t="shared" si="59"/>
        <v>0</v>
      </c>
      <c r="U276" s="137">
        <f>ROUND(VERİLER!$F$9*T276,3)</f>
        <v>0</v>
      </c>
      <c r="V276" s="336">
        <f t="shared" si="60"/>
        <v>0</v>
      </c>
      <c r="W276" s="335"/>
      <c r="X276" s="335"/>
      <c r="Y276" s="335"/>
    </row>
    <row r="277" spans="1:25" s="337" customFormat="1" ht="15" customHeight="1" x14ac:dyDescent="0.2">
      <c r="A277" s="299" t="str">
        <f>IF('İşçi Bilgileri'!A275="","",'İşçi Bilgileri'!A275)</f>
        <v/>
      </c>
      <c r="B277" s="300" t="str">
        <f>IF($A277="","",VLOOKUP($A277,'İşçi Bilgileri'!$A$2:$D$700,4,FALSE))</f>
        <v/>
      </c>
      <c r="C277" s="301" t="str">
        <f>CONCATENATE(IF($A277="","",VLOOKUP($A277,'İşçi Bilgileri'!$A$2:$D$700,2,FALSE))," ",IF($A277="","",VLOOKUP($A277,'İşçi Bilgileri'!$A$2:$D$700,3,FALSE)))</f>
        <v xml:space="preserve"> </v>
      </c>
      <c r="D277" s="137" t="str">
        <f>IF($A277="","",VERİLER!$C$5)</f>
        <v/>
      </c>
      <c r="E277" s="138" t="str">
        <f>IF($A277="","",Puantaj!AJ282)</f>
        <v/>
      </c>
      <c r="F277" s="137">
        <f t="shared" si="49"/>
        <v>0</v>
      </c>
      <c r="G277" s="137"/>
      <c r="H277" s="137">
        <f t="shared" si="50"/>
        <v>0</v>
      </c>
      <c r="I277" s="137">
        <f t="shared" si="51"/>
        <v>0</v>
      </c>
      <c r="J277" s="137">
        <f>IF(F277&gt;VERİLER!$C$7,'İşçi Bilgileri'!M275+(F277-VERİLER!$C$7),0)</f>
        <v>0</v>
      </c>
      <c r="K277" s="137">
        <f>IF(VERİLER!$C$11&gt;0,ROUND(J277*0.15,2),0)</f>
        <v>0</v>
      </c>
      <c r="L277" s="359">
        <f t="shared" si="52"/>
        <v>0</v>
      </c>
      <c r="M277" s="139">
        <f t="shared" si="53"/>
        <v>0</v>
      </c>
      <c r="N277" s="137">
        <f t="shared" si="54"/>
        <v>0</v>
      </c>
      <c r="O277" s="359">
        <f t="shared" si="55"/>
        <v>0</v>
      </c>
      <c r="P277" s="140">
        <f t="shared" si="56"/>
        <v>0</v>
      </c>
      <c r="Q277" s="140">
        <v>0</v>
      </c>
      <c r="R277" s="137">
        <f t="shared" si="57"/>
        <v>0</v>
      </c>
      <c r="S277" s="141">
        <f t="shared" si="58"/>
        <v>0</v>
      </c>
      <c r="T277" s="137">
        <f t="shared" si="59"/>
        <v>0</v>
      </c>
      <c r="U277" s="137">
        <f>ROUND(VERİLER!$F$9*T277,3)</f>
        <v>0</v>
      </c>
      <c r="V277" s="336">
        <f t="shared" si="60"/>
        <v>0</v>
      </c>
      <c r="W277" s="335"/>
      <c r="X277" s="335"/>
      <c r="Y277" s="335"/>
    </row>
    <row r="278" spans="1:25" s="337" customFormat="1" ht="15" customHeight="1" x14ac:dyDescent="0.2">
      <c r="A278" s="299" t="str">
        <f>IF('İşçi Bilgileri'!A276="","",'İşçi Bilgileri'!A276)</f>
        <v/>
      </c>
      <c r="B278" s="300" t="str">
        <f>IF($A278="","",VLOOKUP($A278,'İşçi Bilgileri'!$A$2:$D$700,4,FALSE))</f>
        <v/>
      </c>
      <c r="C278" s="301" t="str">
        <f>CONCATENATE(IF($A278="","",VLOOKUP($A278,'İşçi Bilgileri'!$A$2:$D$700,2,FALSE))," ",IF($A278="","",VLOOKUP($A278,'İşçi Bilgileri'!$A$2:$D$700,3,FALSE)))</f>
        <v xml:space="preserve"> </v>
      </c>
      <c r="D278" s="137" t="str">
        <f>IF($A278="","",VERİLER!$C$5)</f>
        <v/>
      </c>
      <c r="E278" s="138" t="str">
        <f>IF($A278="","",Puantaj!AJ283)</f>
        <v/>
      </c>
      <c r="F278" s="137">
        <f t="shared" si="49"/>
        <v>0</v>
      </c>
      <c r="G278" s="137"/>
      <c r="H278" s="137">
        <f t="shared" si="50"/>
        <v>0</v>
      </c>
      <c r="I278" s="137">
        <f t="shared" si="51"/>
        <v>0</v>
      </c>
      <c r="J278" s="137">
        <f>IF(F278&gt;VERİLER!$C$7,'İşçi Bilgileri'!M276+(F278-VERİLER!$C$7),0)</f>
        <v>0</v>
      </c>
      <c r="K278" s="137">
        <f>IF(VERİLER!$C$11&gt;0,ROUND(J278*0.15,2),0)</f>
        <v>0</v>
      </c>
      <c r="L278" s="359">
        <f t="shared" si="52"/>
        <v>0</v>
      </c>
      <c r="M278" s="139">
        <f t="shared" si="53"/>
        <v>0</v>
      </c>
      <c r="N278" s="137">
        <f t="shared" si="54"/>
        <v>0</v>
      </c>
      <c r="O278" s="359">
        <f t="shared" si="55"/>
        <v>0</v>
      </c>
      <c r="P278" s="140">
        <f t="shared" si="56"/>
        <v>0</v>
      </c>
      <c r="Q278" s="140">
        <v>0</v>
      </c>
      <c r="R278" s="137">
        <f t="shared" si="57"/>
        <v>0</v>
      </c>
      <c r="S278" s="141">
        <f t="shared" si="58"/>
        <v>0</v>
      </c>
      <c r="T278" s="137">
        <f t="shared" si="59"/>
        <v>0</v>
      </c>
      <c r="U278" s="137">
        <f>ROUND(VERİLER!$F$9*T278,3)</f>
        <v>0</v>
      </c>
      <c r="V278" s="336">
        <f t="shared" si="60"/>
        <v>0</v>
      </c>
      <c r="W278" s="335"/>
      <c r="X278" s="335"/>
      <c r="Y278" s="335"/>
    </row>
    <row r="279" spans="1:25" s="337" customFormat="1" ht="15" customHeight="1" x14ac:dyDescent="0.2">
      <c r="A279" s="299" t="str">
        <f>IF('İşçi Bilgileri'!A277="","",'İşçi Bilgileri'!A277)</f>
        <v/>
      </c>
      <c r="B279" s="300" t="str">
        <f>IF($A279="","",VLOOKUP($A279,'İşçi Bilgileri'!$A$2:$D$700,4,FALSE))</f>
        <v/>
      </c>
      <c r="C279" s="301" t="str">
        <f>CONCATENATE(IF($A279="","",VLOOKUP($A279,'İşçi Bilgileri'!$A$2:$D$700,2,FALSE))," ",IF($A279="","",VLOOKUP($A279,'İşçi Bilgileri'!$A$2:$D$700,3,FALSE)))</f>
        <v xml:space="preserve"> </v>
      </c>
      <c r="D279" s="137" t="str">
        <f>IF($A279="","",VERİLER!$C$5)</f>
        <v/>
      </c>
      <c r="E279" s="138" t="str">
        <f>IF($A279="","",Puantaj!AJ284)</f>
        <v/>
      </c>
      <c r="F279" s="137">
        <f t="shared" si="49"/>
        <v>0</v>
      </c>
      <c r="G279" s="137"/>
      <c r="H279" s="137">
        <f t="shared" si="50"/>
        <v>0</v>
      </c>
      <c r="I279" s="137">
        <f t="shared" si="51"/>
        <v>0</v>
      </c>
      <c r="J279" s="137">
        <f>IF(F279&gt;VERİLER!$C$7,'İşçi Bilgileri'!M277+(F279-VERİLER!$C$7),0)</f>
        <v>0</v>
      </c>
      <c r="K279" s="137">
        <f>IF(VERİLER!$C$11&gt;0,ROUND(J279*0.15,2),0)</f>
        <v>0</v>
      </c>
      <c r="L279" s="359">
        <f t="shared" si="52"/>
        <v>0</v>
      </c>
      <c r="M279" s="139">
        <f t="shared" si="53"/>
        <v>0</v>
      </c>
      <c r="N279" s="137">
        <f t="shared" si="54"/>
        <v>0</v>
      </c>
      <c r="O279" s="359">
        <f t="shared" si="55"/>
        <v>0</v>
      </c>
      <c r="P279" s="140">
        <f t="shared" si="56"/>
        <v>0</v>
      </c>
      <c r="Q279" s="140">
        <v>0</v>
      </c>
      <c r="R279" s="137">
        <f t="shared" si="57"/>
        <v>0</v>
      </c>
      <c r="S279" s="141">
        <f t="shared" si="58"/>
        <v>0</v>
      </c>
      <c r="T279" s="137">
        <f t="shared" si="59"/>
        <v>0</v>
      </c>
      <c r="U279" s="137">
        <f>ROUND(VERİLER!$F$9*T279,3)</f>
        <v>0</v>
      </c>
      <c r="V279" s="336">
        <f t="shared" si="60"/>
        <v>0</v>
      </c>
      <c r="W279" s="335"/>
      <c r="X279" s="335"/>
      <c r="Y279" s="335"/>
    </row>
    <row r="280" spans="1:25" s="337" customFormat="1" ht="15" customHeight="1" x14ac:dyDescent="0.2">
      <c r="A280" s="299" t="str">
        <f>IF('İşçi Bilgileri'!A278="","",'İşçi Bilgileri'!A278)</f>
        <v/>
      </c>
      <c r="B280" s="300" t="str">
        <f>IF($A280="","",VLOOKUP($A280,'İşçi Bilgileri'!$A$2:$D$700,4,FALSE))</f>
        <v/>
      </c>
      <c r="C280" s="301" t="str">
        <f>CONCATENATE(IF($A280="","",VLOOKUP($A280,'İşçi Bilgileri'!$A$2:$D$700,2,FALSE))," ",IF($A280="","",VLOOKUP($A280,'İşçi Bilgileri'!$A$2:$D$700,3,FALSE)))</f>
        <v xml:space="preserve"> </v>
      </c>
      <c r="D280" s="137" t="str">
        <f>IF($A280="","",VERİLER!$C$5)</f>
        <v/>
      </c>
      <c r="E280" s="138" t="str">
        <f>IF($A280="","",Puantaj!AJ285)</f>
        <v/>
      </c>
      <c r="F280" s="137">
        <f t="shared" si="49"/>
        <v>0</v>
      </c>
      <c r="G280" s="137"/>
      <c r="H280" s="137">
        <f t="shared" si="50"/>
        <v>0</v>
      </c>
      <c r="I280" s="137">
        <f t="shared" si="51"/>
        <v>0</v>
      </c>
      <c r="J280" s="137">
        <f>IF(F280&gt;VERİLER!$C$7,'İşçi Bilgileri'!M278+(F280-VERİLER!$C$7),0)</f>
        <v>0</v>
      </c>
      <c r="K280" s="137">
        <f>IF(VERİLER!$C$11&gt;0,ROUND(J280*0.15,2),0)</f>
        <v>0</v>
      </c>
      <c r="L280" s="359">
        <f t="shared" si="52"/>
        <v>0</v>
      </c>
      <c r="M280" s="139">
        <f t="shared" si="53"/>
        <v>0</v>
      </c>
      <c r="N280" s="137">
        <f t="shared" si="54"/>
        <v>0</v>
      </c>
      <c r="O280" s="359">
        <f t="shared" si="55"/>
        <v>0</v>
      </c>
      <c r="P280" s="140">
        <f t="shared" si="56"/>
        <v>0</v>
      </c>
      <c r="Q280" s="140">
        <v>0</v>
      </c>
      <c r="R280" s="137">
        <f t="shared" si="57"/>
        <v>0</v>
      </c>
      <c r="S280" s="141">
        <f t="shared" si="58"/>
        <v>0</v>
      </c>
      <c r="T280" s="137">
        <f t="shared" si="59"/>
        <v>0</v>
      </c>
      <c r="U280" s="137">
        <f>ROUND(VERİLER!$F$9*T280,3)</f>
        <v>0</v>
      </c>
      <c r="V280" s="336">
        <f t="shared" si="60"/>
        <v>0</v>
      </c>
      <c r="W280" s="335"/>
      <c r="X280" s="335"/>
      <c r="Y280" s="335"/>
    </row>
    <row r="281" spans="1:25" s="337" customFormat="1" ht="15" customHeight="1" x14ac:dyDescent="0.2">
      <c r="A281" s="299" t="str">
        <f>IF('İşçi Bilgileri'!A279="","",'İşçi Bilgileri'!A279)</f>
        <v/>
      </c>
      <c r="B281" s="300" t="str">
        <f>IF($A281="","",VLOOKUP($A281,'İşçi Bilgileri'!$A$2:$D$700,4,FALSE))</f>
        <v/>
      </c>
      <c r="C281" s="301" t="str">
        <f>CONCATENATE(IF($A281="","",VLOOKUP($A281,'İşçi Bilgileri'!$A$2:$D$700,2,FALSE))," ",IF($A281="","",VLOOKUP($A281,'İşçi Bilgileri'!$A$2:$D$700,3,FALSE)))</f>
        <v xml:space="preserve"> </v>
      </c>
      <c r="D281" s="137" t="str">
        <f>IF($A281="","",VERİLER!$C$5)</f>
        <v/>
      </c>
      <c r="E281" s="138" t="str">
        <f>IF($A281="","",Puantaj!AJ286)</f>
        <v/>
      </c>
      <c r="F281" s="137">
        <f t="shared" si="49"/>
        <v>0</v>
      </c>
      <c r="G281" s="137"/>
      <c r="H281" s="137">
        <f t="shared" si="50"/>
        <v>0</v>
      </c>
      <c r="I281" s="137">
        <f t="shared" si="51"/>
        <v>0</v>
      </c>
      <c r="J281" s="137">
        <f>IF(F281&gt;VERİLER!$C$7,'İşçi Bilgileri'!M279+(F281-VERİLER!$C$7),0)</f>
        <v>0</v>
      </c>
      <c r="K281" s="137">
        <f>IF(VERİLER!$C$11&gt;0,ROUND(J281*0.15,2),0)</f>
        <v>0</v>
      </c>
      <c r="L281" s="359">
        <f t="shared" si="52"/>
        <v>0</v>
      </c>
      <c r="M281" s="139">
        <f t="shared" si="53"/>
        <v>0</v>
      </c>
      <c r="N281" s="137">
        <f t="shared" si="54"/>
        <v>0</v>
      </c>
      <c r="O281" s="359">
        <f t="shared" si="55"/>
        <v>0</v>
      </c>
      <c r="P281" s="140">
        <f t="shared" si="56"/>
        <v>0</v>
      </c>
      <c r="Q281" s="140">
        <v>0</v>
      </c>
      <c r="R281" s="137">
        <f t="shared" si="57"/>
        <v>0</v>
      </c>
      <c r="S281" s="141">
        <f t="shared" si="58"/>
        <v>0</v>
      </c>
      <c r="T281" s="137">
        <f t="shared" si="59"/>
        <v>0</v>
      </c>
      <c r="U281" s="137">
        <f>ROUND(VERİLER!$F$9*T281,3)</f>
        <v>0</v>
      </c>
      <c r="V281" s="336">
        <f t="shared" si="60"/>
        <v>0</v>
      </c>
      <c r="W281" s="335"/>
      <c r="X281" s="335"/>
      <c r="Y281" s="335"/>
    </row>
    <row r="282" spans="1:25" s="337" customFormat="1" ht="15" customHeight="1" x14ac:dyDescent="0.2">
      <c r="A282" s="299" t="str">
        <f>IF('İşçi Bilgileri'!A280="","",'İşçi Bilgileri'!A280)</f>
        <v/>
      </c>
      <c r="B282" s="300" t="str">
        <f>IF($A282="","",VLOOKUP($A282,'İşçi Bilgileri'!$A$2:$D$700,4,FALSE))</f>
        <v/>
      </c>
      <c r="C282" s="301" t="str">
        <f>CONCATENATE(IF($A282="","",VLOOKUP($A282,'İşçi Bilgileri'!$A$2:$D$700,2,FALSE))," ",IF($A282="","",VLOOKUP($A282,'İşçi Bilgileri'!$A$2:$D$700,3,FALSE)))</f>
        <v xml:space="preserve"> </v>
      </c>
      <c r="D282" s="137" t="str">
        <f>IF($A282="","",VERİLER!$C$5)</f>
        <v/>
      </c>
      <c r="E282" s="138" t="str">
        <f>IF($A282="","",Puantaj!AJ287)</f>
        <v/>
      </c>
      <c r="F282" s="137">
        <f t="shared" si="49"/>
        <v>0</v>
      </c>
      <c r="G282" s="137"/>
      <c r="H282" s="137">
        <f t="shared" si="50"/>
        <v>0</v>
      </c>
      <c r="I282" s="137">
        <f t="shared" si="51"/>
        <v>0</v>
      </c>
      <c r="J282" s="137">
        <f>IF(F282&gt;VERİLER!$C$7,'İşçi Bilgileri'!M280+(F282-VERİLER!$C$7),0)</f>
        <v>0</v>
      </c>
      <c r="K282" s="137">
        <f>IF(VERİLER!$C$11&gt;0,ROUND(J282*0.15,2),0)</f>
        <v>0</v>
      </c>
      <c r="L282" s="359">
        <f t="shared" si="52"/>
        <v>0</v>
      </c>
      <c r="M282" s="139">
        <f t="shared" si="53"/>
        <v>0</v>
      </c>
      <c r="N282" s="137">
        <f t="shared" si="54"/>
        <v>0</v>
      </c>
      <c r="O282" s="359">
        <f t="shared" si="55"/>
        <v>0</v>
      </c>
      <c r="P282" s="140">
        <f t="shared" si="56"/>
        <v>0</v>
      </c>
      <c r="Q282" s="140">
        <v>0</v>
      </c>
      <c r="R282" s="137">
        <f t="shared" si="57"/>
        <v>0</v>
      </c>
      <c r="S282" s="141">
        <f t="shared" si="58"/>
        <v>0</v>
      </c>
      <c r="T282" s="137">
        <f t="shared" si="59"/>
        <v>0</v>
      </c>
      <c r="U282" s="137">
        <f>ROUND(VERİLER!$F$9*T282,3)</f>
        <v>0</v>
      </c>
      <c r="V282" s="336">
        <f t="shared" si="60"/>
        <v>0</v>
      </c>
      <c r="W282" s="335"/>
      <c r="X282" s="335"/>
      <c r="Y282" s="335"/>
    </row>
    <row r="283" spans="1:25" s="337" customFormat="1" ht="15" customHeight="1" x14ac:dyDescent="0.2">
      <c r="A283" s="299" t="str">
        <f>IF('İşçi Bilgileri'!A281="","",'İşçi Bilgileri'!A281)</f>
        <v/>
      </c>
      <c r="B283" s="300" t="str">
        <f>IF($A283="","",VLOOKUP($A283,'İşçi Bilgileri'!$A$2:$D$700,4,FALSE))</f>
        <v/>
      </c>
      <c r="C283" s="301" t="str">
        <f>CONCATENATE(IF($A283="","",VLOOKUP($A283,'İşçi Bilgileri'!$A$2:$D$700,2,FALSE))," ",IF($A283="","",VLOOKUP($A283,'İşçi Bilgileri'!$A$2:$D$700,3,FALSE)))</f>
        <v xml:space="preserve"> </v>
      </c>
      <c r="D283" s="137" t="str">
        <f>IF($A283="","",VERİLER!$C$5)</f>
        <v/>
      </c>
      <c r="E283" s="138" t="str">
        <f>IF($A283="","",Puantaj!AJ288)</f>
        <v/>
      </c>
      <c r="F283" s="137">
        <f t="shared" si="49"/>
        <v>0</v>
      </c>
      <c r="G283" s="137"/>
      <c r="H283" s="137">
        <f t="shared" si="50"/>
        <v>0</v>
      </c>
      <c r="I283" s="137">
        <f t="shared" si="51"/>
        <v>0</v>
      </c>
      <c r="J283" s="137">
        <f>IF(F283&gt;VERİLER!$C$7,'İşçi Bilgileri'!M281+(F283-VERİLER!$C$7),0)</f>
        <v>0</v>
      </c>
      <c r="K283" s="137">
        <f>IF(VERİLER!$C$11&gt;0,ROUND(J283*0.15,2),0)</f>
        <v>0</v>
      </c>
      <c r="L283" s="359">
        <f t="shared" si="52"/>
        <v>0</v>
      </c>
      <c r="M283" s="139">
        <f t="shared" si="53"/>
        <v>0</v>
      </c>
      <c r="N283" s="137">
        <f t="shared" si="54"/>
        <v>0</v>
      </c>
      <c r="O283" s="359">
        <f t="shared" si="55"/>
        <v>0</v>
      </c>
      <c r="P283" s="140">
        <f t="shared" si="56"/>
        <v>0</v>
      </c>
      <c r="Q283" s="140">
        <v>0</v>
      </c>
      <c r="R283" s="137">
        <f t="shared" si="57"/>
        <v>0</v>
      </c>
      <c r="S283" s="141">
        <f t="shared" si="58"/>
        <v>0</v>
      </c>
      <c r="T283" s="137">
        <f t="shared" si="59"/>
        <v>0</v>
      </c>
      <c r="U283" s="137">
        <f>ROUND(VERİLER!$F$9*T283,3)</f>
        <v>0</v>
      </c>
      <c r="V283" s="336">
        <f t="shared" si="60"/>
        <v>0</v>
      </c>
      <c r="W283" s="335"/>
      <c r="X283" s="335"/>
      <c r="Y283" s="335"/>
    </row>
    <row r="284" spans="1:25" s="337" customFormat="1" ht="15" customHeight="1" x14ac:dyDescent="0.2">
      <c r="A284" s="299" t="str">
        <f>IF('İşçi Bilgileri'!A282="","",'İşçi Bilgileri'!A282)</f>
        <v/>
      </c>
      <c r="B284" s="300" t="str">
        <f>IF($A284="","",VLOOKUP($A284,'İşçi Bilgileri'!$A$2:$D$700,4,FALSE))</f>
        <v/>
      </c>
      <c r="C284" s="301" t="str">
        <f>CONCATENATE(IF($A284="","",VLOOKUP($A284,'İşçi Bilgileri'!$A$2:$D$700,2,FALSE))," ",IF($A284="","",VLOOKUP($A284,'İşçi Bilgileri'!$A$2:$D$700,3,FALSE)))</f>
        <v xml:space="preserve"> </v>
      </c>
      <c r="D284" s="137" t="str">
        <f>IF($A284="","",VERİLER!$C$5)</f>
        <v/>
      </c>
      <c r="E284" s="138" t="str">
        <f>IF($A284="","",Puantaj!AJ289)</f>
        <v/>
      </c>
      <c r="F284" s="137">
        <f t="shared" si="49"/>
        <v>0</v>
      </c>
      <c r="G284" s="137"/>
      <c r="H284" s="137">
        <f t="shared" si="50"/>
        <v>0</v>
      </c>
      <c r="I284" s="137">
        <f t="shared" si="51"/>
        <v>0</v>
      </c>
      <c r="J284" s="137">
        <f>IF(F284&gt;VERİLER!$C$7,'İşçi Bilgileri'!M282+(F284-VERİLER!$C$7),0)</f>
        <v>0</v>
      </c>
      <c r="K284" s="137">
        <f>IF(VERİLER!$C$11&gt;0,ROUND(J284*0.15,2),0)</f>
        <v>0</v>
      </c>
      <c r="L284" s="359">
        <f t="shared" si="52"/>
        <v>0</v>
      </c>
      <c r="M284" s="139">
        <f t="shared" si="53"/>
        <v>0</v>
      </c>
      <c r="N284" s="137">
        <f t="shared" si="54"/>
        <v>0</v>
      </c>
      <c r="O284" s="359">
        <f t="shared" si="55"/>
        <v>0</v>
      </c>
      <c r="P284" s="140">
        <f t="shared" si="56"/>
        <v>0</v>
      </c>
      <c r="Q284" s="140">
        <v>0</v>
      </c>
      <c r="R284" s="137">
        <f t="shared" si="57"/>
        <v>0</v>
      </c>
      <c r="S284" s="141">
        <f t="shared" si="58"/>
        <v>0</v>
      </c>
      <c r="T284" s="137">
        <f t="shared" si="59"/>
        <v>0</v>
      </c>
      <c r="U284" s="137">
        <f>ROUND(VERİLER!$F$9*T284,3)</f>
        <v>0</v>
      </c>
      <c r="V284" s="336">
        <f t="shared" si="60"/>
        <v>0</v>
      </c>
      <c r="W284" s="335"/>
      <c r="X284" s="335"/>
      <c r="Y284" s="335"/>
    </row>
    <row r="285" spans="1:25" s="337" customFormat="1" ht="15" customHeight="1" x14ac:dyDescent="0.2">
      <c r="A285" s="299" t="str">
        <f>IF('İşçi Bilgileri'!A283="","",'İşçi Bilgileri'!A283)</f>
        <v/>
      </c>
      <c r="B285" s="300" t="str">
        <f>IF($A285="","",VLOOKUP($A285,'İşçi Bilgileri'!$A$2:$D$700,4,FALSE))</f>
        <v/>
      </c>
      <c r="C285" s="301" t="str">
        <f>CONCATENATE(IF($A285="","",VLOOKUP($A285,'İşçi Bilgileri'!$A$2:$D$700,2,FALSE))," ",IF($A285="","",VLOOKUP($A285,'İşçi Bilgileri'!$A$2:$D$700,3,FALSE)))</f>
        <v xml:space="preserve"> </v>
      </c>
      <c r="D285" s="137" t="str">
        <f>IF($A285="","",VERİLER!$C$5)</f>
        <v/>
      </c>
      <c r="E285" s="138" t="str">
        <f>IF($A285="","",Puantaj!AJ290)</f>
        <v/>
      </c>
      <c r="F285" s="137">
        <f t="shared" si="49"/>
        <v>0</v>
      </c>
      <c r="G285" s="137"/>
      <c r="H285" s="137">
        <f t="shared" si="50"/>
        <v>0</v>
      </c>
      <c r="I285" s="137">
        <f t="shared" si="51"/>
        <v>0</v>
      </c>
      <c r="J285" s="137">
        <f>IF(F285&gt;VERİLER!$C$7,'İşçi Bilgileri'!M283+(F285-VERİLER!$C$7),0)</f>
        <v>0</v>
      </c>
      <c r="K285" s="137">
        <f>IF(VERİLER!$C$11&gt;0,ROUND(J285*0.15,2),0)</f>
        <v>0</v>
      </c>
      <c r="L285" s="359">
        <f t="shared" si="52"/>
        <v>0</v>
      </c>
      <c r="M285" s="139">
        <f t="shared" si="53"/>
        <v>0</v>
      </c>
      <c r="N285" s="137">
        <f t="shared" si="54"/>
        <v>0</v>
      </c>
      <c r="O285" s="359">
        <f t="shared" si="55"/>
        <v>0</v>
      </c>
      <c r="P285" s="140">
        <f t="shared" si="56"/>
        <v>0</v>
      </c>
      <c r="Q285" s="140">
        <v>0</v>
      </c>
      <c r="R285" s="137">
        <f t="shared" si="57"/>
        <v>0</v>
      </c>
      <c r="S285" s="141">
        <f t="shared" si="58"/>
        <v>0</v>
      </c>
      <c r="T285" s="137">
        <f t="shared" si="59"/>
        <v>0</v>
      </c>
      <c r="U285" s="137">
        <f>ROUND(VERİLER!$F$9*T285,3)</f>
        <v>0</v>
      </c>
      <c r="V285" s="336">
        <f t="shared" si="60"/>
        <v>0</v>
      </c>
      <c r="W285" s="335"/>
      <c r="X285" s="335"/>
      <c r="Y285" s="335"/>
    </row>
    <row r="286" spans="1:25" s="337" customFormat="1" ht="15" customHeight="1" x14ac:dyDescent="0.2">
      <c r="A286" s="299" t="str">
        <f>IF('İşçi Bilgileri'!A284="","",'İşçi Bilgileri'!A284)</f>
        <v/>
      </c>
      <c r="B286" s="300" t="str">
        <f>IF($A286="","",VLOOKUP($A286,'İşçi Bilgileri'!$A$2:$D$700,4,FALSE))</f>
        <v/>
      </c>
      <c r="C286" s="301" t="str">
        <f>CONCATENATE(IF($A286="","",VLOOKUP($A286,'İşçi Bilgileri'!$A$2:$D$700,2,FALSE))," ",IF($A286="","",VLOOKUP($A286,'İşçi Bilgileri'!$A$2:$D$700,3,FALSE)))</f>
        <v xml:space="preserve"> </v>
      </c>
      <c r="D286" s="137" t="str">
        <f>IF($A286="","",VERİLER!$C$5)</f>
        <v/>
      </c>
      <c r="E286" s="138" t="str">
        <f>IF($A286="","",Puantaj!AJ291)</f>
        <v/>
      </c>
      <c r="F286" s="137">
        <f t="shared" si="49"/>
        <v>0</v>
      </c>
      <c r="G286" s="137"/>
      <c r="H286" s="137">
        <f t="shared" si="50"/>
        <v>0</v>
      </c>
      <c r="I286" s="137">
        <f t="shared" si="51"/>
        <v>0</v>
      </c>
      <c r="J286" s="137">
        <f>IF(F286&gt;VERİLER!$C$7,'İşçi Bilgileri'!M284+(F286-VERİLER!$C$7),0)</f>
        <v>0</v>
      </c>
      <c r="K286" s="137">
        <f>IF(VERİLER!$C$11&gt;0,ROUND(J286*0.15,2),0)</f>
        <v>0</v>
      </c>
      <c r="L286" s="359">
        <f t="shared" si="52"/>
        <v>0</v>
      </c>
      <c r="M286" s="139">
        <f t="shared" si="53"/>
        <v>0</v>
      </c>
      <c r="N286" s="137">
        <f t="shared" si="54"/>
        <v>0</v>
      </c>
      <c r="O286" s="359">
        <f t="shared" si="55"/>
        <v>0</v>
      </c>
      <c r="P286" s="140">
        <f t="shared" si="56"/>
        <v>0</v>
      </c>
      <c r="Q286" s="140">
        <v>0</v>
      </c>
      <c r="R286" s="137">
        <f t="shared" si="57"/>
        <v>0</v>
      </c>
      <c r="S286" s="141">
        <f t="shared" si="58"/>
        <v>0</v>
      </c>
      <c r="T286" s="137">
        <f t="shared" si="59"/>
        <v>0</v>
      </c>
      <c r="U286" s="137">
        <f>ROUND(VERİLER!$F$9*T286,3)</f>
        <v>0</v>
      </c>
      <c r="V286" s="336">
        <f t="shared" si="60"/>
        <v>0</v>
      </c>
      <c r="W286" s="335"/>
      <c r="X286" s="335"/>
      <c r="Y286" s="335"/>
    </row>
    <row r="287" spans="1:25" s="337" customFormat="1" ht="15" customHeight="1" x14ac:dyDescent="0.2">
      <c r="A287" s="299" t="str">
        <f>IF('İşçi Bilgileri'!A285="","",'İşçi Bilgileri'!A285)</f>
        <v/>
      </c>
      <c r="B287" s="300" t="str">
        <f>IF($A287="","",VLOOKUP($A287,'İşçi Bilgileri'!$A$2:$D$700,4,FALSE))</f>
        <v/>
      </c>
      <c r="C287" s="301" t="str">
        <f>CONCATENATE(IF($A287="","",VLOOKUP($A287,'İşçi Bilgileri'!$A$2:$D$700,2,FALSE))," ",IF($A287="","",VLOOKUP($A287,'İşçi Bilgileri'!$A$2:$D$700,3,FALSE)))</f>
        <v xml:space="preserve"> </v>
      </c>
      <c r="D287" s="137" t="str">
        <f>IF($A287="","",VERİLER!$C$5)</f>
        <v/>
      </c>
      <c r="E287" s="138" t="str">
        <f>IF($A287="","",Puantaj!AJ292)</f>
        <v/>
      </c>
      <c r="F287" s="137">
        <f t="shared" si="49"/>
        <v>0</v>
      </c>
      <c r="G287" s="137"/>
      <c r="H287" s="137">
        <f t="shared" si="50"/>
        <v>0</v>
      </c>
      <c r="I287" s="137">
        <f t="shared" si="51"/>
        <v>0</v>
      </c>
      <c r="J287" s="137">
        <f>IF(F287&gt;VERİLER!$C$7,'İşçi Bilgileri'!M285+(F287-VERİLER!$C$7),0)</f>
        <v>0</v>
      </c>
      <c r="K287" s="137">
        <f>IF(VERİLER!$C$11&gt;0,ROUND(J287*0.15,2),0)</f>
        <v>0</v>
      </c>
      <c r="L287" s="359">
        <f t="shared" si="52"/>
        <v>0</v>
      </c>
      <c r="M287" s="139">
        <f t="shared" si="53"/>
        <v>0</v>
      </c>
      <c r="N287" s="137">
        <f t="shared" si="54"/>
        <v>0</v>
      </c>
      <c r="O287" s="359">
        <f t="shared" si="55"/>
        <v>0</v>
      </c>
      <c r="P287" s="140">
        <f t="shared" si="56"/>
        <v>0</v>
      </c>
      <c r="Q287" s="140">
        <v>0</v>
      </c>
      <c r="R287" s="137">
        <f t="shared" si="57"/>
        <v>0</v>
      </c>
      <c r="S287" s="141">
        <f t="shared" si="58"/>
        <v>0</v>
      </c>
      <c r="T287" s="137">
        <f t="shared" si="59"/>
        <v>0</v>
      </c>
      <c r="U287" s="137">
        <f>ROUND(VERİLER!$F$9*T287,3)</f>
        <v>0</v>
      </c>
      <c r="V287" s="336">
        <f t="shared" si="60"/>
        <v>0</v>
      </c>
      <c r="W287" s="335"/>
      <c r="X287" s="335"/>
      <c r="Y287" s="335"/>
    </row>
    <row r="288" spans="1:25" s="337" customFormat="1" ht="15" customHeight="1" x14ac:dyDescent="0.2">
      <c r="A288" s="299" t="str">
        <f>IF('İşçi Bilgileri'!A286="","",'İşçi Bilgileri'!A286)</f>
        <v/>
      </c>
      <c r="B288" s="300" t="str">
        <f>IF($A288="","",VLOOKUP($A288,'İşçi Bilgileri'!$A$2:$D$700,4,FALSE))</f>
        <v/>
      </c>
      <c r="C288" s="301" t="str">
        <f>CONCATENATE(IF($A288="","",VLOOKUP($A288,'İşçi Bilgileri'!$A$2:$D$700,2,FALSE))," ",IF($A288="","",VLOOKUP($A288,'İşçi Bilgileri'!$A$2:$D$700,3,FALSE)))</f>
        <v xml:space="preserve"> </v>
      </c>
      <c r="D288" s="137" t="str">
        <f>IF($A288="","",VERİLER!$C$5)</f>
        <v/>
      </c>
      <c r="E288" s="138" t="str">
        <f>IF($A288="","",Puantaj!AJ293)</f>
        <v/>
      </c>
      <c r="F288" s="137">
        <f t="shared" si="49"/>
        <v>0</v>
      </c>
      <c r="G288" s="137"/>
      <c r="H288" s="137">
        <f t="shared" si="50"/>
        <v>0</v>
      </c>
      <c r="I288" s="137">
        <f t="shared" si="51"/>
        <v>0</v>
      </c>
      <c r="J288" s="137">
        <f>IF(F288&gt;VERİLER!$C$7,'İşçi Bilgileri'!M286+(F288-VERİLER!$C$7),0)</f>
        <v>0</v>
      </c>
      <c r="K288" s="137">
        <f>IF(VERİLER!$C$11&gt;0,ROUND(J288*0.15,2),0)</f>
        <v>0</v>
      </c>
      <c r="L288" s="359">
        <f t="shared" si="52"/>
        <v>0</v>
      </c>
      <c r="M288" s="139">
        <f t="shared" si="53"/>
        <v>0</v>
      </c>
      <c r="N288" s="137">
        <f t="shared" si="54"/>
        <v>0</v>
      </c>
      <c r="O288" s="359">
        <f t="shared" si="55"/>
        <v>0</v>
      </c>
      <c r="P288" s="140">
        <f t="shared" si="56"/>
        <v>0</v>
      </c>
      <c r="Q288" s="140">
        <v>0</v>
      </c>
      <c r="R288" s="137">
        <f t="shared" si="57"/>
        <v>0</v>
      </c>
      <c r="S288" s="141">
        <f t="shared" si="58"/>
        <v>0</v>
      </c>
      <c r="T288" s="137">
        <f t="shared" si="59"/>
        <v>0</v>
      </c>
      <c r="U288" s="137">
        <f>ROUND(VERİLER!$F$9*T288,3)</f>
        <v>0</v>
      </c>
      <c r="V288" s="336">
        <f t="shared" si="60"/>
        <v>0</v>
      </c>
      <c r="W288" s="335"/>
      <c r="X288" s="335"/>
      <c r="Y288" s="335"/>
    </row>
    <row r="289" spans="1:25" s="337" customFormat="1" ht="15" customHeight="1" x14ac:dyDescent="0.2">
      <c r="A289" s="299" t="str">
        <f>IF('İşçi Bilgileri'!A287="","",'İşçi Bilgileri'!A287)</f>
        <v/>
      </c>
      <c r="B289" s="300" t="str">
        <f>IF($A289="","",VLOOKUP($A289,'İşçi Bilgileri'!$A$2:$D$700,4,FALSE))</f>
        <v/>
      </c>
      <c r="C289" s="301" t="str">
        <f>CONCATENATE(IF($A289="","",VLOOKUP($A289,'İşçi Bilgileri'!$A$2:$D$700,2,FALSE))," ",IF($A289="","",VLOOKUP($A289,'İşçi Bilgileri'!$A$2:$D$700,3,FALSE)))</f>
        <v xml:space="preserve"> </v>
      </c>
      <c r="D289" s="137" t="str">
        <f>IF($A289="","",VERİLER!$C$5)</f>
        <v/>
      </c>
      <c r="E289" s="138" t="str">
        <f>IF($A289="","",Puantaj!AJ294)</f>
        <v/>
      </c>
      <c r="F289" s="137">
        <f t="shared" si="49"/>
        <v>0</v>
      </c>
      <c r="G289" s="137"/>
      <c r="H289" s="137">
        <f t="shared" si="50"/>
        <v>0</v>
      </c>
      <c r="I289" s="137">
        <f t="shared" si="51"/>
        <v>0</v>
      </c>
      <c r="J289" s="137">
        <f>IF(F289&gt;VERİLER!$C$7,'İşçi Bilgileri'!M287+(F289-VERİLER!$C$7),0)</f>
        <v>0</v>
      </c>
      <c r="K289" s="137">
        <f>IF(VERİLER!$C$11&gt;0,ROUND(J289*0.15,2),0)</f>
        <v>0</v>
      </c>
      <c r="L289" s="359">
        <f t="shared" si="52"/>
        <v>0</v>
      </c>
      <c r="M289" s="139">
        <f t="shared" si="53"/>
        <v>0</v>
      </c>
      <c r="N289" s="137">
        <f t="shared" si="54"/>
        <v>0</v>
      </c>
      <c r="O289" s="359">
        <f t="shared" si="55"/>
        <v>0</v>
      </c>
      <c r="P289" s="140">
        <f t="shared" si="56"/>
        <v>0</v>
      </c>
      <c r="Q289" s="140">
        <v>0</v>
      </c>
      <c r="R289" s="137">
        <f t="shared" si="57"/>
        <v>0</v>
      </c>
      <c r="S289" s="141">
        <f t="shared" si="58"/>
        <v>0</v>
      </c>
      <c r="T289" s="137">
        <f t="shared" si="59"/>
        <v>0</v>
      </c>
      <c r="U289" s="137">
        <f>ROUND(VERİLER!$F$9*T289,3)</f>
        <v>0</v>
      </c>
      <c r="V289" s="336">
        <f t="shared" si="60"/>
        <v>0</v>
      </c>
      <c r="W289" s="335"/>
      <c r="X289" s="335"/>
      <c r="Y289" s="335"/>
    </row>
    <row r="290" spans="1:25" s="337" customFormat="1" ht="15" customHeight="1" x14ac:dyDescent="0.2">
      <c r="A290" s="299" t="str">
        <f>IF('İşçi Bilgileri'!A288="","",'İşçi Bilgileri'!A288)</f>
        <v/>
      </c>
      <c r="B290" s="300" t="str">
        <f>IF($A290="","",VLOOKUP($A290,'İşçi Bilgileri'!$A$2:$D$700,4,FALSE))</f>
        <v/>
      </c>
      <c r="C290" s="301" t="str">
        <f>CONCATENATE(IF($A290="","",VLOOKUP($A290,'İşçi Bilgileri'!$A$2:$D$700,2,FALSE))," ",IF($A290="","",VLOOKUP($A290,'İşçi Bilgileri'!$A$2:$D$700,3,FALSE)))</f>
        <v xml:space="preserve"> </v>
      </c>
      <c r="D290" s="137" t="str">
        <f>IF($A290="","",VERİLER!$C$5)</f>
        <v/>
      </c>
      <c r="E290" s="138" t="str">
        <f>IF($A290="","",Puantaj!AJ295)</f>
        <v/>
      </c>
      <c r="F290" s="137">
        <f t="shared" si="49"/>
        <v>0</v>
      </c>
      <c r="G290" s="137"/>
      <c r="H290" s="137">
        <f t="shared" si="50"/>
        <v>0</v>
      </c>
      <c r="I290" s="137">
        <f t="shared" si="51"/>
        <v>0</v>
      </c>
      <c r="J290" s="137">
        <f>IF(F290&gt;VERİLER!$C$7,'İşçi Bilgileri'!M288+(F290-VERİLER!$C$7),0)</f>
        <v>0</v>
      </c>
      <c r="K290" s="137">
        <f>IF(VERİLER!$C$11&gt;0,ROUND(J290*0.15,2),0)</f>
        <v>0</v>
      </c>
      <c r="L290" s="359">
        <f t="shared" si="52"/>
        <v>0</v>
      </c>
      <c r="M290" s="139">
        <f t="shared" si="53"/>
        <v>0</v>
      </c>
      <c r="N290" s="137">
        <f t="shared" si="54"/>
        <v>0</v>
      </c>
      <c r="O290" s="359">
        <f t="shared" si="55"/>
        <v>0</v>
      </c>
      <c r="P290" s="140">
        <f t="shared" si="56"/>
        <v>0</v>
      </c>
      <c r="Q290" s="140">
        <v>0</v>
      </c>
      <c r="R290" s="137">
        <f t="shared" si="57"/>
        <v>0</v>
      </c>
      <c r="S290" s="141">
        <f t="shared" si="58"/>
        <v>0</v>
      </c>
      <c r="T290" s="137">
        <f t="shared" si="59"/>
        <v>0</v>
      </c>
      <c r="U290" s="137">
        <f>ROUND(VERİLER!$F$9*T290,3)</f>
        <v>0</v>
      </c>
      <c r="V290" s="336">
        <f t="shared" si="60"/>
        <v>0</v>
      </c>
      <c r="W290" s="335"/>
      <c r="X290" s="335"/>
      <c r="Y290" s="335"/>
    </row>
    <row r="291" spans="1:25" s="337" customFormat="1" ht="15" customHeight="1" x14ac:dyDescent="0.2">
      <c r="A291" s="299" t="str">
        <f>IF('İşçi Bilgileri'!A289="","",'İşçi Bilgileri'!A289)</f>
        <v/>
      </c>
      <c r="B291" s="300" t="str">
        <f>IF($A291="","",VLOOKUP($A291,'İşçi Bilgileri'!$A$2:$D$700,4,FALSE))</f>
        <v/>
      </c>
      <c r="C291" s="301" t="str">
        <f>CONCATENATE(IF($A291="","",VLOOKUP($A291,'İşçi Bilgileri'!$A$2:$D$700,2,FALSE))," ",IF($A291="","",VLOOKUP($A291,'İşçi Bilgileri'!$A$2:$D$700,3,FALSE)))</f>
        <v xml:space="preserve"> </v>
      </c>
      <c r="D291" s="137" t="str">
        <f>IF($A291="","",VERİLER!$C$5)</f>
        <v/>
      </c>
      <c r="E291" s="138" t="str">
        <f>IF($A291="","",Puantaj!AJ296)</f>
        <v/>
      </c>
      <c r="F291" s="137">
        <f t="shared" si="49"/>
        <v>0</v>
      </c>
      <c r="G291" s="137"/>
      <c r="H291" s="137">
        <f t="shared" si="50"/>
        <v>0</v>
      </c>
      <c r="I291" s="137">
        <f t="shared" si="51"/>
        <v>0</v>
      </c>
      <c r="J291" s="137">
        <f>IF(F291&gt;VERİLER!$C$7,'İşçi Bilgileri'!M289+(F291-VERİLER!$C$7),0)</f>
        <v>0</v>
      </c>
      <c r="K291" s="137">
        <f>IF(VERİLER!$C$11&gt;0,ROUND(J291*0.15,2),0)</f>
        <v>0</v>
      </c>
      <c r="L291" s="359">
        <f t="shared" si="52"/>
        <v>0</v>
      </c>
      <c r="M291" s="139">
        <f t="shared" si="53"/>
        <v>0</v>
      </c>
      <c r="N291" s="137">
        <f t="shared" si="54"/>
        <v>0</v>
      </c>
      <c r="O291" s="359">
        <f t="shared" si="55"/>
        <v>0</v>
      </c>
      <c r="P291" s="140">
        <f t="shared" si="56"/>
        <v>0</v>
      </c>
      <c r="Q291" s="140">
        <v>0</v>
      </c>
      <c r="R291" s="137">
        <f t="shared" si="57"/>
        <v>0</v>
      </c>
      <c r="S291" s="141">
        <f t="shared" si="58"/>
        <v>0</v>
      </c>
      <c r="T291" s="137">
        <f t="shared" si="59"/>
        <v>0</v>
      </c>
      <c r="U291" s="137">
        <f>ROUND(VERİLER!$F$9*T291,3)</f>
        <v>0</v>
      </c>
      <c r="V291" s="336">
        <f t="shared" si="60"/>
        <v>0</v>
      </c>
      <c r="W291" s="335"/>
      <c r="X291" s="335"/>
      <c r="Y291" s="335"/>
    </row>
    <row r="292" spans="1:25" s="337" customFormat="1" ht="15" customHeight="1" x14ac:dyDescent="0.2">
      <c r="A292" s="299" t="str">
        <f>IF('İşçi Bilgileri'!A290="","",'İşçi Bilgileri'!A290)</f>
        <v/>
      </c>
      <c r="B292" s="300" t="str">
        <f>IF($A292="","",VLOOKUP($A292,'İşçi Bilgileri'!$A$2:$D$700,4,FALSE))</f>
        <v/>
      </c>
      <c r="C292" s="301" t="str">
        <f>CONCATENATE(IF($A292="","",VLOOKUP($A292,'İşçi Bilgileri'!$A$2:$D$700,2,FALSE))," ",IF($A292="","",VLOOKUP($A292,'İşçi Bilgileri'!$A$2:$D$700,3,FALSE)))</f>
        <v xml:space="preserve"> </v>
      </c>
      <c r="D292" s="137" t="str">
        <f>IF($A292="","",VERİLER!$C$5)</f>
        <v/>
      </c>
      <c r="E292" s="138" t="str">
        <f>IF($A292="","",Puantaj!AJ297)</f>
        <v/>
      </c>
      <c r="F292" s="137">
        <f t="shared" si="49"/>
        <v>0</v>
      </c>
      <c r="G292" s="137"/>
      <c r="H292" s="137">
        <f t="shared" si="50"/>
        <v>0</v>
      </c>
      <c r="I292" s="137">
        <f t="shared" si="51"/>
        <v>0</v>
      </c>
      <c r="J292" s="137">
        <f>IF(F292&gt;VERİLER!$C$7,'İşçi Bilgileri'!M290+(F292-VERİLER!$C$7),0)</f>
        <v>0</v>
      </c>
      <c r="K292" s="137">
        <f>IF(VERİLER!$C$11&gt;0,ROUND(J292*0.15,2),0)</f>
        <v>0</v>
      </c>
      <c r="L292" s="359">
        <f t="shared" si="52"/>
        <v>0</v>
      </c>
      <c r="M292" s="139">
        <f t="shared" si="53"/>
        <v>0</v>
      </c>
      <c r="N292" s="137">
        <f t="shared" si="54"/>
        <v>0</v>
      </c>
      <c r="O292" s="359">
        <f t="shared" si="55"/>
        <v>0</v>
      </c>
      <c r="P292" s="140">
        <f t="shared" si="56"/>
        <v>0</v>
      </c>
      <c r="Q292" s="140">
        <v>0</v>
      </c>
      <c r="R292" s="137">
        <f t="shared" si="57"/>
        <v>0</v>
      </c>
      <c r="S292" s="141">
        <f t="shared" si="58"/>
        <v>0</v>
      </c>
      <c r="T292" s="137">
        <f t="shared" si="59"/>
        <v>0</v>
      </c>
      <c r="U292" s="137">
        <f>ROUND(VERİLER!$F$9*T292,3)</f>
        <v>0</v>
      </c>
      <c r="V292" s="336">
        <f t="shared" si="60"/>
        <v>0</v>
      </c>
      <c r="W292" s="335"/>
      <c r="X292" s="335"/>
      <c r="Y292" s="335"/>
    </row>
    <row r="293" spans="1:25" s="337" customFormat="1" ht="15" customHeight="1" x14ac:dyDescent="0.2">
      <c r="A293" s="299" t="str">
        <f>IF('İşçi Bilgileri'!A291="","",'İşçi Bilgileri'!A291)</f>
        <v/>
      </c>
      <c r="B293" s="300" t="str">
        <f>IF($A293="","",VLOOKUP($A293,'İşçi Bilgileri'!$A$2:$D$700,4,FALSE))</f>
        <v/>
      </c>
      <c r="C293" s="301" t="str">
        <f>CONCATENATE(IF($A293="","",VLOOKUP($A293,'İşçi Bilgileri'!$A$2:$D$700,2,FALSE))," ",IF($A293="","",VLOOKUP($A293,'İşçi Bilgileri'!$A$2:$D$700,3,FALSE)))</f>
        <v xml:space="preserve"> </v>
      </c>
      <c r="D293" s="137" t="str">
        <f>IF($A293="","",VERİLER!$C$5)</f>
        <v/>
      </c>
      <c r="E293" s="138" t="str">
        <f>IF($A293="","",Puantaj!AJ298)</f>
        <v/>
      </c>
      <c r="F293" s="137">
        <f t="shared" si="49"/>
        <v>0</v>
      </c>
      <c r="G293" s="137"/>
      <c r="H293" s="137">
        <f t="shared" si="50"/>
        <v>0</v>
      </c>
      <c r="I293" s="137">
        <f t="shared" si="51"/>
        <v>0</v>
      </c>
      <c r="J293" s="137">
        <f>IF(F293&gt;VERİLER!$C$7,'İşçi Bilgileri'!M291+(F293-VERİLER!$C$7),0)</f>
        <v>0</v>
      </c>
      <c r="K293" s="137">
        <f>IF(VERİLER!$C$11&gt;0,ROUND(J293*0.15,2),0)</f>
        <v>0</v>
      </c>
      <c r="L293" s="359">
        <f t="shared" si="52"/>
        <v>0</v>
      </c>
      <c r="M293" s="139">
        <f t="shared" si="53"/>
        <v>0</v>
      </c>
      <c r="N293" s="137">
        <f t="shared" si="54"/>
        <v>0</v>
      </c>
      <c r="O293" s="359">
        <f t="shared" si="55"/>
        <v>0</v>
      </c>
      <c r="P293" s="140">
        <f t="shared" si="56"/>
        <v>0</v>
      </c>
      <c r="Q293" s="140">
        <v>0</v>
      </c>
      <c r="R293" s="137">
        <f t="shared" si="57"/>
        <v>0</v>
      </c>
      <c r="S293" s="141">
        <f t="shared" si="58"/>
        <v>0</v>
      </c>
      <c r="T293" s="137">
        <f t="shared" si="59"/>
        <v>0</v>
      </c>
      <c r="U293" s="137">
        <f>ROUND(VERİLER!$F$9*T293,3)</f>
        <v>0</v>
      </c>
      <c r="V293" s="336">
        <f t="shared" si="60"/>
        <v>0</v>
      </c>
      <c r="W293" s="335"/>
      <c r="X293" s="335"/>
      <c r="Y293" s="335"/>
    </row>
    <row r="294" spans="1:25" s="337" customFormat="1" ht="15" customHeight="1" x14ac:dyDescent="0.2">
      <c r="A294" s="299" t="str">
        <f>IF('İşçi Bilgileri'!A292="","",'İşçi Bilgileri'!A292)</f>
        <v/>
      </c>
      <c r="B294" s="300" t="str">
        <f>IF($A294="","",VLOOKUP($A294,'İşçi Bilgileri'!$A$2:$D$700,4,FALSE))</f>
        <v/>
      </c>
      <c r="C294" s="301" t="str">
        <f>CONCATENATE(IF($A294="","",VLOOKUP($A294,'İşçi Bilgileri'!$A$2:$D$700,2,FALSE))," ",IF($A294="","",VLOOKUP($A294,'İşçi Bilgileri'!$A$2:$D$700,3,FALSE)))</f>
        <v xml:space="preserve"> </v>
      </c>
      <c r="D294" s="137" t="str">
        <f>IF($A294="","",VERİLER!$C$5)</f>
        <v/>
      </c>
      <c r="E294" s="138" t="str">
        <f>IF($A294="","",Puantaj!AJ299)</f>
        <v/>
      </c>
      <c r="F294" s="137">
        <f t="shared" si="49"/>
        <v>0</v>
      </c>
      <c r="G294" s="137"/>
      <c r="H294" s="137">
        <f t="shared" si="50"/>
        <v>0</v>
      </c>
      <c r="I294" s="137">
        <f t="shared" si="51"/>
        <v>0</v>
      </c>
      <c r="J294" s="137">
        <f>IF(F294&gt;VERİLER!$C$7,'İşçi Bilgileri'!M292+(F294-VERİLER!$C$7),0)</f>
        <v>0</v>
      </c>
      <c r="K294" s="137">
        <f>IF(VERİLER!$C$11&gt;0,ROUND(J294*0.15,2),0)</f>
        <v>0</v>
      </c>
      <c r="L294" s="359">
        <f t="shared" si="52"/>
        <v>0</v>
      </c>
      <c r="M294" s="139">
        <f t="shared" si="53"/>
        <v>0</v>
      </c>
      <c r="N294" s="137">
        <f t="shared" si="54"/>
        <v>0</v>
      </c>
      <c r="O294" s="359">
        <f t="shared" si="55"/>
        <v>0</v>
      </c>
      <c r="P294" s="140">
        <f t="shared" si="56"/>
        <v>0</v>
      </c>
      <c r="Q294" s="140">
        <v>0</v>
      </c>
      <c r="R294" s="137">
        <f t="shared" si="57"/>
        <v>0</v>
      </c>
      <c r="S294" s="141">
        <f t="shared" si="58"/>
        <v>0</v>
      </c>
      <c r="T294" s="137">
        <f t="shared" si="59"/>
        <v>0</v>
      </c>
      <c r="U294" s="137">
        <f>ROUND(VERİLER!$F$9*T294,3)</f>
        <v>0</v>
      </c>
      <c r="V294" s="336">
        <f t="shared" si="60"/>
        <v>0</v>
      </c>
      <c r="W294" s="335"/>
      <c r="X294" s="335"/>
      <c r="Y294" s="335"/>
    </row>
    <row r="295" spans="1:25" s="337" customFormat="1" ht="15" customHeight="1" x14ac:dyDescent="0.2">
      <c r="A295" s="299" t="str">
        <f>IF('İşçi Bilgileri'!A293="","",'İşçi Bilgileri'!A293)</f>
        <v/>
      </c>
      <c r="B295" s="300" t="str">
        <f>IF($A295="","",VLOOKUP($A295,'İşçi Bilgileri'!$A$2:$D$700,4,FALSE))</f>
        <v/>
      </c>
      <c r="C295" s="301" t="str">
        <f>CONCATENATE(IF($A295="","",VLOOKUP($A295,'İşçi Bilgileri'!$A$2:$D$700,2,FALSE))," ",IF($A295="","",VLOOKUP($A295,'İşçi Bilgileri'!$A$2:$D$700,3,FALSE)))</f>
        <v xml:space="preserve"> </v>
      </c>
      <c r="D295" s="137" t="str">
        <f>IF($A295="","",VERİLER!$C$5)</f>
        <v/>
      </c>
      <c r="E295" s="138" t="str">
        <f>IF($A295="","",Puantaj!AJ300)</f>
        <v/>
      </c>
      <c r="F295" s="137">
        <f t="shared" si="49"/>
        <v>0</v>
      </c>
      <c r="G295" s="137"/>
      <c r="H295" s="137">
        <f t="shared" si="50"/>
        <v>0</v>
      </c>
      <c r="I295" s="137">
        <f t="shared" si="51"/>
        <v>0</v>
      </c>
      <c r="J295" s="137">
        <f>IF(F295&gt;VERİLER!$C$7,'İşçi Bilgileri'!M293+(F295-VERİLER!$C$7),0)</f>
        <v>0</v>
      </c>
      <c r="K295" s="137">
        <f>IF(VERİLER!$C$11&gt;0,ROUND(J295*0.15,2),0)</f>
        <v>0</v>
      </c>
      <c r="L295" s="359">
        <f t="shared" si="52"/>
        <v>0</v>
      </c>
      <c r="M295" s="139">
        <f t="shared" si="53"/>
        <v>0</v>
      </c>
      <c r="N295" s="137">
        <f t="shared" si="54"/>
        <v>0</v>
      </c>
      <c r="O295" s="359">
        <f t="shared" si="55"/>
        <v>0</v>
      </c>
      <c r="P295" s="140">
        <f t="shared" si="56"/>
        <v>0</v>
      </c>
      <c r="Q295" s="140">
        <v>0</v>
      </c>
      <c r="R295" s="137">
        <f t="shared" si="57"/>
        <v>0</v>
      </c>
      <c r="S295" s="141">
        <f t="shared" si="58"/>
        <v>0</v>
      </c>
      <c r="T295" s="137">
        <f t="shared" si="59"/>
        <v>0</v>
      </c>
      <c r="U295" s="137">
        <f>ROUND(VERİLER!$F$9*T295,3)</f>
        <v>0</v>
      </c>
      <c r="V295" s="336">
        <f t="shared" si="60"/>
        <v>0</v>
      </c>
      <c r="W295" s="335"/>
      <c r="X295" s="335"/>
      <c r="Y295" s="335"/>
    </row>
    <row r="296" spans="1:25" s="337" customFormat="1" ht="15" customHeight="1" x14ac:dyDescent="0.2">
      <c r="A296" s="299" t="str">
        <f>IF('İşçi Bilgileri'!A294="","",'İşçi Bilgileri'!A294)</f>
        <v/>
      </c>
      <c r="B296" s="300" t="str">
        <f>IF($A296="","",VLOOKUP($A296,'İşçi Bilgileri'!$A$2:$D$700,4,FALSE))</f>
        <v/>
      </c>
      <c r="C296" s="301" t="str">
        <f>CONCATENATE(IF($A296="","",VLOOKUP($A296,'İşçi Bilgileri'!$A$2:$D$700,2,FALSE))," ",IF($A296="","",VLOOKUP($A296,'İşçi Bilgileri'!$A$2:$D$700,3,FALSE)))</f>
        <v xml:space="preserve"> </v>
      </c>
      <c r="D296" s="137" t="str">
        <f>IF($A296="","",VERİLER!$C$5)</f>
        <v/>
      </c>
      <c r="E296" s="138" t="str">
        <f>IF($A296="","",Puantaj!AJ301)</f>
        <v/>
      </c>
      <c r="F296" s="137">
        <f t="shared" si="49"/>
        <v>0</v>
      </c>
      <c r="G296" s="137"/>
      <c r="H296" s="137">
        <f t="shared" si="50"/>
        <v>0</v>
      </c>
      <c r="I296" s="137">
        <f t="shared" si="51"/>
        <v>0</v>
      </c>
      <c r="J296" s="137">
        <f>IF(F296&gt;VERİLER!$C$7,'İşçi Bilgileri'!M294+(F296-VERİLER!$C$7),0)</f>
        <v>0</v>
      </c>
      <c r="K296" s="137">
        <f>IF(VERİLER!$C$11&gt;0,ROUND(J296*0.15,2),0)</f>
        <v>0</v>
      </c>
      <c r="L296" s="359">
        <f t="shared" si="52"/>
        <v>0</v>
      </c>
      <c r="M296" s="139">
        <f t="shared" si="53"/>
        <v>0</v>
      </c>
      <c r="N296" s="137">
        <f t="shared" si="54"/>
        <v>0</v>
      </c>
      <c r="O296" s="359">
        <f t="shared" si="55"/>
        <v>0</v>
      </c>
      <c r="P296" s="140">
        <f t="shared" si="56"/>
        <v>0</v>
      </c>
      <c r="Q296" s="140">
        <v>0</v>
      </c>
      <c r="R296" s="137">
        <f t="shared" si="57"/>
        <v>0</v>
      </c>
      <c r="S296" s="141">
        <f t="shared" si="58"/>
        <v>0</v>
      </c>
      <c r="T296" s="137">
        <f t="shared" si="59"/>
        <v>0</v>
      </c>
      <c r="U296" s="137">
        <f>ROUND(VERİLER!$F$9*T296,3)</f>
        <v>0</v>
      </c>
      <c r="V296" s="336">
        <f t="shared" si="60"/>
        <v>0</v>
      </c>
      <c r="W296" s="335"/>
      <c r="X296" s="335"/>
      <c r="Y296" s="335"/>
    </row>
    <row r="297" spans="1:25" s="337" customFormat="1" ht="15" customHeight="1" x14ac:dyDescent="0.2">
      <c r="A297" s="299" t="str">
        <f>IF('İşçi Bilgileri'!A295="","",'İşçi Bilgileri'!A295)</f>
        <v/>
      </c>
      <c r="B297" s="300" t="str">
        <f>IF($A297="","",VLOOKUP($A297,'İşçi Bilgileri'!$A$2:$D$700,4,FALSE))</f>
        <v/>
      </c>
      <c r="C297" s="301" t="str">
        <f>CONCATENATE(IF($A297="","",VLOOKUP($A297,'İşçi Bilgileri'!$A$2:$D$700,2,FALSE))," ",IF($A297="","",VLOOKUP($A297,'İşçi Bilgileri'!$A$2:$D$700,3,FALSE)))</f>
        <v xml:space="preserve"> </v>
      </c>
      <c r="D297" s="137" t="str">
        <f>IF($A297="","",VERİLER!$C$5)</f>
        <v/>
      </c>
      <c r="E297" s="138" t="str">
        <f>IF($A297="","",Puantaj!AJ302)</f>
        <v/>
      </c>
      <c r="F297" s="137">
        <f t="shared" si="49"/>
        <v>0</v>
      </c>
      <c r="G297" s="137"/>
      <c r="H297" s="137">
        <f t="shared" si="50"/>
        <v>0</v>
      </c>
      <c r="I297" s="137">
        <f t="shared" si="51"/>
        <v>0</v>
      </c>
      <c r="J297" s="137">
        <f>IF(F297&gt;VERİLER!$C$7,'İşçi Bilgileri'!M295+(F297-VERİLER!$C$7),0)</f>
        <v>0</v>
      </c>
      <c r="K297" s="137">
        <f>IF(VERİLER!$C$11&gt;0,ROUND(J297*0.15,2),0)</f>
        <v>0</v>
      </c>
      <c r="L297" s="359">
        <f t="shared" si="52"/>
        <v>0</v>
      </c>
      <c r="M297" s="139">
        <f t="shared" si="53"/>
        <v>0</v>
      </c>
      <c r="N297" s="137">
        <f t="shared" si="54"/>
        <v>0</v>
      </c>
      <c r="O297" s="359">
        <f t="shared" si="55"/>
        <v>0</v>
      </c>
      <c r="P297" s="140">
        <f t="shared" si="56"/>
        <v>0</v>
      </c>
      <c r="Q297" s="140">
        <v>0</v>
      </c>
      <c r="R297" s="137">
        <f t="shared" si="57"/>
        <v>0</v>
      </c>
      <c r="S297" s="141">
        <f t="shared" si="58"/>
        <v>0</v>
      </c>
      <c r="T297" s="137">
        <f t="shared" si="59"/>
        <v>0</v>
      </c>
      <c r="U297" s="137">
        <f>ROUND(VERİLER!$F$9*T297,3)</f>
        <v>0</v>
      </c>
      <c r="V297" s="336">
        <f t="shared" si="60"/>
        <v>0</v>
      </c>
      <c r="W297" s="335"/>
      <c r="X297" s="335"/>
      <c r="Y297" s="335"/>
    </row>
    <row r="298" spans="1:25" s="337" customFormat="1" ht="15" customHeight="1" x14ac:dyDescent="0.2">
      <c r="A298" s="299" t="str">
        <f>IF('İşçi Bilgileri'!A296="","",'İşçi Bilgileri'!A296)</f>
        <v/>
      </c>
      <c r="B298" s="300" t="str">
        <f>IF($A298="","",VLOOKUP($A298,'İşçi Bilgileri'!$A$2:$D$700,4,FALSE))</f>
        <v/>
      </c>
      <c r="C298" s="301" t="str">
        <f>CONCATENATE(IF($A298="","",VLOOKUP($A298,'İşçi Bilgileri'!$A$2:$D$700,2,FALSE))," ",IF($A298="","",VLOOKUP($A298,'İşçi Bilgileri'!$A$2:$D$700,3,FALSE)))</f>
        <v xml:space="preserve"> </v>
      </c>
      <c r="D298" s="137" t="str">
        <f>IF($A298="","",VERİLER!$C$5)</f>
        <v/>
      </c>
      <c r="E298" s="138" t="str">
        <f>IF($A298="","",Puantaj!AJ303)</f>
        <v/>
      </c>
      <c r="F298" s="137">
        <f t="shared" si="49"/>
        <v>0</v>
      </c>
      <c r="G298" s="137"/>
      <c r="H298" s="137">
        <f t="shared" si="50"/>
        <v>0</v>
      </c>
      <c r="I298" s="137">
        <f t="shared" si="51"/>
        <v>0</v>
      </c>
      <c r="J298" s="137">
        <f>IF(F298&gt;VERİLER!$C$7,'İşçi Bilgileri'!M296+(F298-VERİLER!$C$7),0)</f>
        <v>0</v>
      </c>
      <c r="K298" s="137">
        <f>IF(VERİLER!$C$11&gt;0,ROUND(J298*0.15,2),0)</f>
        <v>0</v>
      </c>
      <c r="L298" s="359">
        <f t="shared" si="52"/>
        <v>0</v>
      </c>
      <c r="M298" s="139">
        <f t="shared" si="53"/>
        <v>0</v>
      </c>
      <c r="N298" s="137">
        <f t="shared" si="54"/>
        <v>0</v>
      </c>
      <c r="O298" s="359">
        <f t="shared" si="55"/>
        <v>0</v>
      </c>
      <c r="P298" s="140">
        <f t="shared" si="56"/>
        <v>0</v>
      </c>
      <c r="Q298" s="140">
        <v>0</v>
      </c>
      <c r="R298" s="137">
        <f t="shared" si="57"/>
        <v>0</v>
      </c>
      <c r="S298" s="141">
        <f t="shared" si="58"/>
        <v>0</v>
      </c>
      <c r="T298" s="137">
        <f t="shared" si="59"/>
        <v>0</v>
      </c>
      <c r="U298" s="137">
        <f>ROUND(VERİLER!$F$9*T298,3)</f>
        <v>0</v>
      </c>
      <c r="V298" s="336">
        <f t="shared" si="60"/>
        <v>0</v>
      </c>
      <c r="W298" s="335"/>
      <c r="X298" s="335"/>
      <c r="Y298" s="335"/>
    </row>
    <row r="299" spans="1:25" s="337" customFormat="1" ht="15" customHeight="1" x14ac:dyDescent="0.2">
      <c r="A299" s="299" t="str">
        <f>IF('İşçi Bilgileri'!A297="","",'İşçi Bilgileri'!A297)</f>
        <v/>
      </c>
      <c r="B299" s="300" t="str">
        <f>IF($A299="","",VLOOKUP($A299,'İşçi Bilgileri'!$A$2:$D$700,4,FALSE))</f>
        <v/>
      </c>
      <c r="C299" s="301" t="str">
        <f>CONCATENATE(IF($A299="","",VLOOKUP($A299,'İşçi Bilgileri'!$A$2:$D$700,2,FALSE))," ",IF($A299="","",VLOOKUP($A299,'İşçi Bilgileri'!$A$2:$D$700,3,FALSE)))</f>
        <v xml:space="preserve"> </v>
      </c>
      <c r="D299" s="137" t="str">
        <f>IF($A299="","",VERİLER!$C$5)</f>
        <v/>
      </c>
      <c r="E299" s="138" t="str">
        <f>IF($A299="","",Puantaj!AJ304)</f>
        <v/>
      </c>
      <c r="F299" s="137">
        <f t="shared" si="49"/>
        <v>0</v>
      </c>
      <c r="G299" s="137"/>
      <c r="H299" s="137">
        <f t="shared" si="50"/>
        <v>0</v>
      </c>
      <c r="I299" s="137">
        <f t="shared" si="51"/>
        <v>0</v>
      </c>
      <c r="J299" s="137">
        <f>IF(F299&gt;VERİLER!$C$7,'İşçi Bilgileri'!M297+(F299-VERİLER!$C$7),0)</f>
        <v>0</v>
      </c>
      <c r="K299" s="137">
        <f>IF(VERİLER!$C$11&gt;0,ROUND(J299*0.15,2),0)</f>
        <v>0</v>
      </c>
      <c r="L299" s="359">
        <f t="shared" si="52"/>
        <v>0</v>
      </c>
      <c r="M299" s="139">
        <f t="shared" si="53"/>
        <v>0</v>
      </c>
      <c r="N299" s="137">
        <f t="shared" si="54"/>
        <v>0</v>
      </c>
      <c r="O299" s="359">
        <f t="shared" si="55"/>
        <v>0</v>
      </c>
      <c r="P299" s="140">
        <f t="shared" si="56"/>
        <v>0</v>
      </c>
      <c r="Q299" s="140">
        <v>0</v>
      </c>
      <c r="R299" s="137">
        <f t="shared" si="57"/>
        <v>0</v>
      </c>
      <c r="S299" s="141">
        <f t="shared" si="58"/>
        <v>0</v>
      </c>
      <c r="T299" s="137">
        <f t="shared" si="59"/>
        <v>0</v>
      </c>
      <c r="U299" s="137">
        <f>ROUND(VERİLER!$F$9*T299,3)</f>
        <v>0</v>
      </c>
      <c r="V299" s="336">
        <f t="shared" si="60"/>
        <v>0</v>
      </c>
      <c r="W299" s="335"/>
      <c r="X299" s="335"/>
      <c r="Y299" s="335"/>
    </row>
    <row r="300" spans="1:25" s="337" customFormat="1" ht="15" customHeight="1" x14ac:dyDescent="0.2">
      <c r="A300" s="299" t="str">
        <f>IF('İşçi Bilgileri'!A298="","",'İşçi Bilgileri'!A298)</f>
        <v/>
      </c>
      <c r="B300" s="300" t="str">
        <f>IF($A300="","",VLOOKUP($A300,'İşçi Bilgileri'!$A$2:$D$700,4,FALSE))</f>
        <v/>
      </c>
      <c r="C300" s="301" t="str">
        <f>CONCATENATE(IF($A300="","",VLOOKUP($A300,'İşçi Bilgileri'!$A$2:$D$700,2,FALSE))," ",IF($A300="","",VLOOKUP($A300,'İşçi Bilgileri'!$A$2:$D$700,3,FALSE)))</f>
        <v xml:space="preserve"> </v>
      </c>
      <c r="D300" s="137" t="str">
        <f>IF($A300="","",VERİLER!$C$5)</f>
        <v/>
      </c>
      <c r="E300" s="138" t="str">
        <f>IF($A300="","",Puantaj!AJ305)</f>
        <v/>
      </c>
      <c r="F300" s="137">
        <f t="shared" si="49"/>
        <v>0</v>
      </c>
      <c r="G300" s="137"/>
      <c r="H300" s="137">
        <f t="shared" si="50"/>
        <v>0</v>
      </c>
      <c r="I300" s="137">
        <f t="shared" si="51"/>
        <v>0</v>
      </c>
      <c r="J300" s="137">
        <f>IF(F300&gt;VERİLER!$C$7,'İşçi Bilgileri'!M298+(F300-VERİLER!$C$7),0)</f>
        <v>0</v>
      </c>
      <c r="K300" s="137">
        <f>IF(VERİLER!$C$11&gt;0,ROUND(J300*0.15,2),0)</f>
        <v>0</v>
      </c>
      <c r="L300" s="359">
        <f t="shared" si="52"/>
        <v>0</v>
      </c>
      <c r="M300" s="139">
        <f t="shared" si="53"/>
        <v>0</v>
      </c>
      <c r="N300" s="137">
        <f t="shared" si="54"/>
        <v>0</v>
      </c>
      <c r="O300" s="359">
        <f t="shared" si="55"/>
        <v>0</v>
      </c>
      <c r="P300" s="140">
        <f t="shared" si="56"/>
        <v>0</v>
      </c>
      <c r="Q300" s="140">
        <v>0</v>
      </c>
      <c r="R300" s="137">
        <f t="shared" si="57"/>
        <v>0</v>
      </c>
      <c r="S300" s="141">
        <f t="shared" si="58"/>
        <v>0</v>
      </c>
      <c r="T300" s="137">
        <f t="shared" si="59"/>
        <v>0</v>
      </c>
      <c r="U300" s="137">
        <f>ROUND(VERİLER!$F$9*T300,3)</f>
        <v>0</v>
      </c>
      <c r="V300" s="336">
        <f t="shared" si="60"/>
        <v>0</v>
      </c>
      <c r="W300" s="335"/>
      <c r="X300" s="335"/>
      <c r="Y300" s="335"/>
    </row>
    <row r="301" spans="1:25" s="337" customFormat="1" ht="15" customHeight="1" x14ac:dyDescent="0.2">
      <c r="A301" s="299" t="str">
        <f>IF('İşçi Bilgileri'!A299="","",'İşçi Bilgileri'!A299)</f>
        <v/>
      </c>
      <c r="B301" s="300" t="str">
        <f>IF($A301="","",VLOOKUP($A301,'İşçi Bilgileri'!$A$2:$D$700,4,FALSE))</f>
        <v/>
      </c>
      <c r="C301" s="301" t="str">
        <f>CONCATENATE(IF($A301="","",VLOOKUP($A301,'İşçi Bilgileri'!$A$2:$D$700,2,FALSE))," ",IF($A301="","",VLOOKUP($A301,'İşçi Bilgileri'!$A$2:$D$700,3,FALSE)))</f>
        <v xml:space="preserve"> </v>
      </c>
      <c r="D301" s="137" t="str">
        <f>IF($A301="","",VERİLER!$C$5)</f>
        <v/>
      </c>
      <c r="E301" s="138" t="str">
        <f>IF($A301="","",Puantaj!AJ306)</f>
        <v/>
      </c>
      <c r="F301" s="137">
        <f t="shared" si="49"/>
        <v>0</v>
      </c>
      <c r="G301" s="137"/>
      <c r="H301" s="137">
        <f t="shared" si="50"/>
        <v>0</v>
      </c>
      <c r="I301" s="137">
        <f t="shared" si="51"/>
        <v>0</v>
      </c>
      <c r="J301" s="137">
        <f>IF(F301&gt;VERİLER!$C$7,'İşçi Bilgileri'!M299+(F301-VERİLER!$C$7),0)</f>
        <v>0</v>
      </c>
      <c r="K301" s="137">
        <f>IF(VERİLER!$C$11&gt;0,ROUND(J301*0.15,2),0)</f>
        <v>0</v>
      </c>
      <c r="L301" s="359">
        <f t="shared" si="52"/>
        <v>0</v>
      </c>
      <c r="M301" s="139">
        <f t="shared" si="53"/>
        <v>0</v>
      </c>
      <c r="N301" s="137">
        <f t="shared" si="54"/>
        <v>0</v>
      </c>
      <c r="O301" s="359">
        <f t="shared" si="55"/>
        <v>0</v>
      </c>
      <c r="P301" s="140">
        <f t="shared" si="56"/>
        <v>0</v>
      </c>
      <c r="Q301" s="140">
        <v>0</v>
      </c>
      <c r="R301" s="137">
        <f t="shared" si="57"/>
        <v>0</v>
      </c>
      <c r="S301" s="141">
        <f t="shared" si="58"/>
        <v>0</v>
      </c>
      <c r="T301" s="137">
        <f t="shared" si="59"/>
        <v>0</v>
      </c>
      <c r="U301" s="137">
        <f>ROUND(VERİLER!$F$9*T301,3)</f>
        <v>0</v>
      </c>
      <c r="V301" s="336">
        <f t="shared" si="60"/>
        <v>0</v>
      </c>
      <c r="W301" s="335"/>
      <c r="X301" s="335"/>
      <c r="Y301" s="335"/>
    </row>
    <row r="302" spans="1:25" s="337" customFormat="1" ht="15" customHeight="1" x14ac:dyDescent="0.2">
      <c r="A302" s="299" t="str">
        <f>IF('İşçi Bilgileri'!A300="","",'İşçi Bilgileri'!A300)</f>
        <v/>
      </c>
      <c r="B302" s="300" t="str">
        <f>IF($A302="","",VLOOKUP($A302,'İşçi Bilgileri'!$A$2:$D$700,4,FALSE))</f>
        <v/>
      </c>
      <c r="C302" s="301" t="str">
        <f>CONCATENATE(IF($A302="","",VLOOKUP($A302,'İşçi Bilgileri'!$A$2:$D$700,2,FALSE))," ",IF($A302="","",VLOOKUP($A302,'İşçi Bilgileri'!$A$2:$D$700,3,FALSE)))</f>
        <v xml:space="preserve"> </v>
      </c>
      <c r="D302" s="137" t="str">
        <f>IF($A302="","",VERİLER!$C$5)</f>
        <v/>
      </c>
      <c r="E302" s="138" t="str">
        <f>IF($A302="","",Puantaj!AJ307)</f>
        <v/>
      </c>
      <c r="F302" s="137">
        <f t="shared" si="49"/>
        <v>0</v>
      </c>
      <c r="G302" s="137"/>
      <c r="H302" s="137">
        <f t="shared" si="50"/>
        <v>0</v>
      </c>
      <c r="I302" s="137">
        <f t="shared" si="51"/>
        <v>0</v>
      </c>
      <c r="J302" s="137">
        <f>IF(F302&gt;VERİLER!$C$7,'İşçi Bilgileri'!M300+(F302-VERİLER!$C$7),0)</f>
        <v>0</v>
      </c>
      <c r="K302" s="137">
        <f>IF(VERİLER!$C$11&gt;0,ROUND(J302*0.15,2),0)</f>
        <v>0</v>
      </c>
      <c r="L302" s="359">
        <f t="shared" si="52"/>
        <v>0</v>
      </c>
      <c r="M302" s="139">
        <f t="shared" si="53"/>
        <v>0</v>
      </c>
      <c r="N302" s="137">
        <f t="shared" si="54"/>
        <v>0</v>
      </c>
      <c r="O302" s="359">
        <f t="shared" si="55"/>
        <v>0</v>
      </c>
      <c r="P302" s="140">
        <f t="shared" si="56"/>
        <v>0</v>
      </c>
      <c r="Q302" s="140">
        <v>0</v>
      </c>
      <c r="R302" s="137">
        <f t="shared" si="57"/>
        <v>0</v>
      </c>
      <c r="S302" s="141">
        <f t="shared" si="58"/>
        <v>0</v>
      </c>
      <c r="T302" s="137">
        <f t="shared" si="59"/>
        <v>0</v>
      </c>
      <c r="U302" s="137">
        <f>ROUND(VERİLER!$F$9*T302,3)</f>
        <v>0</v>
      </c>
      <c r="V302" s="336">
        <f t="shared" si="60"/>
        <v>0</v>
      </c>
      <c r="W302" s="335"/>
      <c r="X302" s="335"/>
      <c r="Y302" s="335"/>
    </row>
    <row r="303" spans="1:25" s="337" customFormat="1" ht="15" customHeight="1" x14ac:dyDescent="0.2">
      <c r="A303" s="299" t="str">
        <f>IF('İşçi Bilgileri'!A301="","",'İşçi Bilgileri'!A301)</f>
        <v/>
      </c>
      <c r="B303" s="300" t="str">
        <f>IF($A303="","",VLOOKUP($A303,'İşçi Bilgileri'!$A$2:$D$700,4,FALSE))</f>
        <v/>
      </c>
      <c r="C303" s="301" t="str">
        <f>CONCATENATE(IF($A303="","",VLOOKUP($A303,'İşçi Bilgileri'!$A$2:$D$700,2,FALSE))," ",IF($A303="","",VLOOKUP($A303,'İşçi Bilgileri'!$A$2:$D$700,3,FALSE)))</f>
        <v xml:space="preserve"> </v>
      </c>
      <c r="D303" s="137" t="str">
        <f>IF($A303="","",VERİLER!$C$5)</f>
        <v/>
      </c>
      <c r="E303" s="138" t="str">
        <f>IF($A303="","",Puantaj!AJ308)</f>
        <v/>
      </c>
      <c r="F303" s="137">
        <f t="shared" si="49"/>
        <v>0</v>
      </c>
      <c r="G303" s="137"/>
      <c r="H303" s="137">
        <f t="shared" si="50"/>
        <v>0</v>
      </c>
      <c r="I303" s="137">
        <f t="shared" si="51"/>
        <v>0</v>
      </c>
      <c r="J303" s="137">
        <f>IF(F303&gt;VERİLER!$C$7,'İşçi Bilgileri'!M301+(F303-VERİLER!$C$7),0)</f>
        <v>0</v>
      </c>
      <c r="K303" s="137">
        <f>IF(VERİLER!$C$11&gt;0,ROUND(J303*0.15,2),0)</f>
        <v>0</v>
      </c>
      <c r="L303" s="359">
        <f t="shared" si="52"/>
        <v>0</v>
      </c>
      <c r="M303" s="139">
        <f t="shared" si="53"/>
        <v>0</v>
      </c>
      <c r="N303" s="137">
        <f t="shared" si="54"/>
        <v>0</v>
      </c>
      <c r="O303" s="359">
        <f t="shared" si="55"/>
        <v>0</v>
      </c>
      <c r="P303" s="140">
        <f t="shared" si="56"/>
        <v>0</v>
      </c>
      <c r="Q303" s="140">
        <v>0</v>
      </c>
      <c r="R303" s="137">
        <f t="shared" si="57"/>
        <v>0</v>
      </c>
      <c r="S303" s="141">
        <f t="shared" si="58"/>
        <v>0</v>
      </c>
      <c r="T303" s="137">
        <f t="shared" si="59"/>
        <v>0</v>
      </c>
      <c r="U303" s="137">
        <f>ROUND(VERİLER!$F$9*T303,3)</f>
        <v>0</v>
      </c>
      <c r="V303" s="336">
        <f t="shared" si="60"/>
        <v>0</v>
      </c>
      <c r="W303" s="335"/>
      <c r="X303" s="335"/>
      <c r="Y303" s="335"/>
    </row>
    <row r="304" spans="1:25" s="337" customFormat="1" ht="15" customHeight="1" x14ac:dyDescent="0.2">
      <c r="A304" s="299" t="str">
        <f>IF('İşçi Bilgileri'!A302="","",'İşçi Bilgileri'!A302)</f>
        <v/>
      </c>
      <c r="B304" s="300" t="str">
        <f>IF($A304="","",VLOOKUP($A304,'İşçi Bilgileri'!$A$2:$D$700,4,FALSE))</f>
        <v/>
      </c>
      <c r="C304" s="301" t="str">
        <f>CONCATENATE(IF($A304="","",VLOOKUP($A304,'İşçi Bilgileri'!$A$2:$D$700,2,FALSE))," ",IF($A304="","",VLOOKUP($A304,'İşçi Bilgileri'!$A$2:$D$700,3,FALSE)))</f>
        <v xml:space="preserve"> </v>
      </c>
      <c r="D304" s="137" t="str">
        <f>IF($A304="","",VERİLER!$C$5)</f>
        <v/>
      </c>
      <c r="E304" s="138" t="str">
        <f>IF($A304="","",Puantaj!AJ309)</f>
        <v/>
      </c>
      <c r="F304" s="137">
        <f t="shared" si="49"/>
        <v>0</v>
      </c>
      <c r="G304" s="137"/>
      <c r="H304" s="137">
        <f t="shared" si="50"/>
        <v>0</v>
      </c>
      <c r="I304" s="137">
        <f t="shared" si="51"/>
        <v>0</v>
      </c>
      <c r="J304" s="137">
        <f>IF(F304&gt;VERİLER!$C$7,'İşçi Bilgileri'!M302+(F304-VERİLER!$C$7),0)</f>
        <v>0</v>
      </c>
      <c r="K304" s="137">
        <f>IF(VERİLER!$C$11&gt;0,ROUND(J304*0.15,2),0)</f>
        <v>0</v>
      </c>
      <c r="L304" s="359">
        <f t="shared" si="52"/>
        <v>0</v>
      </c>
      <c r="M304" s="139">
        <f t="shared" si="53"/>
        <v>0</v>
      </c>
      <c r="N304" s="137">
        <f t="shared" si="54"/>
        <v>0</v>
      </c>
      <c r="O304" s="359">
        <f t="shared" si="55"/>
        <v>0</v>
      </c>
      <c r="P304" s="140">
        <f t="shared" si="56"/>
        <v>0</v>
      </c>
      <c r="Q304" s="140">
        <v>0</v>
      </c>
      <c r="R304" s="137">
        <f t="shared" si="57"/>
        <v>0</v>
      </c>
      <c r="S304" s="141">
        <f t="shared" si="58"/>
        <v>0</v>
      </c>
      <c r="T304" s="137">
        <f t="shared" si="59"/>
        <v>0</v>
      </c>
      <c r="U304" s="137">
        <f>ROUND(VERİLER!$F$9*T304,3)</f>
        <v>0</v>
      </c>
      <c r="V304" s="336">
        <f t="shared" si="60"/>
        <v>0</v>
      </c>
      <c r="W304" s="335"/>
      <c r="X304" s="335"/>
      <c r="Y304" s="335"/>
    </row>
    <row r="305" spans="1:25" s="337" customFormat="1" ht="15" customHeight="1" x14ac:dyDescent="0.2">
      <c r="A305" s="299" t="str">
        <f>IF('İşçi Bilgileri'!A303="","",'İşçi Bilgileri'!A303)</f>
        <v/>
      </c>
      <c r="B305" s="300" t="str">
        <f>IF($A305="","",VLOOKUP($A305,'İşçi Bilgileri'!$A$2:$D$700,4,FALSE))</f>
        <v/>
      </c>
      <c r="C305" s="301" t="str">
        <f>CONCATENATE(IF($A305="","",VLOOKUP($A305,'İşçi Bilgileri'!$A$2:$D$700,2,FALSE))," ",IF($A305="","",VLOOKUP($A305,'İşçi Bilgileri'!$A$2:$D$700,3,FALSE)))</f>
        <v xml:space="preserve"> </v>
      </c>
      <c r="D305" s="137" t="str">
        <f>IF($A305="","",VERİLER!$C$5)</f>
        <v/>
      </c>
      <c r="E305" s="138" t="str">
        <f>IF($A305="","",Puantaj!AJ310)</f>
        <v/>
      </c>
      <c r="F305" s="137">
        <f t="shared" si="49"/>
        <v>0</v>
      </c>
      <c r="G305" s="137"/>
      <c r="H305" s="137">
        <f t="shared" si="50"/>
        <v>0</v>
      </c>
      <c r="I305" s="137">
        <f t="shared" si="51"/>
        <v>0</v>
      </c>
      <c r="J305" s="137">
        <f>IF(F305&gt;VERİLER!$C$7,'İşçi Bilgileri'!M303+(F305-VERİLER!$C$7),0)</f>
        <v>0</v>
      </c>
      <c r="K305" s="137">
        <f>IF(VERİLER!$C$11&gt;0,ROUND(J305*0.15,2),0)</f>
        <v>0</v>
      </c>
      <c r="L305" s="359">
        <f t="shared" si="52"/>
        <v>0</v>
      </c>
      <c r="M305" s="139">
        <f t="shared" si="53"/>
        <v>0</v>
      </c>
      <c r="N305" s="137">
        <f t="shared" si="54"/>
        <v>0</v>
      </c>
      <c r="O305" s="359">
        <f t="shared" si="55"/>
        <v>0</v>
      </c>
      <c r="P305" s="140">
        <f t="shared" si="56"/>
        <v>0</v>
      </c>
      <c r="Q305" s="140">
        <v>0</v>
      </c>
      <c r="R305" s="137">
        <f t="shared" si="57"/>
        <v>0</v>
      </c>
      <c r="S305" s="141">
        <f t="shared" si="58"/>
        <v>0</v>
      </c>
      <c r="T305" s="137">
        <f t="shared" si="59"/>
        <v>0</v>
      </c>
      <c r="U305" s="137">
        <f>ROUND(VERİLER!$F$9*T305,3)</f>
        <v>0</v>
      </c>
      <c r="V305" s="336">
        <f t="shared" si="60"/>
        <v>0</v>
      </c>
      <c r="W305" s="335"/>
      <c r="X305" s="335"/>
      <c r="Y305" s="335"/>
    </row>
    <row r="306" spans="1:25" s="337" customFormat="1" ht="15" customHeight="1" x14ac:dyDescent="0.2">
      <c r="A306" s="299" t="str">
        <f>IF('İşçi Bilgileri'!A304="","",'İşçi Bilgileri'!A304)</f>
        <v/>
      </c>
      <c r="B306" s="300" t="str">
        <f>IF($A306="","",VLOOKUP($A306,'İşçi Bilgileri'!$A$2:$D$700,4,FALSE))</f>
        <v/>
      </c>
      <c r="C306" s="301" t="str">
        <f>CONCATENATE(IF($A306="","",VLOOKUP($A306,'İşçi Bilgileri'!$A$2:$D$700,2,FALSE))," ",IF($A306="","",VLOOKUP($A306,'İşçi Bilgileri'!$A$2:$D$700,3,FALSE)))</f>
        <v xml:space="preserve"> </v>
      </c>
      <c r="D306" s="137" t="str">
        <f>IF($A306="","",VERİLER!$C$5)</f>
        <v/>
      </c>
      <c r="E306" s="138" t="str">
        <f>IF($A306="","",Puantaj!AJ311)</f>
        <v/>
      </c>
      <c r="F306" s="137">
        <f t="shared" si="49"/>
        <v>0</v>
      </c>
      <c r="G306" s="137"/>
      <c r="H306" s="137">
        <f t="shared" si="50"/>
        <v>0</v>
      </c>
      <c r="I306" s="137">
        <f t="shared" si="51"/>
        <v>0</v>
      </c>
      <c r="J306" s="137">
        <f>IF(F306&gt;VERİLER!$C$7,'İşçi Bilgileri'!M304+(F306-VERİLER!$C$7),0)</f>
        <v>0</v>
      </c>
      <c r="K306" s="137">
        <f>IF(VERİLER!$C$11&gt;0,ROUND(J306*0.15,2),0)</f>
        <v>0</v>
      </c>
      <c r="L306" s="359">
        <f t="shared" si="52"/>
        <v>0</v>
      </c>
      <c r="M306" s="139">
        <f t="shared" si="53"/>
        <v>0</v>
      </c>
      <c r="N306" s="137">
        <f t="shared" si="54"/>
        <v>0</v>
      </c>
      <c r="O306" s="359">
        <f t="shared" si="55"/>
        <v>0</v>
      </c>
      <c r="P306" s="140">
        <f t="shared" si="56"/>
        <v>0</v>
      </c>
      <c r="Q306" s="140">
        <v>0</v>
      </c>
      <c r="R306" s="137">
        <f t="shared" si="57"/>
        <v>0</v>
      </c>
      <c r="S306" s="141">
        <f t="shared" si="58"/>
        <v>0</v>
      </c>
      <c r="T306" s="137">
        <f t="shared" si="59"/>
        <v>0</v>
      </c>
      <c r="U306" s="137">
        <f>ROUND(VERİLER!$F$9*T306,3)</f>
        <v>0</v>
      </c>
      <c r="V306" s="336">
        <f t="shared" si="60"/>
        <v>0</v>
      </c>
      <c r="W306" s="335"/>
      <c r="X306" s="335"/>
      <c r="Y306" s="335"/>
    </row>
    <row r="307" spans="1:25" s="337" customFormat="1" ht="15" customHeight="1" x14ac:dyDescent="0.2">
      <c r="A307" s="299" t="str">
        <f>IF('İşçi Bilgileri'!A305="","",'İşçi Bilgileri'!A305)</f>
        <v/>
      </c>
      <c r="B307" s="300" t="str">
        <f>IF($A307="","",VLOOKUP($A307,'İşçi Bilgileri'!$A$2:$D$700,4,FALSE))</f>
        <v/>
      </c>
      <c r="C307" s="301" t="str">
        <f>CONCATENATE(IF($A307="","",VLOOKUP($A307,'İşçi Bilgileri'!$A$2:$D$700,2,FALSE))," ",IF($A307="","",VLOOKUP($A307,'İşçi Bilgileri'!$A$2:$D$700,3,FALSE)))</f>
        <v xml:space="preserve"> </v>
      </c>
      <c r="D307" s="137" t="str">
        <f>IF($A307="","",VERİLER!$C$5)</f>
        <v/>
      </c>
      <c r="E307" s="138" t="str">
        <f>IF($A307="","",Puantaj!AJ312)</f>
        <v/>
      </c>
      <c r="F307" s="137">
        <f t="shared" si="49"/>
        <v>0</v>
      </c>
      <c r="G307" s="137"/>
      <c r="H307" s="137">
        <f t="shared" si="50"/>
        <v>0</v>
      </c>
      <c r="I307" s="137">
        <f t="shared" si="51"/>
        <v>0</v>
      </c>
      <c r="J307" s="137">
        <f>IF(F307&gt;VERİLER!$C$7,'İşçi Bilgileri'!M305+(F307-VERİLER!$C$7),0)</f>
        <v>0</v>
      </c>
      <c r="K307" s="137">
        <f>IF(VERİLER!$C$11&gt;0,ROUND(J307*0.15,2),0)</f>
        <v>0</v>
      </c>
      <c r="L307" s="359">
        <f t="shared" si="52"/>
        <v>0</v>
      </c>
      <c r="M307" s="139">
        <f t="shared" si="53"/>
        <v>0</v>
      </c>
      <c r="N307" s="137">
        <f t="shared" si="54"/>
        <v>0</v>
      </c>
      <c r="O307" s="359">
        <f t="shared" si="55"/>
        <v>0</v>
      </c>
      <c r="P307" s="140">
        <f t="shared" si="56"/>
        <v>0</v>
      </c>
      <c r="Q307" s="140">
        <v>0</v>
      </c>
      <c r="R307" s="137">
        <f t="shared" si="57"/>
        <v>0</v>
      </c>
      <c r="S307" s="141">
        <f t="shared" si="58"/>
        <v>0</v>
      </c>
      <c r="T307" s="137">
        <f t="shared" si="59"/>
        <v>0</v>
      </c>
      <c r="U307" s="137">
        <f>ROUND(VERİLER!$F$9*T307,3)</f>
        <v>0</v>
      </c>
      <c r="V307" s="336">
        <f t="shared" si="60"/>
        <v>0</v>
      </c>
      <c r="W307" s="335"/>
      <c r="X307" s="335"/>
      <c r="Y307" s="335"/>
    </row>
    <row r="308" spans="1:25" s="337" customFormat="1" ht="15" customHeight="1" x14ac:dyDescent="0.2">
      <c r="A308" s="299" t="str">
        <f>IF('İşçi Bilgileri'!A306="","",'İşçi Bilgileri'!A306)</f>
        <v/>
      </c>
      <c r="B308" s="300" t="str">
        <f>IF($A308="","",VLOOKUP($A308,'İşçi Bilgileri'!$A$2:$D$700,4,FALSE))</f>
        <v/>
      </c>
      <c r="C308" s="301" t="str">
        <f>CONCATENATE(IF($A308="","",VLOOKUP($A308,'İşçi Bilgileri'!$A$2:$D$700,2,FALSE))," ",IF($A308="","",VLOOKUP($A308,'İşçi Bilgileri'!$A$2:$D$700,3,FALSE)))</f>
        <v xml:space="preserve"> </v>
      </c>
      <c r="D308" s="137" t="str">
        <f>IF($A308="","",VERİLER!$C$5)</f>
        <v/>
      </c>
      <c r="E308" s="138" t="str">
        <f>IF($A308="","",Puantaj!AJ313)</f>
        <v/>
      </c>
      <c r="F308" s="137">
        <f t="shared" si="49"/>
        <v>0</v>
      </c>
      <c r="G308" s="137"/>
      <c r="H308" s="137">
        <f t="shared" si="50"/>
        <v>0</v>
      </c>
      <c r="I308" s="137">
        <f t="shared" si="51"/>
        <v>0</v>
      </c>
      <c r="J308" s="137">
        <f>IF(F308&gt;VERİLER!$C$7,'İşçi Bilgileri'!M306+(F308-VERİLER!$C$7),0)</f>
        <v>0</v>
      </c>
      <c r="K308" s="137">
        <f>IF(VERİLER!$C$11&gt;0,ROUND(J308*0.15,2),0)</f>
        <v>0</v>
      </c>
      <c r="L308" s="359">
        <f t="shared" si="52"/>
        <v>0</v>
      </c>
      <c r="M308" s="139">
        <f t="shared" si="53"/>
        <v>0</v>
      </c>
      <c r="N308" s="137">
        <f t="shared" si="54"/>
        <v>0</v>
      </c>
      <c r="O308" s="359">
        <f t="shared" si="55"/>
        <v>0</v>
      </c>
      <c r="P308" s="140">
        <f t="shared" si="56"/>
        <v>0</v>
      </c>
      <c r="Q308" s="140">
        <v>0</v>
      </c>
      <c r="R308" s="137">
        <f t="shared" si="57"/>
        <v>0</v>
      </c>
      <c r="S308" s="141">
        <f t="shared" si="58"/>
        <v>0</v>
      </c>
      <c r="T308" s="137">
        <f t="shared" si="59"/>
        <v>0</v>
      </c>
      <c r="U308" s="137">
        <f>ROUND(VERİLER!$F$9*T308,3)</f>
        <v>0</v>
      </c>
      <c r="V308" s="336">
        <f t="shared" si="60"/>
        <v>0</v>
      </c>
      <c r="W308" s="335"/>
      <c r="X308" s="335"/>
      <c r="Y308" s="335"/>
    </row>
    <row r="309" spans="1:25" s="337" customFormat="1" ht="15" customHeight="1" x14ac:dyDescent="0.2">
      <c r="A309" s="299" t="str">
        <f>IF('İşçi Bilgileri'!A307="","",'İşçi Bilgileri'!A307)</f>
        <v/>
      </c>
      <c r="B309" s="300" t="str">
        <f>IF($A309="","",VLOOKUP($A309,'İşçi Bilgileri'!$A$2:$D$700,4,FALSE))</f>
        <v/>
      </c>
      <c r="C309" s="301" t="str">
        <f>CONCATENATE(IF($A309="","",VLOOKUP($A309,'İşçi Bilgileri'!$A$2:$D$700,2,FALSE))," ",IF($A309="","",VLOOKUP($A309,'İşçi Bilgileri'!$A$2:$D$700,3,FALSE)))</f>
        <v xml:space="preserve"> </v>
      </c>
      <c r="D309" s="137" t="str">
        <f>IF($A309="","",VERİLER!$C$5)</f>
        <v/>
      </c>
      <c r="E309" s="138" t="str">
        <f>IF($A309="","",Puantaj!AJ314)</f>
        <v/>
      </c>
      <c r="F309" s="137">
        <f t="shared" si="49"/>
        <v>0</v>
      </c>
      <c r="G309" s="137"/>
      <c r="H309" s="137">
        <f t="shared" si="50"/>
        <v>0</v>
      </c>
      <c r="I309" s="137">
        <f t="shared" si="51"/>
        <v>0</v>
      </c>
      <c r="J309" s="137">
        <f>IF(F309&gt;VERİLER!$C$7,'İşçi Bilgileri'!M307+(F309-VERİLER!$C$7),0)</f>
        <v>0</v>
      </c>
      <c r="K309" s="137">
        <f>IF(VERİLER!$C$11&gt;0,ROUND(J309*0.15,2),0)</f>
        <v>0</v>
      </c>
      <c r="L309" s="359">
        <f t="shared" si="52"/>
        <v>0</v>
      </c>
      <c r="M309" s="139">
        <f t="shared" si="53"/>
        <v>0</v>
      </c>
      <c r="N309" s="137">
        <f t="shared" si="54"/>
        <v>0</v>
      </c>
      <c r="O309" s="359">
        <f t="shared" si="55"/>
        <v>0</v>
      </c>
      <c r="P309" s="140">
        <f t="shared" si="56"/>
        <v>0</v>
      </c>
      <c r="Q309" s="140">
        <v>0</v>
      </c>
      <c r="R309" s="137">
        <f t="shared" si="57"/>
        <v>0</v>
      </c>
      <c r="S309" s="141">
        <f t="shared" si="58"/>
        <v>0</v>
      </c>
      <c r="T309" s="137">
        <f t="shared" si="59"/>
        <v>0</v>
      </c>
      <c r="U309" s="137">
        <f>ROUND(VERİLER!$F$9*T309,3)</f>
        <v>0</v>
      </c>
      <c r="V309" s="336">
        <f t="shared" si="60"/>
        <v>0</v>
      </c>
      <c r="W309" s="335"/>
      <c r="X309" s="335"/>
      <c r="Y309" s="335"/>
    </row>
    <row r="310" spans="1:25" s="337" customFormat="1" ht="15" customHeight="1" x14ac:dyDescent="0.2">
      <c r="A310" s="299" t="str">
        <f>IF('İşçi Bilgileri'!A308="","",'İşçi Bilgileri'!A308)</f>
        <v/>
      </c>
      <c r="B310" s="300" t="str">
        <f>IF($A310="","",VLOOKUP($A310,'İşçi Bilgileri'!$A$2:$D$700,4,FALSE))</f>
        <v/>
      </c>
      <c r="C310" s="301" t="str">
        <f>CONCATENATE(IF($A310="","",VLOOKUP($A310,'İşçi Bilgileri'!$A$2:$D$700,2,FALSE))," ",IF($A310="","",VLOOKUP($A310,'İşçi Bilgileri'!$A$2:$D$700,3,FALSE)))</f>
        <v xml:space="preserve"> </v>
      </c>
      <c r="D310" s="137" t="str">
        <f>IF($A310="","",VERİLER!$C$5)</f>
        <v/>
      </c>
      <c r="E310" s="138" t="str">
        <f>IF($A310="","",Puantaj!AJ315)</f>
        <v/>
      </c>
      <c r="F310" s="137">
        <f t="shared" si="49"/>
        <v>0</v>
      </c>
      <c r="G310" s="137"/>
      <c r="H310" s="137">
        <f t="shared" si="50"/>
        <v>0</v>
      </c>
      <c r="I310" s="137">
        <f t="shared" si="51"/>
        <v>0</v>
      </c>
      <c r="J310" s="137">
        <f>IF(F310&gt;VERİLER!$C$7,'İşçi Bilgileri'!M308+(F310-VERİLER!$C$7),0)</f>
        <v>0</v>
      </c>
      <c r="K310" s="137">
        <f>IF(VERİLER!$C$11&gt;0,ROUND(J310*0.15,2),0)</f>
        <v>0</v>
      </c>
      <c r="L310" s="359">
        <f t="shared" si="52"/>
        <v>0</v>
      </c>
      <c r="M310" s="139">
        <f t="shared" si="53"/>
        <v>0</v>
      </c>
      <c r="N310" s="137">
        <f t="shared" si="54"/>
        <v>0</v>
      </c>
      <c r="O310" s="359">
        <f t="shared" si="55"/>
        <v>0</v>
      </c>
      <c r="P310" s="140">
        <f t="shared" si="56"/>
        <v>0</v>
      </c>
      <c r="Q310" s="140">
        <v>0</v>
      </c>
      <c r="R310" s="137">
        <f t="shared" si="57"/>
        <v>0</v>
      </c>
      <c r="S310" s="141">
        <f t="shared" si="58"/>
        <v>0</v>
      </c>
      <c r="T310" s="137">
        <f t="shared" si="59"/>
        <v>0</v>
      </c>
      <c r="U310" s="137">
        <f>ROUND(VERİLER!$F$9*T310,3)</f>
        <v>0</v>
      </c>
      <c r="V310" s="336">
        <f t="shared" si="60"/>
        <v>0</v>
      </c>
      <c r="W310" s="335"/>
      <c r="X310" s="335"/>
      <c r="Y310" s="335"/>
    </row>
    <row r="311" spans="1:25" s="337" customFormat="1" ht="15" customHeight="1" x14ac:dyDescent="0.2">
      <c r="A311" s="299" t="str">
        <f>IF('İşçi Bilgileri'!A309="","",'İşçi Bilgileri'!A309)</f>
        <v/>
      </c>
      <c r="B311" s="300" t="str">
        <f>IF($A311="","",VLOOKUP($A311,'İşçi Bilgileri'!$A$2:$D$700,4,FALSE))</f>
        <v/>
      </c>
      <c r="C311" s="301" t="str">
        <f>CONCATENATE(IF($A311="","",VLOOKUP($A311,'İşçi Bilgileri'!$A$2:$D$700,2,FALSE))," ",IF($A311="","",VLOOKUP($A311,'İşçi Bilgileri'!$A$2:$D$700,3,FALSE)))</f>
        <v xml:space="preserve"> </v>
      </c>
      <c r="D311" s="137" t="str">
        <f>IF($A311="","",VERİLER!$C$5)</f>
        <v/>
      </c>
      <c r="E311" s="138" t="str">
        <f>IF($A311="","",Puantaj!AJ316)</f>
        <v/>
      </c>
      <c r="F311" s="137">
        <f t="shared" si="49"/>
        <v>0</v>
      </c>
      <c r="G311" s="137"/>
      <c r="H311" s="137">
        <f t="shared" si="50"/>
        <v>0</v>
      </c>
      <c r="I311" s="137">
        <f t="shared" si="51"/>
        <v>0</v>
      </c>
      <c r="J311" s="137">
        <f>IF(F311&gt;VERİLER!$C$7,'İşçi Bilgileri'!M309+(F311-VERİLER!$C$7),0)</f>
        <v>0</v>
      </c>
      <c r="K311" s="137">
        <f>IF(VERİLER!$C$11&gt;0,ROUND(J311*0.15,2),0)</f>
        <v>0</v>
      </c>
      <c r="L311" s="359">
        <f t="shared" si="52"/>
        <v>0</v>
      </c>
      <c r="M311" s="139">
        <f t="shared" si="53"/>
        <v>0</v>
      </c>
      <c r="N311" s="137">
        <f t="shared" si="54"/>
        <v>0</v>
      </c>
      <c r="O311" s="359">
        <f t="shared" si="55"/>
        <v>0</v>
      </c>
      <c r="P311" s="140">
        <f t="shared" si="56"/>
        <v>0</v>
      </c>
      <c r="Q311" s="140">
        <v>0</v>
      </c>
      <c r="R311" s="137">
        <f t="shared" si="57"/>
        <v>0</v>
      </c>
      <c r="S311" s="141">
        <f t="shared" si="58"/>
        <v>0</v>
      </c>
      <c r="T311" s="137">
        <f t="shared" si="59"/>
        <v>0</v>
      </c>
      <c r="U311" s="137">
        <f>ROUND(VERİLER!$F$9*T311,3)</f>
        <v>0</v>
      </c>
      <c r="V311" s="336">
        <f t="shared" si="60"/>
        <v>0</v>
      </c>
      <c r="W311" s="335"/>
      <c r="X311" s="335"/>
      <c r="Y311" s="335"/>
    </row>
    <row r="312" spans="1:25" s="337" customFormat="1" ht="15" customHeight="1" x14ac:dyDescent="0.2">
      <c r="A312" s="299" t="str">
        <f>IF('İşçi Bilgileri'!A310="","",'İşçi Bilgileri'!A310)</f>
        <v/>
      </c>
      <c r="B312" s="300" t="str">
        <f>IF($A312="","",VLOOKUP($A312,'İşçi Bilgileri'!$A$2:$D$700,4,FALSE))</f>
        <v/>
      </c>
      <c r="C312" s="301" t="str">
        <f>CONCATENATE(IF($A312="","",VLOOKUP($A312,'İşçi Bilgileri'!$A$2:$D$700,2,FALSE))," ",IF($A312="","",VLOOKUP($A312,'İşçi Bilgileri'!$A$2:$D$700,3,FALSE)))</f>
        <v xml:space="preserve"> </v>
      </c>
      <c r="D312" s="137" t="str">
        <f>IF($A312="","",VERİLER!$C$5)</f>
        <v/>
      </c>
      <c r="E312" s="138" t="str">
        <f>IF($A312="","",Puantaj!AJ317)</f>
        <v/>
      </c>
      <c r="F312" s="137">
        <f t="shared" si="49"/>
        <v>0</v>
      </c>
      <c r="G312" s="137"/>
      <c r="H312" s="137">
        <f t="shared" si="50"/>
        <v>0</v>
      </c>
      <c r="I312" s="137">
        <f t="shared" si="51"/>
        <v>0</v>
      </c>
      <c r="J312" s="137">
        <f>IF(F312&gt;VERİLER!$C$7,'İşçi Bilgileri'!M310+(F312-VERİLER!$C$7),0)</f>
        <v>0</v>
      </c>
      <c r="K312" s="137">
        <f>IF(VERİLER!$C$11&gt;0,ROUND(J312*0.15,2),0)</f>
        <v>0</v>
      </c>
      <c r="L312" s="359">
        <f t="shared" si="52"/>
        <v>0</v>
      </c>
      <c r="M312" s="139">
        <f t="shared" si="53"/>
        <v>0</v>
      </c>
      <c r="N312" s="137">
        <f t="shared" si="54"/>
        <v>0</v>
      </c>
      <c r="O312" s="359">
        <f t="shared" si="55"/>
        <v>0</v>
      </c>
      <c r="P312" s="140">
        <f t="shared" si="56"/>
        <v>0</v>
      </c>
      <c r="Q312" s="140">
        <v>0</v>
      </c>
      <c r="R312" s="137">
        <f t="shared" si="57"/>
        <v>0</v>
      </c>
      <c r="S312" s="141">
        <f t="shared" si="58"/>
        <v>0</v>
      </c>
      <c r="T312" s="137">
        <f t="shared" si="59"/>
        <v>0</v>
      </c>
      <c r="U312" s="137">
        <f>ROUND(VERİLER!$F$9*T312,3)</f>
        <v>0</v>
      </c>
      <c r="V312" s="336">
        <f t="shared" si="60"/>
        <v>0</v>
      </c>
      <c r="W312" s="335"/>
      <c r="X312" s="335"/>
      <c r="Y312" s="335"/>
    </row>
    <row r="313" spans="1:25" s="337" customFormat="1" ht="15" customHeight="1" x14ac:dyDescent="0.2">
      <c r="A313" s="299" t="str">
        <f>IF('İşçi Bilgileri'!A311="","",'İşçi Bilgileri'!A311)</f>
        <v/>
      </c>
      <c r="B313" s="300" t="str">
        <f>IF($A313="","",VLOOKUP($A313,'İşçi Bilgileri'!$A$2:$D$700,4,FALSE))</f>
        <v/>
      </c>
      <c r="C313" s="301" t="str">
        <f>CONCATENATE(IF($A313="","",VLOOKUP($A313,'İşçi Bilgileri'!$A$2:$D$700,2,FALSE))," ",IF($A313="","",VLOOKUP($A313,'İşçi Bilgileri'!$A$2:$D$700,3,FALSE)))</f>
        <v xml:space="preserve"> </v>
      </c>
      <c r="D313" s="137" t="str">
        <f>IF($A313="","",VERİLER!$C$5)</f>
        <v/>
      </c>
      <c r="E313" s="138" t="str">
        <f>IF($A313="","",Puantaj!AJ318)</f>
        <v/>
      </c>
      <c r="F313" s="137">
        <f t="shared" si="49"/>
        <v>0</v>
      </c>
      <c r="G313" s="137"/>
      <c r="H313" s="137">
        <f t="shared" si="50"/>
        <v>0</v>
      </c>
      <c r="I313" s="137">
        <f t="shared" si="51"/>
        <v>0</v>
      </c>
      <c r="J313" s="137">
        <f>IF(F313&gt;VERİLER!$C$7,'İşçi Bilgileri'!M311+(F313-VERİLER!$C$7),0)</f>
        <v>0</v>
      </c>
      <c r="K313" s="137">
        <f>IF(VERİLER!$C$11&gt;0,ROUND(J313*0.15,2),0)</f>
        <v>0</v>
      </c>
      <c r="L313" s="359">
        <f t="shared" si="52"/>
        <v>0</v>
      </c>
      <c r="M313" s="139">
        <f t="shared" si="53"/>
        <v>0</v>
      </c>
      <c r="N313" s="137">
        <f t="shared" si="54"/>
        <v>0</v>
      </c>
      <c r="O313" s="359">
        <f t="shared" si="55"/>
        <v>0</v>
      </c>
      <c r="P313" s="140">
        <f t="shared" si="56"/>
        <v>0</v>
      </c>
      <c r="Q313" s="140">
        <v>0</v>
      </c>
      <c r="R313" s="137">
        <f t="shared" si="57"/>
        <v>0</v>
      </c>
      <c r="S313" s="141">
        <f t="shared" si="58"/>
        <v>0</v>
      </c>
      <c r="T313" s="137">
        <f t="shared" si="59"/>
        <v>0</v>
      </c>
      <c r="U313" s="137">
        <f>ROUND(VERİLER!$F$9*T313,3)</f>
        <v>0</v>
      </c>
      <c r="V313" s="336">
        <f t="shared" si="60"/>
        <v>0</v>
      </c>
      <c r="W313" s="335"/>
      <c r="X313" s="335"/>
      <c r="Y313" s="335"/>
    </row>
    <row r="314" spans="1:25" s="337" customFormat="1" ht="15" customHeight="1" x14ac:dyDescent="0.2">
      <c r="A314" s="299" t="str">
        <f>IF('İşçi Bilgileri'!A312="","",'İşçi Bilgileri'!A312)</f>
        <v/>
      </c>
      <c r="B314" s="300" t="str">
        <f>IF($A314="","",VLOOKUP($A314,'İşçi Bilgileri'!$A$2:$D$700,4,FALSE))</f>
        <v/>
      </c>
      <c r="C314" s="301" t="str">
        <f>CONCATENATE(IF($A314="","",VLOOKUP($A314,'İşçi Bilgileri'!$A$2:$D$700,2,FALSE))," ",IF($A314="","",VLOOKUP($A314,'İşçi Bilgileri'!$A$2:$D$700,3,FALSE)))</f>
        <v xml:space="preserve"> </v>
      </c>
      <c r="D314" s="137" t="str">
        <f>IF($A314="","",VERİLER!$C$5)</f>
        <v/>
      </c>
      <c r="E314" s="138" t="str">
        <f>IF($A314="","",Puantaj!AJ319)</f>
        <v/>
      </c>
      <c r="F314" s="137">
        <f t="shared" si="49"/>
        <v>0</v>
      </c>
      <c r="G314" s="137"/>
      <c r="H314" s="137">
        <f t="shared" si="50"/>
        <v>0</v>
      </c>
      <c r="I314" s="137">
        <f t="shared" si="51"/>
        <v>0</v>
      </c>
      <c r="J314" s="137">
        <f>IF(F314&gt;VERİLER!$C$7,'İşçi Bilgileri'!M312+(F314-VERİLER!$C$7),0)</f>
        <v>0</v>
      </c>
      <c r="K314" s="137">
        <f>IF(VERİLER!$C$11&gt;0,ROUND(J314*0.15,2),0)</f>
        <v>0</v>
      </c>
      <c r="L314" s="359">
        <f t="shared" si="52"/>
        <v>0</v>
      </c>
      <c r="M314" s="139">
        <f t="shared" si="53"/>
        <v>0</v>
      </c>
      <c r="N314" s="137">
        <f t="shared" si="54"/>
        <v>0</v>
      </c>
      <c r="O314" s="359">
        <f t="shared" si="55"/>
        <v>0</v>
      </c>
      <c r="P314" s="140">
        <f t="shared" si="56"/>
        <v>0</v>
      </c>
      <c r="Q314" s="140">
        <v>0</v>
      </c>
      <c r="R314" s="137">
        <f t="shared" si="57"/>
        <v>0</v>
      </c>
      <c r="S314" s="141">
        <f t="shared" si="58"/>
        <v>0</v>
      </c>
      <c r="T314" s="137">
        <f t="shared" si="59"/>
        <v>0</v>
      </c>
      <c r="U314" s="137">
        <f>ROUND(VERİLER!$F$9*T314,3)</f>
        <v>0</v>
      </c>
      <c r="V314" s="336">
        <f t="shared" si="60"/>
        <v>0</v>
      </c>
      <c r="W314" s="335"/>
      <c r="X314" s="335"/>
      <c r="Y314" s="335"/>
    </row>
    <row r="315" spans="1:25" s="337" customFormat="1" ht="15" customHeight="1" x14ac:dyDescent="0.2">
      <c r="A315" s="299" t="str">
        <f>IF('İşçi Bilgileri'!A313="","",'İşçi Bilgileri'!A313)</f>
        <v/>
      </c>
      <c r="B315" s="300" t="str">
        <f>IF($A315="","",VLOOKUP($A315,'İşçi Bilgileri'!$A$2:$D$700,4,FALSE))</f>
        <v/>
      </c>
      <c r="C315" s="301" t="str">
        <f>CONCATENATE(IF($A315="","",VLOOKUP($A315,'İşçi Bilgileri'!$A$2:$D$700,2,FALSE))," ",IF($A315="","",VLOOKUP($A315,'İşçi Bilgileri'!$A$2:$D$700,3,FALSE)))</f>
        <v xml:space="preserve"> </v>
      </c>
      <c r="D315" s="137" t="str">
        <f>IF($A315="","",VERİLER!$C$5)</f>
        <v/>
      </c>
      <c r="E315" s="138" t="str">
        <f>IF($A315="","",Puantaj!AJ320)</f>
        <v/>
      </c>
      <c r="F315" s="137">
        <f t="shared" si="49"/>
        <v>0</v>
      </c>
      <c r="G315" s="137"/>
      <c r="H315" s="137">
        <f t="shared" si="50"/>
        <v>0</v>
      </c>
      <c r="I315" s="137">
        <f t="shared" si="51"/>
        <v>0</v>
      </c>
      <c r="J315" s="137">
        <f>IF(F315&gt;VERİLER!$C$7,'İşçi Bilgileri'!M313+(F315-VERİLER!$C$7),0)</f>
        <v>0</v>
      </c>
      <c r="K315" s="137">
        <f>IF(VERİLER!$C$11&gt;0,ROUND(J315*0.15,2),0)</f>
        <v>0</v>
      </c>
      <c r="L315" s="359">
        <f t="shared" si="52"/>
        <v>0</v>
      </c>
      <c r="M315" s="139">
        <f t="shared" si="53"/>
        <v>0</v>
      </c>
      <c r="N315" s="137">
        <f t="shared" si="54"/>
        <v>0</v>
      </c>
      <c r="O315" s="359">
        <f t="shared" si="55"/>
        <v>0</v>
      </c>
      <c r="P315" s="140">
        <f t="shared" si="56"/>
        <v>0</v>
      </c>
      <c r="Q315" s="140">
        <v>0</v>
      </c>
      <c r="R315" s="137">
        <f t="shared" si="57"/>
        <v>0</v>
      </c>
      <c r="S315" s="141">
        <f t="shared" si="58"/>
        <v>0</v>
      </c>
      <c r="T315" s="137">
        <f t="shared" si="59"/>
        <v>0</v>
      </c>
      <c r="U315" s="137">
        <f>ROUND(VERİLER!$F$9*T315,3)</f>
        <v>0</v>
      </c>
      <c r="V315" s="336">
        <f t="shared" si="60"/>
        <v>0</v>
      </c>
      <c r="W315" s="335"/>
      <c r="X315" s="335"/>
      <c r="Y315" s="335"/>
    </row>
    <row r="316" spans="1:25" s="337" customFormat="1" ht="15" customHeight="1" x14ac:dyDescent="0.2">
      <c r="A316" s="299" t="str">
        <f>IF('İşçi Bilgileri'!A314="","",'İşçi Bilgileri'!A314)</f>
        <v/>
      </c>
      <c r="B316" s="300" t="str">
        <f>IF($A316="","",VLOOKUP($A316,'İşçi Bilgileri'!$A$2:$D$700,4,FALSE))</f>
        <v/>
      </c>
      <c r="C316" s="301" t="str">
        <f>CONCATENATE(IF($A316="","",VLOOKUP($A316,'İşçi Bilgileri'!$A$2:$D$700,2,FALSE))," ",IF($A316="","",VLOOKUP($A316,'İşçi Bilgileri'!$A$2:$D$700,3,FALSE)))</f>
        <v xml:space="preserve"> </v>
      </c>
      <c r="D316" s="137" t="str">
        <f>IF($A316="","",VERİLER!$C$5)</f>
        <v/>
      </c>
      <c r="E316" s="138" t="str">
        <f>IF($A316="","",Puantaj!AJ321)</f>
        <v/>
      </c>
      <c r="F316" s="137">
        <f t="shared" si="49"/>
        <v>0</v>
      </c>
      <c r="G316" s="137"/>
      <c r="H316" s="137">
        <f t="shared" si="50"/>
        <v>0</v>
      </c>
      <c r="I316" s="137">
        <f t="shared" si="51"/>
        <v>0</v>
      </c>
      <c r="J316" s="137">
        <f>IF(F316&gt;VERİLER!$C$7,'İşçi Bilgileri'!M314+(F316-VERİLER!$C$7),0)</f>
        <v>0</v>
      </c>
      <c r="K316" s="137">
        <f>IF(VERİLER!$C$11&gt;0,ROUND(J316*0.15,2),0)</f>
        <v>0</v>
      </c>
      <c r="L316" s="359">
        <f t="shared" si="52"/>
        <v>0</v>
      </c>
      <c r="M316" s="139">
        <f t="shared" si="53"/>
        <v>0</v>
      </c>
      <c r="N316" s="137">
        <f t="shared" si="54"/>
        <v>0</v>
      </c>
      <c r="O316" s="359">
        <f t="shared" si="55"/>
        <v>0</v>
      </c>
      <c r="P316" s="140">
        <f t="shared" si="56"/>
        <v>0</v>
      </c>
      <c r="Q316" s="140">
        <v>0</v>
      </c>
      <c r="R316" s="137">
        <f t="shared" si="57"/>
        <v>0</v>
      </c>
      <c r="S316" s="141">
        <f t="shared" si="58"/>
        <v>0</v>
      </c>
      <c r="T316" s="137">
        <f t="shared" si="59"/>
        <v>0</v>
      </c>
      <c r="U316" s="137">
        <f>ROUND(VERİLER!$F$9*T316,3)</f>
        <v>0</v>
      </c>
      <c r="V316" s="336">
        <f t="shared" si="60"/>
        <v>0</v>
      </c>
      <c r="W316" s="335"/>
      <c r="X316" s="335"/>
      <c r="Y316" s="335"/>
    </row>
    <row r="317" spans="1:25" s="337" customFormat="1" ht="15" customHeight="1" x14ac:dyDescent="0.2">
      <c r="A317" s="299" t="str">
        <f>IF('İşçi Bilgileri'!A315="","",'İşçi Bilgileri'!A315)</f>
        <v/>
      </c>
      <c r="B317" s="300" t="str">
        <f>IF($A317="","",VLOOKUP($A317,'İşçi Bilgileri'!$A$2:$D$700,4,FALSE))</f>
        <v/>
      </c>
      <c r="C317" s="301" t="str">
        <f>CONCATENATE(IF($A317="","",VLOOKUP($A317,'İşçi Bilgileri'!$A$2:$D$700,2,FALSE))," ",IF($A317="","",VLOOKUP($A317,'İşçi Bilgileri'!$A$2:$D$700,3,FALSE)))</f>
        <v xml:space="preserve"> </v>
      </c>
      <c r="D317" s="137" t="str">
        <f>IF($A317="","",VERİLER!$C$5)</f>
        <v/>
      </c>
      <c r="E317" s="138" t="str">
        <f>IF($A317="","",Puantaj!AJ322)</f>
        <v/>
      </c>
      <c r="F317" s="137">
        <f t="shared" si="49"/>
        <v>0</v>
      </c>
      <c r="G317" s="137"/>
      <c r="H317" s="137">
        <f t="shared" si="50"/>
        <v>0</v>
      </c>
      <c r="I317" s="137">
        <f t="shared" si="51"/>
        <v>0</v>
      </c>
      <c r="J317" s="137">
        <f>IF(F317&gt;VERİLER!$C$7,'İşçi Bilgileri'!M315+(F317-VERİLER!$C$7),0)</f>
        <v>0</v>
      </c>
      <c r="K317" s="137">
        <f>IF(VERİLER!$C$11&gt;0,ROUND(J317*0.15,2),0)</f>
        <v>0</v>
      </c>
      <c r="L317" s="359">
        <f t="shared" si="52"/>
        <v>0</v>
      </c>
      <c r="M317" s="139">
        <f t="shared" si="53"/>
        <v>0</v>
      </c>
      <c r="N317" s="137">
        <f t="shared" si="54"/>
        <v>0</v>
      </c>
      <c r="O317" s="359">
        <f t="shared" si="55"/>
        <v>0</v>
      </c>
      <c r="P317" s="140">
        <f t="shared" si="56"/>
        <v>0</v>
      </c>
      <c r="Q317" s="140">
        <v>0</v>
      </c>
      <c r="R317" s="137">
        <f t="shared" si="57"/>
        <v>0</v>
      </c>
      <c r="S317" s="141">
        <f t="shared" si="58"/>
        <v>0</v>
      </c>
      <c r="T317" s="137">
        <f t="shared" si="59"/>
        <v>0</v>
      </c>
      <c r="U317" s="137">
        <f>ROUND(VERİLER!$F$9*T317,3)</f>
        <v>0</v>
      </c>
      <c r="V317" s="336">
        <f t="shared" si="60"/>
        <v>0</v>
      </c>
      <c r="W317" s="335"/>
      <c r="X317" s="335"/>
      <c r="Y317" s="335"/>
    </row>
    <row r="318" spans="1:25" s="337" customFormat="1" ht="15" customHeight="1" x14ac:dyDescent="0.2">
      <c r="A318" s="299" t="str">
        <f>IF('İşçi Bilgileri'!A316="","",'İşçi Bilgileri'!A316)</f>
        <v/>
      </c>
      <c r="B318" s="300" t="str">
        <f>IF($A318="","",VLOOKUP($A318,'İşçi Bilgileri'!$A$2:$D$700,4,FALSE))</f>
        <v/>
      </c>
      <c r="C318" s="301" t="str">
        <f>CONCATENATE(IF($A318="","",VLOOKUP($A318,'İşçi Bilgileri'!$A$2:$D$700,2,FALSE))," ",IF($A318="","",VLOOKUP($A318,'İşçi Bilgileri'!$A$2:$D$700,3,FALSE)))</f>
        <v xml:space="preserve"> </v>
      </c>
      <c r="D318" s="137" t="str">
        <f>IF($A318="","",VERİLER!$C$5)</f>
        <v/>
      </c>
      <c r="E318" s="138" t="str">
        <f>IF($A318="","",Puantaj!AJ323)</f>
        <v/>
      </c>
      <c r="F318" s="137">
        <f t="shared" si="49"/>
        <v>0</v>
      </c>
      <c r="G318" s="137"/>
      <c r="H318" s="137">
        <f t="shared" si="50"/>
        <v>0</v>
      </c>
      <c r="I318" s="137">
        <f t="shared" si="51"/>
        <v>0</v>
      </c>
      <c r="J318" s="137">
        <f>IF(F318&gt;VERİLER!$C$7,'İşçi Bilgileri'!M316+(F318-VERİLER!$C$7),0)</f>
        <v>0</v>
      </c>
      <c r="K318" s="137">
        <f>IF(VERİLER!$C$11&gt;0,ROUND(J318*0.15,2),0)</f>
        <v>0</v>
      </c>
      <c r="L318" s="359">
        <f t="shared" si="52"/>
        <v>0</v>
      </c>
      <c r="M318" s="139">
        <f t="shared" si="53"/>
        <v>0</v>
      </c>
      <c r="N318" s="137">
        <f t="shared" si="54"/>
        <v>0</v>
      </c>
      <c r="O318" s="359">
        <f t="shared" si="55"/>
        <v>0</v>
      </c>
      <c r="P318" s="140">
        <f t="shared" si="56"/>
        <v>0</v>
      </c>
      <c r="Q318" s="140">
        <v>0</v>
      </c>
      <c r="R318" s="137">
        <f t="shared" si="57"/>
        <v>0</v>
      </c>
      <c r="S318" s="141">
        <f t="shared" si="58"/>
        <v>0</v>
      </c>
      <c r="T318" s="137">
        <f t="shared" si="59"/>
        <v>0</v>
      </c>
      <c r="U318" s="137">
        <f>ROUND(VERİLER!$F$9*T318,3)</f>
        <v>0</v>
      </c>
      <c r="V318" s="336">
        <f t="shared" si="60"/>
        <v>0</v>
      </c>
      <c r="W318" s="335"/>
      <c r="X318" s="335"/>
      <c r="Y318" s="335"/>
    </row>
    <row r="319" spans="1:25" s="337" customFormat="1" ht="15" customHeight="1" x14ac:dyDescent="0.2">
      <c r="A319" s="299" t="str">
        <f>IF('İşçi Bilgileri'!A317="","",'İşçi Bilgileri'!A317)</f>
        <v/>
      </c>
      <c r="B319" s="300" t="str">
        <f>IF($A319="","",VLOOKUP($A319,'İşçi Bilgileri'!$A$2:$D$700,4,FALSE))</f>
        <v/>
      </c>
      <c r="C319" s="301" t="str">
        <f>CONCATENATE(IF($A319="","",VLOOKUP($A319,'İşçi Bilgileri'!$A$2:$D$700,2,FALSE))," ",IF($A319="","",VLOOKUP($A319,'İşçi Bilgileri'!$A$2:$D$700,3,FALSE)))</f>
        <v xml:space="preserve"> </v>
      </c>
      <c r="D319" s="137" t="str">
        <f>IF($A319="","",VERİLER!$C$5)</f>
        <v/>
      </c>
      <c r="E319" s="138" t="str">
        <f>IF($A319="","",Puantaj!AJ324)</f>
        <v/>
      </c>
      <c r="F319" s="137">
        <f t="shared" si="49"/>
        <v>0</v>
      </c>
      <c r="G319" s="137"/>
      <c r="H319" s="137">
        <f t="shared" si="50"/>
        <v>0</v>
      </c>
      <c r="I319" s="137">
        <f t="shared" si="51"/>
        <v>0</v>
      </c>
      <c r="J319" s="137">
        <f>IF(F319&gt;VERİLER!$C$7,'İşçi Bilgileri'!M317+(F319-VERİLER!$C$7),0)</f>
        <v>0</v>
      </c>
      <c r="K319" s="137">
        <f>IF(VERİLER!$C$11&gt;0,ROUND(J319*0.15,2),0)</f>
        <v>0</v>
      </c>
      <c r="L319" s="359">
        <f t="shared" si="52"/>
        <v>0</v>
      </c>
      <c r="M319" s="139">
        <f t="shared" si="53"/>
        <v>0</v>
      </c>
      <c r="N319" s="137">
        <f t="shared" si="54"/>
        <v>0</v>
      </c>
      <c r="O319" s="359">
        <f t="shared" si="55"/>
        <v>0</v>
      </c>
      <c r="P319" s="140">
        <f t="shared" si="56"/>
        <v>0</v>
      </c>
      <c r="Q319" s="140">
        <v>0</v>
      </c>
      <c r="R319" s="137">
        <f t="shared" si="57"/>
        <v>0</v>
      </c>
      <c r="S319" s="141">
        <f t="shared" si="58"/>
        <v>0</v>
      </c>
      <c r="T319" s="137">
        <f t="shared" si="59"/>
        <v>0</v>
      </c>
      <c r="U319" s="137">
        <f>ROUND(VERİLER!$F$9*T319,3)</f>
        <v>0</v>
      </c>
      <c r="V319" s="336">
        <f t="shared" si="60"/>
        <v>0</v>
      </c>
      <c r="W319" s="335"/>
      <c r="X319" s="335"/>
      <c r="Y319" s="335"/>
    </row>
    <row r="320" spans="1:25" s="337" customFormat="1" ht="15" customHeight="1" x14ac:dyDescent="0.2">
      <c r="A320" s="299" t="str">
        <f>IF('İşçi Bilgileri'!A318="","",'İşçi Bilgileri'!A318)</f>
        <v/>
      </c>
      <c r="B320" s="300" t="str">
        <f>IF($A320="","",VLOOKUP($A320,'İşçi Bilgileri'!$A$2:$D$700,4,FALSE))</f>
        <v/>
      </c>
      <c r="C320" s="301" t="str">
        <f>CONCATENATE(IF($A320="","",VLOOKUP($A320,'İşçi Bilgileri'!$A$2:$D$700,2,FALSE))," ",IF($A320="","",VLOOKUP($A320,'İşçi Bilgileri'!$A$2:$D$700,3,FALSE)))</f>
        <v xml:space="preserve"> </v>
      </c>
      <c r="D320" s="137" t="str">
        <f>IF($A320="","",VERİLER!$C$5)</f>
        <v/>
      </c>
      <c r="E320" s="138" t="str">
        <f>IF($A320="","",Puantaj!AJ325)</f>
        <v/>
      </c>
      <c r="F320" s="137">
        <f t="shared" si="49"/>
        <v>0</v>
      </c>
      <c r="G320" s="137"/>
      <c r="H320" s="137">
        <f t="shared" si="50"/>
        <v>0</v>
      </c>
      <c r="I320" s="137">
        <f t="shared" si="51"/>
        <v>0</v>
      </c>
      <c r="J320" s="137">
        <f>IF(F320&gt;VERİLER!$C$7,'İşçi Bilgileri'!M318+(F320-VERİLER!$C$7),0)</f>
        <v>0</v>
      </c>
      <c r="K320" s="137">
        <f>IF(VERİLER!$C$11&gt;0,ROUND(J320*0.15,2),0)</f>
        <v>0</v>
      </c>
      <c r="L320" s="359">
        <f t="shared" si="52"/>
        <v>0</v>
      </c>
      <c r="M320" s="139">
        <f t="shared" si="53"/>
        <v>0</v>
      </c>
      <c r="N320" s="137">
        <f t="shared" si="54"/>
        <v>0</v>
      </c>
      <c r="O320" s="359">
        <f t="shared" si="55"/>
        <v>0</v>
      </c>
      <c r="P320" s="140">
        <f t="shared" si="56"/>
        <v>0</v>
      </c>
      <c r="Q320" s="140">
        <v>0</v>
      </c>
      <c r="R320" s="137">
        <f t="shared" si="57"/>
        <v>0</v>
      </c>
      <c r="S320" s="141">
        <f t="shared" si="58"/>
        <v>0</v>
      </c>
      <c r="T320" s="137">
        <f t="shared" si="59"/>
        <v>0</v>
      </c>
      <c r="U320" s="137">
        <f>ROUND(VERİLER!$F$9*T320,3)</f>
        <v>0</v>
      </c>
      <c r="V320" s="336">
        <f t="shared" si="60"/>
        <v>0</v>
      </c>
      <c r="W320" s="335"/>
      <c r="X320" s="335"/>
      <c r="Y320" s="335"/>
    </row>
    <row r="321" spans="1:25" s="337" customFormat="1" ht="15" customHeight="1" x14ac:dyDescent="0.2">
      <c r="A321" s="299" t="str">
        <f>IF('İşçi Bilgileri'!A319="","",'İşçi Bilgileri'!A319)</f>
        <v/>
      </c>
      <c r="B321" s="300" t="str">
        <f>IF($A321="","",VLOOKUP($A321,'İşçi Bilgileri'!$A$2:$D$700,4,FALSE))</f>
        <v/>
      </c>
      <c r="C321" s="301" t="str">
        <f>CONCATENATE(IF($A321="","",VLOOKUP($A321,'İşçi Bilgileri'!$A$2:$D$700,2,FALSE))," ",IF($A321="","",VLOOKUP($A321,'İşçi Bilgileri'!$A$2:$D$700,3,FALSE)))</f>
        <v xml:space="preserve"> </v>
      </c>
      <c r="D321" s="137" t="str">
        <f>IF($A321="","",VERİLER!$C$5)</f>
        <v/>
      </c>
      <c r="E321" s="138" t="str">
        <f>IF($A321="","",Puantaj!AJ326)</f>
        <v/>
      </c>
      <c r="F321" s="137">
        <f t="shared" si="49"/>
        <v>0</v>
      </c>
      <c r="G321" s="137"/>
      <c r="H321" s="137">
        <f t="shared" si="50"/>
        <v>0</v>
      </c>
      <c r="I321" s="137">
        <f t="shared" si="51"/>
        <v>0</v>
      </c>
      <c r="J321" s="137">
        <f>IF(F321&gt;VERİLER!$C$7,'İşçi Bilgileri'!M319+(F321-VERİLER!$C$7),0)</f>
        <v>0</v>
      </c>
      <c r="K321" s="137">
        <f>IF(VERİLER!$C$11&gt;0,ROUND(J321*0.15,2),0)</f>
        <v>0</v>
      </c>
      <c r="L321" s="359">
        <f t="shared" si="52"/>
        <v>0</v>
      </c>
      <c r="M321" s="139">
        <f t="shared" si="53"/>
        <v>0</v>
      </c>
      <c r="N321" s="137">
        <f t="shared" si="54"/>
        <v>0</v>
      </c>
      <c r="O321" s="359">
        <f t="shared" si="55"/>
        <v>0</v>
      </c>
      <c r="P321" s="140">
        <f t="shared" si="56"/>
        <v>0</v>
      </c>
      <c r="Q321" s="140">
        <v>0</v>
      </c>
      <c r="R321" s="137">
        <f t="shared" si="57"/>
        <v>0</v>
      </c>
      <c r="S321" s="141">
        <f t="shared" si="58"/>
        <v>0</v>
      </c>
      <c r="T321" s="137">
        <f t="shared" si="59"/>
        <v>0</v>
      </c>
      <c r="U321" s="137">
        <f>ROUND(VERİLER!$F$9*T321,3)</f>
        <v>0</v>
      </c>
      <c r="V321" s="336">
        <f t="shared" si="60"/>
        <v>0</v>
      </c>
      <c r="W321" s="335"/>
      <c r="X321" s="335"/>
      <c r="Y321" s="335"/>
    </row>
    <row r="322" spans="1:25" s="337" customFormat="1" ht="15" customHeight="1" x14ac:dyDescent="0.2">
      <c r="A322" s="299" t="str">
        <f>IF('İşçi Bilgileri'!A320="","",'İşçi Bilgileri'!A320)</f>
        <v/>
      </c>
      <c r="B322" s="300" t="str">
        <f>IF($A322="","",VLOOKUP($A322,'İşçi Bilgileri'!$A$2:$D$700,4,FALSE))</f>
        <v/>
      </c>
      <c r="C322" s="301" t="str">
        <f>CONCATENATE(IF($A322="","",VLOOKUP($A322,'İşçi Bilgileri'!$A$2:$D$700,2,FALSE))," ",IF($A322="","",VLOOKUP($A322,'İşçi Bilgileri'!$A$2:$D$700,3,FALSE)))</f>
        <v xml:space="preserve"> </v>
      </c>
      <c r="D322" s="137" t="str">
        <f>IF($A322="","",VERİLER!$C$5)</f>
        <v/>
      </c>
      <c r="E322" s="138" t="str">
        <f>IF($A322="","",Puantaj!AJ327)</f>
        <v/>
      </c>
      <c r="F322" s="137">
        <f t="shared" si="49"/>
        <v>0</v>
      </c>
      <c r="G322" s="137"/>
      <c r="H322" s="137">
        <f t="shared" si="50"/>
        <v>0</v>
      </c>
      <c r="I322" s="137">
        <f t="shared" si="51"/>
        <v>0</v>
      </c>
      <c r="J322" s="137">
        <f>IF(F322&gt;VERİLER!$C$7,'İşçi Bilgileri'!M320+(F322-VERİLER!$C$7),0)</f>
        <v>0</v>
      </c>
      <c r="K322" s="137">
        <f>IF(VERİLER!$C$11&gt;0,ROUND(J322*0.15,2),0)</f>
        <v>0</v>
      </c>
      <c r="L322" s="359">
        <f t="shared" si="52"/>
        <v>0</v>
      </c>
      <c r="M322" s="139">
        <f t="shared" si="53"/>
        <v>0</v>
      </c>
      <c r="N322" s="137">
        <f t="shared" si="54"/>
        <v>0</v>
      </c>
      <c r="O322" s="359">
        <f t="shared" si="55"/>
        <v>0</v>
      </c>
      <c r="P322" s="140">
        <f t="shared" si="56"/>
        <v>0</v>
      </c>
      <c r="Q322" s="140">
        <v>0</v>
      </c>
      <c r="R322" s="137">
        <f t="shared" si="57"/>
        <v>0</v>
      </c>
      <c r="S322" s="141">
        <f t="shared" si="58"/>
        <v>0</v>
      </c>
      <c r="T322" s="137">
        <f t="shared" si="59"/>
        <v>0</v>
      </c>
      <c r="U322" s="137">
        <f>ROUND(VERİLER!$F$9*T322,3)</f>
        <v>0</v>
      </c>
      <c r="V322" s="336">
        <f t="shared" si="60"/>
        <v>0</v>
      </c>
      <c r="W322" s="335"/>
      <c r="X322" s="335"/>
      <c r="Y322" s="335"/>
    </row>
    <row r="323" spans="1:25" s="337" customFormat="1" ht="15" customHeight="1" x14ac:dyDescent="0.2">
      <c r="A323" s="299" t="str">
        <f>IF('İşçi Bilgileri'!A321="","",'İşçi Bilgileri'!A321)</f>
        <v/>
      </c>
      <c r="B323" s="300" t="str">
        <f>IF($A323="","",VLOOKUP($A323,'İşçi Bilgileri'!$A$2:$D$700,4,FALSE))</f>
        <v/>
      </c>
      <c r="C323" s="301" t="str">
        <f>CONCATENATE(IF($A323="","",VLOOKUP($A323,'İşçi Bilgileri'!$A$2:$D$700,2,FALSE))," ",IF($A323="","",VLOOKUP($A323,'İşçi Bilgileri'!$A$2:$D$700,3,FALSE)))</f>
        <v xml:space="preserve"> </v>
      </c>
      <c r="D323" s="137" t="str">
        <f>IF($A323="","",VERİLER!$C$5)</f>
        <v/>
      </c>
      <c r="E323" s="138" t="str">
        <f>IF($A323="","",Puantaj!AJ328)</f>
        <v/>
      </c>
      <c r="F323" s="137">
        <f t="shared" si="49"/>
        <v>0</v>
      </c>
      <c r="G323" s="137"/>
      <c r="H323" s="137">
        <f t="shared" si="50"/>
        <v>0</v>
      </c>
      <c r="I323" s="137">
        <f t="shared" si="51"/>
        <v>0</v>
      </c>
      <c r="J323" s="137">
        <f>IF(F323&gt;VERİLER!$C$7,'İşçi Bilgileri'!M321+(F323-VERİLER!$C$7),0)</f>
        <v>0</v>
      </c>
      <c r="K323" s="137">
        <f>IF(VERİLER!$C$11&gt;0,ROUND(J323*0.15,2),0)</f>
        <v>0</v>
      </c>
      <c r="L323" s="359">
        <f t="shared" si="52"/>
        <v>0</v>
      </c>
      <c r="M323" s="139">
        <f t="shared" si="53"/>
        <v>0</v>
      </c>
      <c r="N323" s="137">
        <f t="shared" si="54"/>
        <v>0</v>
      </c>
      <c r="O323" s="359">
        <f t="shared" si="55"/>
        <v>0</v>
      </c>
      <c r="P323" s="140">
        <f t="shared" si="56"/>
        <v>0</v>
      </c>
      <c r="Q323" s="140">
        <v>0</v>
      </c>
      <c r="R323" s="137">
        <f t="shared" si="57"/>
        <v>0</v>
      </c>
      <c r="S323" s="141">
        <f t="shared" si="58"/>
        <v>0</v>
      </c>
      <c r="T323" s="137">
        <f t="shared" si="59"/>
        <v>0</v>
      </c>
      <c r="U323" s="137">
        <f>ROUND(VERİLER!$F$9*T323,3)</f>
        <v>0</v>
      </c>
      <c r="V323" s="336">
        <f t="shared" si="60"/>
        <v>0</v>
      </c>
      <c r="W323" s="335"/>
      <c r="X323" s="335"/>
      <c r="Y323" s="335"/>
    </row>
    <row r="324" spans="1:25" s="337" customFormat="1" ht="15" customHeight="1" x14ac:dyDescent="0.2">
      <c r="A324" s="299" t="str">
        <f>IF('İşçi Bilgileri'!A322="","",'İşçi Bilgileri'!A322)</f>
        <v/>
      </c>
      <c r="B324" s="300" t="str">
        <f>IF($A324="","",VLOOKUP($A324,'İşçi Bilgileri'!$A$2:$D$700,4,FALSE))</f>
        <v/>
      </c>
      <c r="C324" s="301" t="str">
        <f>CONCATENATE(IF($A324="","",VLOOKUP($A324,'İşçi Bilgileri'!$A$2:$D$700,2,FALSE))," ",IF($A324="","",VLOOKUP($A324,'İşçi Bilgileri'!$A$2:$D$700,3,FALSE)))</f>
        <v xml:space="preserve"> </v>
      </c>
      <c r="D324" s="137" t="str">
        <f>IF($A324="","",VERİLER!$C$5)</f>
        <v/>
      </c>
      <c r="E324" s="138" t="str">
        <f>IF($A324="","",Puantaj!AJ329)</f>
        <v/>
      </c>
      <c r="F324" s="137">
        <f t="shared" si="49"/>
        <v>0</v>
      </c>
      <c r="G324" s="137"/>
      <c r="H324" s="137">
        <f t="shared" si="50"/>
        <v>0</v>
      </c>
      <c r="I324" s="137">
        <f t="shared" si="51"/>
        <v>0</v>
      </c>
      <c r="J324" s="137">
        <f>IF(F324&gt;VERİLER!$C$7,'İşçi Bilgileri'!M322+(F324-VERİLER!$C$7),0)</f>
        <v>0</v>
      </c>
      <c r="K324" s="137">
        <f>IF(VERİLER!$C$11&gt;0,ROUND(J324*0.15,2),0)</f>
        <v>0</v>
      </c>
      <c r="L324" s="359">
        <f t="shared" si="52"/>
        <v>0</v>
      </c>
      <c r="M324" s="139">
        <f t="shared" si="53"/>
        <v>0</v>
      </c>
      <c r="N324" s="137">
        <f t="shared" si="54"/>
        <v>0</v>
      </c>
      <c r="O324" s="359">
        <f t="shared" si="55"/>
        <v>0</v>
      </c>
      <c r="P324" s="140">
        <f t="shared" si="56"/>
        <v>0</v>
      </c>
      <c r="Q324" s="140">
        <v>0</v>
      </c>
      <c r="R324" s="137">
        <f t="shared" si="57"/>
        <v>0</v>
      </c>
      <c r="S324" s="141">
        <f t="shared" si="58"/>
        <v>0</v>
      </c>
      <c r="T324" s="137">
        <f t="shared" si="59"/>
        <v>0</v>
      </c>
      <c r="U324" s="137">
        <f>ROUND(VERİLER!$F$9*T324,3)</f>
        <v>0</v>
      </c>
      <c r="V324" s="336">
        <f t="shared" si="60"/>
        <v>0</v>
      </c>
      <c r="W324" s="335"/>
      <c r="X324" s="335"/>
      <c r="Y324" s="335"/>
    </row>
    <row r="325" spans="1:25" s="337" customFormat="1" ht="15" customHeight="1" x14ac:dyDescent="0.2">
      <c r="A325" s="299" t="str">
        <f>IF('İşçi Bilgileri'!A323="","",'İşçi Bilgileri'!A323)</f>
        <v/>
      </c>
      <c r="B325" s="300" t="str">
        <f>IF($A325="","",VLOOKUP($A325,'İşçi Bilgileri'!$A$2:$D$700,4,FALSE))</f>
        <v/>
      </c>
      <c r="C325" s="301" t="str">
        <f>CONCATENATE(IF($A325="","",VLOOKUP($A325,'İşçi Bilgileri'!$A$2:$D$700,2,FALSE))," ",IF($A325="","",VLOOKUP($A325,'İşçi Bilgileri'!$A$2:$D$700,3,FALSE)))</f>
        <v xml:space="preserve"> </v>
      </c>
      <c r="D325" s="137" t="str">
        <f>IF($A325="","",VERİLER!$C$5)</f>
        <v/>
      </c>
      <c r="E325" s="138" t="str">
        <f>IF($A325="","",Puantaj!AJ330)</f>
        <v/>
      </c>
      <c r="F325" s="137">
        <f t="shared" ref="F325:F388" si="61">IFERROR(ROUND(D325*E325,2),0)</f>
        <v>0</v>
      </c>
      <c r="G325" s="137"/>
      <c r="H325" s="137">
        <f t="shared" ref="H325:H388" si="62">ROUND(T325*0.045,3)</f>
        <v>0</v>
      </c>
      <c r="I325" s="137">
        <f t="shared" ref="I325:I388" si="63">ROUND(F325*0.01,2)</f>
        <v>0</v>
      </c>
      <c r="J325" s="137">
        <f>IF(F325&gt;VERİLER!$C$7,'İşçi Bilgileri'!M323+(F325-VERİLER!$C$7),0)</f>
        <v>0</v>
      </c>
      <c r="K325" s="137">
        <f>IF(VERİLER!$C$11&gt;0,ROUND(J325*0.15,2),0)</f>
        <v>0</v>
      </c>
      <c r="L325" s="359">
        <f t="shared" ref="L325:L388" si="64">K325</f>
        <v>0</v>
      </c>
      <c r="M325" s="139">
        <f t="shared" ref="M325:M388" si="65">K325-L325</f>
        <v>0</v>
      </c>
      <c r="N325" s="137">
        <f t="shared" ref="N325:N388" si="66">F325*0.00759</f>
        <v>0</v>
      </c>
      <c r="O325" s="359">
        <f t="shared" ref="O325:O388" si="67">N325</f>
        <v>0</v>
      </c>
      <c r="P325" s="140">
        <f t="shared" ref="P325:P388" si="68">N325-O325</f>
        <v>0</v>
      </c>
      <c r="Q325" s="140">
        <v>0</v>
      </c>
      <c r="R325" s="137">
        <f t="shared" ref="R325:R388" si="69">ROUND(H325+I325,2)</f>
        <v>0</v>
      </c>
      <c r="S325" s="141">
        <f t="shared" ref="S325:S388" si="70">ROUND(F325,3)</f>
        <v>0</v>
      </c>
      <c r="T325" s="137">
        <f t="shared" ref="T325:T388" si="71">F325</f>
        <v>0</v>
      </c>
      <c r="U325" s="137">
        <f>ROUND(VERİLER!$F$9*T325,3)</f>
        <v>0</v>
      </c>
      <c r="V325" s="336">
        <f t="shared" ref="V325:V388" si="72">T325+U325+H325+I325</f>
        <v>0</v>
      </c>
      <c r="W325" s="335"/>
      <c r="X325" s="335"/>
      <c r="Y325" s="335"/>
    </row>
    <row r="326" spans="1:25" s="337" customFormat="1" ht="15" customHeight="1" x14ac:dyDescent="0.2">
      <c r="A326" s="299" t="str">
        <f>IF('İşçi Bilgileri'!A324="","",'İşçi Bilgileri'!A324)</f>
        <v/>
      </c>
      <c r="B326" s="300" t="str">
        <f>IF($A326="","",VLOOKUP($A326,'İşçi Bilgileri'!$A$2:$D$700,4,FALSE))</f>
        <v/>
      </c>
      <c r="C326" s="301" t="str">
        <f>CONCATENATE(IF($A326="","",VLOOKUP($A326,'İşçi Bilgileri'!$A$2:$D$700,2,FALSE))," ",IF($A326="","",VLOOKUP($A326,'İşçi Bilgileri'!$A$2:$D$700,3,FALSE)))</f>
        <v xml:space="preserve"> </v>
      </c>
      <c r="D326" s="137" t="str">
        <f>IF($A326="","",VERİLER!$C$5)</f>
        <v/>
      </c>
      <c r="E326" s="138" t="str">
        <f>IF($A326="","",Puantaj!AJ331)</f>
        <v/>
      </c>
      <c r="F326" s="137">
        <f t="shared" si="61"/>
        <v>0</v>
      </c>
      <c r="G326" s="137"/>
      <c r="H326" s="137">
        <f t="shared" si="62"/>
        <v>0</v>
      </c>
      <c r="I326" s="137">
        <f t="shared" si="63"/>
        <v>0</v>
      </c>
      <c r="J326" s="137">
        <f>IF(F326&gt;VERİLER!$C$7,'İşçi Bilgileri'!M324+(F326-VERİLER!$C$7),0)</f>
        <v>0</v>
      </c>
      <c r="K326" s="137">
        <f>IF(VERİLER!$C$11&gt;0,ROUND(J326*0.15,2),0)</f>
        <v>0</v>
      </c>
      <c r="L326" s="359">
        <f t="shared" si="64"/>
        <v>0</v>
      </c>
      <c r="M326" s="139">
        <f t="shared" si="65"/>
        <v>0</v>
      </c>
      <c r="N326" s="137">
        <f t="shared" si="66"/>
        <v>0</v>
      </c>
      <c r="O326" s="359">
        <f t="shared" si="67"/>
        <v>0</v>
      </c>
      <c r="P326" s="140">
        <f t="shared" si="68"/>
        <v>0</v>
      </c>
      <c r="Q326" s="140">
        <v>0</v>
      </c>
      <c r="R326" s="137">
        <f t="shared" si="69"/>
        <v>0</v>
      </c>
      <c r="S326" s="141">
        <f t="shared" si="70"/>
        <v>0</v>
      </c>
      <c r="T326" s="137">
        <f t="shared" si="71"/>
        <v>0</v>
      </c>
      <c r="U326" s="137">
        <f>ROUND(VERİLER!$F$9*T326,3)</f>
        <v>0</v>
      </c>
      <c r="V326" s="336">
        <f t="shared" si="72"/>
        <v>0</v>
      </c>
      <c r="W326" s="335"/>
      <c r="X326" s="335"/>
      <c r="Y326" s="335"/>
    </row>
    <row r="327" spans="1:25" s="337" customFormat="1" ht="15" customHeight="1" x14ac:dyDescent="0.2">
      <c r="A327" s="299" t="str">
        <f>IF('İşçi Bilgileri'!A325="","",'İşçi Bilgileri'!A325)</f>
        <v/>
      </c>
      <c r="B327" s="300" t="str">
        <f>IF($A327="","",VLOOKUP($A327,'İşçi Bilgileri'!$A$2:$D$700,4,FALSE))</f>
        <v/>
      </c>
      <c r="C327" s="301" t="str">
        <f>CONCATENATE(IF($A327="","",VLOOKUP($A327,'İşçi Bilgileri'!$A$2:$D$700,2,FALSE))," ",IF($A327="","",VLOOKUP($A327,'İşçi Bilgileri'!$A$2:$D$700,3,FALSE)))</f>
        <v xml:space="preserve"> </v>
      </c>
      <c r="D327" s="137" t="str">
        <f>IF($A327="","",VERİLER!$C$5)</f>
        <v/>
      </c>
      <c r="E327" s="138" t="str">
        <f>IF($A327="","",Puantaj!AJ332)</f>
        <v/>
      </c>
      <c r="F327" s="137">
        <f t="shared" si="61"/>
        <v>0</v>
      </c>
      <c r="G327" s="137"/>
      <c r="H327" s="137">
        <f t="shared" si="62"/>
        <v>0</v>
      </c>
      <c r="I327" s="137">
        <f t="shared" si="63"/>
        <v>0</v>
      </c>
      <c r="J327" s="137">
        <f>IF(F327&gt;VERİLER!$C$7,'İşçi Bilgileri'!M325+(F327-VERİLER!$C$7),0)</f>
        <v>0</v>
      </c>
      <c r="K327" s="137">
        <f>IF(VERİLER!$C$11&gt;0,ROUND(J327*0.15,2),0)</f>
        <v>0</v>
      </c>
      <c r="L327" s="359">
        <f t="shared" si="64"/>
        <v>0</v>
      </c>
      <c r="M327" s="139">
        <f t="shared" si="65"/>
        <v>0</v>
      </c>
      <c r="N327" s="137">
        <f t="shared" si="66"/>
        <v>0</v>
      </c>
      <c r="O327" s="359">
        <f t="shared" si="67"/>
        <v>0</v>
      </c>
      <c r="P327" s="140">
        <f t="shared" si="68"/>
        <v>0</v>
      </c>
      <c r="Q327" s="140">
        <v>0</v>
      </c>
      <c r="R327" s="137">
        <f t="shared" si="69"/>
        <v>0</v>
      </c>
      <c r="S327" s="141">
        <f t="shared" si="70"/>
        <v>0</v>
      </c>
      <c r="T327" s="137">
        <f t="shared" si="71"/>
        <v>0</v>
      </c>
      <c r="U327" s="137">
        <f>ROUND(VERİLER!$F$9*T327,3)</f>
        <v>0</v>
      </c>
      <c r="V327" s="336">
        <f t="shared" si="72"/>
        <v>0</v>
      </c>
      <c r="W327" s="335"/>
      <c r="X327" s="335"/>
      <c r="Y327" s="335"/>
    </row>
    <row r="328" spans="1:25" s="337" customFormat="1" ht="15" customHeight="1" x14ac:dyDescent="0.2">
      <c r="A328" s="299" t="str">
        <f>IF('İşçi Bilgileri'!A326="","",'İşçi Bilgileri'!A326)</f>
        <v/>
      </c>
      <c r="B328" s="300" t="str">
        <f>IF($A328="","",VLOOKUP($A328,'İşçi Bilgileri'!$A$2:$D$700,4,FALSE))</f>
        <v/>
      </c>
      <c r="C328" s="301" t="str">
        <f>CONCATENATE(IF($A328="","",VLOOKUP($A328,'İşçi Bilgileri'!$A$2:$D$700,2,FALSE))," ",IF($A328="","",VLOOKUP($A328,'İşçi Bilgileri'!$A$2:$D$700,3,FALSE)))</f>
        <v xml:space="preserve"> </v>
      </c>
      <c r="D328" s="137" t="str">
        <f>IF($A328="","",VERİLER!$C$5)</f>
        <v/>
      </c>
      <c r="E328" s="138" t="str">
        <f>IF($A328="","",Puantaj!AJ333)</f>
        <v/>
      </c>
      <c r="F328" s="137">
        <f t="shared" si="61"/>
        <v>0</v>
      </c>
      <c r="G328" s="137"/>
      <c r="H328" s="137">
        <f t="shared" si="62"/>
        <v>0</v>
      </c>
      <c r="I328" s="137">
        <f t="shared" si="63"/>
        <v>0</v>
      </c>
      <c r="J328" s="137">
        <f>IF(F328&gt;VERİLER!$C$7,'İşçi Bilgileri'!M326+(F328-VERİLER!$C$7),0)</f>
        <v>0</v>
      </c>
      <c r="K328" s="137">
        <f>IF(VERİLER!$C$11&gt;0,ROUND(J328*0.15,2),0)</f>
        <v>0</v>
      </c>
      <c r="L328" s="359">
        <f t="shared" si="64"/>
        <v>0</v>
      </c>
      <c r="M328" s="139">
        <f t="shared" si="65"/>
        <v>0</v>
      </c>
      <c r="N328" s="137">
        <f t="shared" si="66"/>
        <v>0</v>
      </c>
      <c r="O328" s="359">
        <f t="shared" si="67"/>
        <v>0</v>
      </c>
      <c r="P328" s="140">
        <f t="shared" si="68"/>
        <v>0</v>
      </c>
      <c r="Q328" s="140">
        <v>0</v>
      </c>
      <c r="R328" s="137">
        <f t="shared" si="69"/>
        <v>0</v>
      </c>
      <c r="S328" s="141">
        <f t="shared" si="70"/>
        <v>0</v>
      </c>
      <c r="T328" s="137">
        <f t="shared" si="71"/>
        <v>0</v>
      </c>
      <c r="U328" s="137">
        <f>ROUND(VERİLER!$F$9*T328,3)</f>
        <v>0</v>
      </c>
      <c r="V328" s="336">
        <f t="shared" si="72"/>
        <v>0</v>
      </c>
      <c r="W328" s="335"/>
      <c r="X328" s="335"/>
      <c r="Y328" s="335"/>
    </row>
    <row r="329" spans="1:25" s="337" customFormat="1" ht="15" customHeight="1" x14ac:dyDescent="0.2">
      <c r="A329" s="299" t="str">
        <f>IF('İşçi Bilgileri'!A327="","",'İşçi Bilgileri'!A327)</f>
        <v/>
      </c>
      <c r="B329" s="300" t="str">
        <f>IF($A329="","",VLOOKUP($A329,'İşçi Bilgileri'!$A$2:$D$700,4,FALSE))</f>
        <v/>
      </c>
      <c r="C329" s="301" t="str">
        <f>CONCATENATE(IF($A329="","",VLOOKUP($A329,'İşçi Bilgileri'!$A$2:$D$700,2,FALSE))," ",IF($A329="","",VLOOKUP($A329,'İşçi Bilgileri'!$A$2:$D$700,3,FALSE)))</f>
        <v xml:space="preserve"> </v>
      </c>
      <c r="D329" s="137" t="str">
        <f>IF($A329="","",VERİLER!$C$5)</f>
        <v/>
      </c>
      <c r="E329" s="138" t="str">
        <f>IF($A329="","",Puantaj!AJ334)</f>
        <v/>
      </c>
      <c r="F329" s="137">
        <f t="shared" si="61"/>
        <v>0</v>
      </c>
      <c r="G329" s="137"/>
      <c r="H329" s="137">
        <f t="shared" si="62"/>
        <v>0</v>
      </c>
      <c r="I329" s="137">
        <f t="shared" si="63"/>
        <v>0</v>
      </c>
      <c r="J329" s="137">
        <f>IF(F329&gt;VERİLER!$C$7,'İşçi Bilgileri'!M327+(F329-VERİLER!$C$7),0)</f>
        <v>0</v>
      </c>
      <c r="K329" s="137">
        <f>IF(VERİLER!$C$11&gt;0,ROUND(J329*0.15,2),0)</f>
        <v>0</v>
      </c>
      <c r="L329" s="359">
        <f t="shared" si="64"/>
        <v>0</v>
      </c>
      <c r="M329" s="139">
        <f t="shared" si="65"/>
        <v>0</v>
      </c>
      <c r="N329" s="137">
        <f t="shared" si="66"/>
        <v>0</v>
      </c>
      <c r="O329" s="359">
        <f t="shared" si="67"/>
        <v>0</v>
      </c>
      <c r="P329" s="140">
        <f t="shared" si="68"/>
        <v>0</v>
      </c>
      <c r="Q329" s="140">
        <v>0</v>
      </c>
      <c r="R329" s="137">
        <f t="shared" si="69"/>
        <v>0</v>
      </c>
      <c r="S329" s="141">
        <f t="shared" si="70"/>
        <v>0</v>
      </c>
      <c r="T329" s="137">
        <f t="shared" si="71"/>
        <v>0</v>
      </c>
      <c r="U329" s="137">
        <f>ROUND(VERİLER!$F$9*T329,3)</f>
        <v>0</v>
      </c>
      <c r="V329" s="336">
        <f t="shared" si="72"/>
        <v>0</v>
      </c>
      <c r="W329" s="335"/>
      <c r="X329" s="335"/>
      <c r="Y329" s="335"/>
    </row>
    <row r="330" spans="1:25" s="337" customFormat="1" ht="15" customHeight="1" x14ac:dyDescent="0.2">
      <c r="A330" s="299" t="str">
        <f>IF('İşçi Bilgileri'!A328="","",'İşçi Bilgileri'!A328)</f>
        <v/>
      </c>
      <c r="B330" s="300" t="str">
        <f>IF($A330="","",VLOOKUP($A330,'İşçi Bilgileri'!$A$2:$D$700,4,FALSE))</f>
        <v/>
      </c>
      <c r="C330" s="301" t="str">
        <f>CONCATENATE(IF($A330="","",VLOOKUP($A330,'İşçi Bilgileri'!$A$2:$D$700,2,FALSE))," ",IF($A330="","",VLOOKUP($A330,'İşçi Bilgileri'!$A$2:$D$700,3,FALSE)))</f>
        <v xml:space="preserve"> </v>
      </c>
      <c r="D330" s="137" t="str">
        <f>IF($A330="","",VERİLER!$C$5)</f>
        <v/>
      </c>
      <c r="E330" s="138" t="str">
        <f>IF($A330="","",Puantaj!AJ335)</f>
        <v/>
      </c>
      <c r="F330" s="137">
        <f t="shared" si="61"/>
        <v>0</v>
      </c>
      <c r="G330" s="137"/>
      <c r="H330" s="137">
        <f t="shared" si="62"/>
        <v>0</v>
      </c>
      <c r="I330" s="137">
        <f t="shared" si="63"/>
        <v>0</v>
      </c>
      <c r="J330" s="137">
        <f>IF(F330&gt;VERİLER!$C$7,'İşçi Bilgileri'!M328+(F330-VERİLER!$C$7),0)</f>
        <v>0</v>
      </c>
      <c r="K330" s="137">
        <f>IF(VERİLER!$C$11&gt;0,ROUND(J330*0.15,2),0)</f>
        <v>0</v>
      </c>
      <c r="L330" s="359">
        <f t="shared" si="64"/>
        <v>0</v>
      </c>
      <c r="M330" s="139">
        <f t="shared" si="65"/>
        <v>0</v>
      </c>
      <c r="N330" s="137">
        <f t="shared" si="66"/>
        <v>0</v>
      </c>
      <c r="O330" s="359">
        <f t="shared" si="67"/>
        <v>0</v>
      </c>
      <c r="P330" s="140">
        <f t="shared" si="68"/>
        <v>0</v>
      </c>
      <c r="Q330" s="140">
        <v>0</v>
      </c>
      <c r="R330" s="137">
        <f t="shared" si="69"/>
        <v>0</v>
      </c>
      <c r="S330" s="141">
        <f t="shared" si="70"/>
        <v>0</v>
      </c>
      <c r="T330" s="137">
        <f t="shared" si="71"/>
        <v>0</v>
      </c>
      <c r="U330" s="137">
        <f>ROUND(VERİLER!$F$9*T330,3)</f>
        <v>0</v>
      </c>
      <c r="V330" s="336">
        <f t="shared" si="72"/>
        <v>0</v>
      </c>
      <c r="W330" s="335"/>
      <c r="X330" s="335"/>
      <c r="Y330" s="335"/>
    </row>
    <row r="331" spans="1:25" s="337" customFormat="1" ht="15" customHeight="1" x14ac:dyDescent="0.2">
      <c r="A331" s="299" t="str">
        <f>IF('İşçi Bilgileri'!A329="","",'İşçi Bilgileri'!A329)</f>
        <v/>
      </c>
      <c r="B331" s="300" t="str">
        <f>IF($A331="","",VLOOKUP($A331,'İşçi Bilgileri'!$A$2:$D$700,4,FALSE))</f>
        <v/>
      </c>
      <c r="C331" s="301" t="str">
        <f>CONCATENATE(IF($A331="","",VLOOKUP($A331,'İşçi Bilgileri'!$A$2:$D$700,2,FALSE))," ",IF($A331="","",VLOOKUP($A331,'İşçi Bilgileri'!$A$2:$D$700,3,FALSE)))</f>
        <v xml:space="preserve"> </v>
      </c>
      <c r="D331" s="137" t="str">
        <f>IF($A331="","",VERİLER!$C$5)</f>
        <v/>
      </c>
      <c r="E331" s="138" t="str">
        <f>IF($A331="","",Puantaj!AJ336)</f>
        <v/>
      </c>
      <c r="F331" s="137">
        <f t="shared" si="61"/>
        <v>0</v>
      </c>
      <c r="G331" s="137"/>
      <c r="H331" s="137">
        <f t="shared" si="62"/>
        <v>0</v>
      </c>
      <c r="I331" s="137">
        <f t="shared" si="63"/>
        <v>0</v>
      </c>
      <c r="J331" s="137">
        <f>IF(F331&gt;VERİLER!$C$7,'İşçi Bilgileri'!M329+(F331-VERİLER!$C$7),0)</f>
        <v>0</v>
      </c>
      <c r="K331" s="137">
        <f>IF(VERİLER!$C$11&gt;0,ROUND(J331*0.15,2),0)</f>
        <v>0</v>
      </c>
      <c r="L331" s="359">
        <f t="shared" si="64"/>
        <v>0</v>
      </c>
      <c r="M331" s="139">
        <f t="shared" si="65"/>
        <v>0</v>
      </c>
      <c r="N331" s="137">
        <f t="shared" si="66"/>
        <v>0</v>
      </c>
      <c r="O331" s="359">
        <f t="shared" si="67"/>
        <v>0</v>
      </c>
      <c r="P331" s="140">
        <f t="shared" si="68"/>
        <v>0</v>
      </c>
      <c r="Q331" s="140">
        <v>0</v>
      </c>
      <c r="R331" s="137">
        <f t="shared" si="69"/>
        <v>0</v>
      </c>
      <c r="S331" s="141">
        <f t="shared" si="70"/>
        <v>0</v>
      </c>
      <c r="T331" s="137">
        <f t="shared" si="71"/>
        <v>0</v>
      </c>
      <c r="U331" s="137">
        <f>ROUND(VERİLER!$F$9*T331,3)</f>
        <v>0</v>
      </c>
      <c r="V331" s="336">
        <f t="shared" si="72"/>
        <v>0</v>
      </c>
      <c r="W331" s="335"/>
      <c r="X331" s="335"/>
      <c r="Y331" s="335"/>
    </row>
    <row r="332" spans="1:25" s="337" customFormat="1" ht="15" customHeight="1" x14ac:dyDescent="0.2">
      <c r="A332" s="299" t="str">
        <f>IF('İşçi Bilgileri'!A330="","",'İşçi Bilgileri'!A330)</f>
        <v/>
      </c>
      <c r="B332" s="300" t="str">
        <f>IF($A332="","",VLOOKUP($A332,'İşçi Bilgileri'!$A$2:$D$700,4,FALSE))</f>
        <v/>
      </c>
      <c r="C332" s="301" t="str">
        <f>CONCATENATE(IF($A332="","",VLOOKUP($A332,'İşçi Bilgileri'!$A$2:$D$700,2,FALSE))," ",IF($A332="","",VLOOKUP($A332,'İşçi Bilgileri'!$A$2:$D$700,3,FALSE)))</f>
        <v xml:space="preserve"> </v>
      </c>
      <c r="D332" s="137" t="str">
        <f>IF($A332="","",VERİLER!$C$5)</f>
        <v/>
      </c>
      <c r="E332" s="138" t="str">
        <f>IF($A332="","",Puantaj!AJ337)</f>
        <v/>
      </c>
      <c r="F332" s="137">
        <f t="shared" si="61"/>
        <v>0</v>
      </c>
      <c r="G332" s="137"/>
      <c r="H332" s="137">
        <f t="shared" si="62"/>
        <v>0</v>
      </c>
      <c r="I332" s="137">
        <f t="shared" si="63"/>
        <v>0</v>
      </c>
      <c r="J332" s="137">
        <f>IF(F332&gt;VERİLER!$C$7,'İşçi Bilgileri'!M330+(F332-VERİLER!$C$7),0)</f>
        <v>0</v>
      </c>
      <c r="K332" s="137">
        <f>IF(VERİLER!$C$11&gt;0,ROUND(J332*0.15,2),0)</f>
        <v>0</v>
      </c>
      <c r="L332" s="359">
        <f t="shared" si="64"/>
        <v>0</v>
      </c>
      <c r="M332" s="139">
        <f t="shared" si="65"/>
        <v>0</v>
      </c>
      <c r="N332" s="137">
        <f t="shared" si="66"/>
        <v>0</v>
      </c>
      <c r="O332" s="359">
        <f t="shared" si="67"/>
        <v>0</v>
      </c>
      <c r="P332" s="140">
        <f t="shared" si="68"/>
        <v>0</v>
      </c>
      <c r="Q332" s="140">
        <v>0</v>
      </c>
      <c r="R332" s="137">
        <f t="shared" si="69"/>
        <v>0</v>
      </c>
      <c r="S332" s="141">
        <f t="shared" si="70"/>
        <v>0</v>
      </c>
      <c r="T332" s="137">
        <f t="shared" si="71"/>
        <v>0</v>
      </c>
      <c r="U332" s="137">
        <f>ROUND(VERİLER!$F$9*T332,3)</f>
        <v>0</v>
      </c>
      <c r="V332" s="336">
        <f t="shared" si="72"/>
        <v>0</v>
      </c>
      <c r="W332" s="335"/>
      <c r="X332" s="335"/>
      <c r="Y332" s="335"/>
    </row>
    <row r="333" spans="1:25" s="337" customFormat="1" ht="15" customHeight="1" x14ac:dyDescent="0.2">
      <c r="A333" s="299" t="str">
        <f>IF('İşçi Bilgileri'!A331="","",'İşçi Bilgileri'!A331)</f>
        <v/>
      </c>
      <c r="B333" s="300" t="str">
        <f>IF($A333="","",VLOOKUP($A333,'İşçi Bilgileri'!$A$2:$D$700,4,FALSE))</f>
        <v/>
      </c>
      <c r="C333" s="301" t="str">
        <f>CONCATENATE(IF($A333="","",VLOOKUP($A333,'İşçi Bilgileri'!$A$2:$D$700,2,FALSE))," ",IF($A333="","",VLOOKUP($A333,'İşçi Bilgileri'!$A$2:$D$700,3,FALSE)))</f>
        <v xml:space="preserve"> </v>
      </c>
      <c r="D333" s="137" t="str">
        <f>IF($A333="","",VERİLER!$C$5)</f>
        <v/>
      </c>
      <c r="E333" s="138" t="str">
        <f>IF($A333="","",Puantaj!AJ338)</f>
        <v/>
      </c>
      <c r="F333" s="137">
        <f t="shared" si="61"/>
        <v>0</v>
      </c>
      <c r="G333" s="137"/>
      <c r="H333" s="137">
        <f t="shared" si="62"/>
        <v>0</v>
      </c>
      <c r="I333" s="137">
        <f t="shared" si="63"/>
        <v>0</v>
      </c>
      <c r="J333" s="137">
        <f>IF(F333&gt;VERİLER!$C$7,'İşçi Bilgileri'!M331+(F333-VERİLER!$C$7),0)</f>
        <v>0</v>
      </c>
      <c r="K333" s="137">
        <f>IF(VERİLER!$C$11&gt;0,ROUND(J333*0.15,2),0)</f>
        <v>0</v>
      </c>
      <c r="L333" s="359">
        <f t="shared" si="64"/>
        <v>0</v>
      </c>
      <c r="M333" s="139">
        <f t="shared" si="65"/>
        <v>0</v>
      </c>
      <c r="N333" s="137">
        <f t="shared" si="66"/>
        <v>0</v>
      </c>
      <c r="O333" s="359">
        <f t="shared" si="67"/>
        <v>0</v>
      </c>
      <c r="P333" s="140">
        <f t="shared" si="68"/>
        <v>0</v>
      </c>
      <c r="Q333" s="140">
        <v>0</v>
      </c>
      <c r="R333" s="137">
        <f t="shared" si="69"/>
        <v>0</v>
      </c>
      <c r="S333" s="141">
        <f t="shared" si="70"/>
        <v>0</v>
      </c>
      <c r="T333" s="137">
        <f t="shared" si="71"/>
        <v>0</v>
      </c>
      <c r="U333" s="137">
        <f>ROUND(VERİLER!$F$9*T333,3)</f>
        <v>0</v>
      </c>
      <c r="V333" s="336">
        <f t="shared" si="72"/>
        <v>0</v>
      </c>
      <c r="W333" s="335"/>
      <c r="X333" s="335"/>
      <c r="Y333" s="335"/>
    </row>
    <row r="334" spans="1:25" s="337" customFormat="1" ht="15" customHeight="1" x14ac:dyDescent="0.2">
      <c r="A334" s="299" t="str">
        <f>IF('İşçi Bilgileri'!A332="","",'İşçi Bilgileri'!A332)</f>
        <v/>
      </c>
      <c r="B334" s="300" t="str">
        <f>IF($A334="","",VLOOKUP($A334,'İşçi Bilgileri'!$A$2:$D$700,4,FALSE))</f>
        <v/>
      </c>
      <c r="C334" s="301" t="str">
        <f>CONCATENATE(IF($A334="","",VLOOKUP($A334,'İşçi Bilgileri'!$A$2:$D$700,2,FALSE))," ",IF($A334="","",VLOOKUP($A334,'İşçi Bilgileri'!$A$2:$D$700,3,FALSE)))</f>
        <v xml:space="preserve"> </v>
      </c>
      <c r="D334" s="137" t="str">
        <f>IF($A334="","",VERİLER!$C$5)</f>
        <v/>
      </c>
      <c r="E334" s="138" t="str">
        <f>IF($A334="","",Puantaj!AJ339)</f>
        <v/>
      </c>
      <c r="F334" s="137">
        <f t="shared" si="61"/>
        <v>0</v>
      </c>
      <c r="G334" s="137"/>
      <c r="H334" s="137">
        <f t="shared" si="62"/>
        <v>0</v>
      </c>
      <c r="I334" s="137">
        <f t="shared" si="63"/>
        <v>0</v>
      </c>
      <c r="J334" s="137">
        <f>IF(F334&gt;VERİLER!$C$7,'İşçi Bilgileri'!M332+(F334-VERİLER!$C$7),0)</f>
        <v>0</v>
      </c>
      <c r="K334" s="137">
        <f>IF(VERİLER!$C$11&gt;0,ROUND(J334*0.15,2),0)</f>
        <v>0</v>
      </c>
      <c r="L334" s="359">
        <f t="shared" si="64"/>
        <v>0</v>
      </c>
      <c r="M334" s="139">
        <f t="shared" si="65"/>
        <v>0</v>
      </c>
      <c r="N334" s="137">
        <f t="shared" si="66"/>
        <v>0</v>
      </c>
      <c r="O334" s="359">
        <f t="shared" si="67"/>
        <v>0</v>
      </c>
      <c r="P334" s="140">
        <f t="shared" si="68"/>
        <v>0</v>
      </c>
      <c r="Q334" s="140">
        <v>0</v>
      </c>
      <c r="R334" s="137">
        <f t="shared" si="69"/>
        <v>0</v>
      </c>
      <c r="S334" s="141">
        <f t="shared" si="70"/>
        <v>0</v>
      </c>
      <c r="T334" s="137">
        <f t="shared" si="71"/>
        <v>0</v>
      </c>
      <c r="U334" s="137">
        <f>ROUND(VERİLER!$F$9*T334,3)</f>
        <v>0</v>
      </c>
      <c r="V334" s="336">
        <f t="shared" si="72"/>
        <v>0</v>
      </c>
      <c r="W334" s="335"/>
      <c r="X334" s="335"/>
      <c r="Y334" s="335"/>
    </row>
    <row r="335" spans="1:25" s="337" customFormat="1" ht="15" customHeight="1" x14ac:dyDescent="0.2">
      <c r="A335" s="299" t="str">
        <f>IF('İşçi Bilgileri'!A333="","",'İşçi Bilgileri'!A333)</f>
        <v/>
      </c>
      <c r="B335" s="300" t="str">
        <f>IF($A335="","",VLOOKUP($A335,'İşçi Bilgileri'!$A$2:$D$700,4,FALSE))</f>
        <v/>
      </c>
      <c r="C335" s="301" t="str">
        <f>CONCATENATE(IF($A335="","",VLOOKUP($A335,'İşçi Bilgileri'!$A$2:$D$700,2,FALSE))," ",IF($A335="","",VLOOKUP($A335,'İşçi Bilgileri'!$A$2:$D$700,3,FALSE)))</f>
        <v xml:space="preserve"> </v>
      </c>
      <c r="D335" s="137" t="str">
        <f>IF($A335="","",VERİLER!$C$5)</f>
        <v/>
      </c>
      <c r="E335" s="138" t="str">
        <f>IF($A335="","",Puantaj!AJ340)</f>
        <v/>
      </c>
      <c r="F335" s="137">
        <f t="shared" si="61"/>
        <v>0</v>
      </c>
      <c r="G335" s="137"/>
      <c r="H335" s="137">
        <f t="shared" si="62"/>
        <v>0</v>
      </c>
      <c r="I335" s="137">
        <f t="shared" si="63"/>
        <v>0</v>
      </c>
      <c r="J335" s="137">
        <f>IF(F335&gt;VERİLER!$C$7,'İşçi Bilgileri'!M333+(F335-VERİLER!$C$7),0)</f>
        <v>0</v>
      </c>
      <c r="K335" s="137">
        <f>IF(VERİLER!$C$11&gt;0,ROUND(J335*0.15,2),0)</f>
        <v>0</v>
      </c>
      <c r="L335" s="359">
        <f t="shared" si="64"/>
        <v>0</v>
      </c>
      <c r="M335" s="139">
        <f t="shared" si="65"/>
        <v>0</v>
      </c>
      <c r="N335" s="137">
        <f t="shared" si="66"/>
        <v>0</v>
      </c>
      <c r="O335" s="359">
        <f t="shared" si="67"/>
        <v>0</v>
      </c>
      <c r="P335" s="140">
        <f t="shared" si="68"/>
        <v>0</v>
      </c>
      <c r="Q335" s="140">
        <v>0</v>
      </c>
      <c r="R335" s="137">
        <f t="shared" si="69"/>
        <v>0</v>
      </c>
      <c r="S335" s="141">
        <f t="shared" si="70"/>
        <v>0</v>
      </c>
      <c r="T335" s="137">
        <f t="shared" si="71"/>
        <v>0</v>
      </c>
      <c r="U335" s="137">
        <f>ROUND(VERİLER!$F$9*T335,3)</f>
        <v>0</v>
      </c>
      <c r="V335" s="336">
        <f t="shared" si="72"/>
        <v>0</v>
      </c>
      <c r="W335" s="335"/>
      <c r="X335" s="335"/>
      <c r="Y335" s="335"/>
    </row>
    <row r="336" spans="1:25" s="337" customFormat="1" ht="15" customHeight="1" x14ac:dyDescent="0.2">
      <c r="A336" s="299" t="str">
        <f>IF('İşçi Bilgileri'!A334="","",'İşçi Bilgileri'!A334)</f>
        <v/>
      </c>
      <c r="B336" s="300" t="str">
        <f>IF($A336="","",VLOOKUP($A336,'İşçi Bilgileri'!$A$2:$D$700,4,FALSE))</f>
        <v/>
      </c>
      <c r="C336" s="301" t="str">
        <f>CONCATENATE(IF($A336="","",VLOOKUP($A336,'İşçi Bilgileri'!$A$2:$D$700,2,FALSE))," ",IF($A336="","",VLOOKUP($A336,'İşçi Bilgileri'!$A$2:$D$700,3,FALSE)))</f>
        <v xml:space="preserve"> </v>
      </c>
      <c r="D336" s="137" t="str">
        <f>IF($A336="","",VERİLER!$C$5)</f>
        <v/>
      </c>
      <c r="E336" s="138" t="str">
        <f>IF($A336="","",Puantaj!AJ341)</f>
        <v/>
      </c>
      <c r="F336" s="137">
        <f t="shared" si="61"/>
        <v>0</v>
      </c>
      <c r="G336" s="137"/>
      <c r="H336" s="137">
        <f t="shared" si="62"/>
        <v>0</v>
      </c>
      <c r="I336" s="137">
        <f t="shared" si="63"/>
        <v>0</v>
      </c>
      <c r="J336" s="137">
        <f>IF(F336&gt;VERİLER!$C$7,'İşçi Bilgileri'!M334+(F336-VERİLER!$C$7),0)</f>
        <v>0</v>
      </c>
      <c r="K336" s="137">
        <f>IF(VERİLER!$C$11&gt;0,ROUND(J336*0.15,2),0)</f>
        <v>0</v>
      </c>
      <c r="L336" s="359">
        <f t="shared" si="64"/>
        <v>0</v>
      </c>
      <c r="M336" s="139">
        <f t="shared" si="65"/>
        <v>0</v>
      </c>
      <c r="N336" s="137">
        <f t="shared" si="66"/>
        <v>0</v>
      </c>
      <c r="O336" s="359">
        <f t="shared" si="67"/>
        <v>0</v>
      </c>
      <c r="P336" s="140">
        <f t="shared" si="68"/>
        <v>0</v>
      </c>
      <c r="Q336" s="140">
        <v>0</v>
      </c>
      <c r="R336" s="137">
        <f t="shared" si="69"/>
        <v>0</v>
      </c>
      <c r="S336" s="141">
        <f t="shared" si="70"/>
        <v>0</v>
      </c>
      <c r="T336" s="137">
        <f t="shared" si="71"/>
        <v>0</v>
      </c>
      <c r="U336" s="137">
        <f>ROUND(VERİLER!$F$9*T336,3)</f>
        <v>0</v>
      </c>
      <c r="V336" s="336">
        <f t="shared" si="72"/>
        <v>0</v>
      </c>
      <c r="W336" s="335"/>
      <c r="X336" s="335"/>
      <c r="Y336" s="335"/>
    </row>
    <row r="337" spans="1:25" s="337" customFormat="1" ht="15" customHeight="1" x14ac:dyDescent="0.2">
      <c r="A337" s="299" t="str">
        <f>IF('İşçi Bilgileri'!A335="","",'İşçi Bilgileri'!A335)</f>
        <v/>
      </c>
      <c r="B337" s="300" t="str">
        <f>IF($A337="","",VLOOKUP($A337,'İşçi Bilgileri'!$A$2:$D$700,4,FALSE))</f>
        <v/>
      </c>
      <c r="C337" s="301" t="str">
        <f>CONCATENATE(IF($A337="","",VLOOKUP($A337,'İşçi Bilgileri'!$A$2:$D$700,2,FALSE))," ",IF($A337="","",VLOOKUP($A337,'İşçi Bilgileri'!$A$2:$D$700,3,FALSE)))</f>
        <v xml:space="preserve"> </v>
      </c>
      <c r="D337" s="137" t="str">
        <f>IF($A337="","",VERİLER!$C$5)</f>
        <v/>
      </c>
      <c r="E337" s="138" t="str">
        <f>IF($A337="","",Puantaj!AJ342)</f>
        <v/>
      </c>
      <c r="F337" s="137">
        <f t="shared" si="61"/>
        <v>0</v>
      </c>
      <c r="G337" s="137"/>
      <c r="H337" s="137">
        <f t="shared" si="62"/>
        <v>0</v>
      </c>
      <c r="I337" s="137">
        <f t="shared" si="63"/>
        <v>0</v>
      </c>
      <c r="J337" s="137">
        <f>IF(F337&gt;VERİLER!$C$7,'İşçi Bilgileri'!M335+(F337-VERİLER!$C$7),0)</f>
        <v>0</v>
      </c>
      <c r="K337" s="137">
        <f>IF(VERİLER!$C$11&gt;0,ROUND(J337*0.15,2),0)</f>
        <v>0</v>
      </c>
      <c r="L337" s="359">
        <f t="shared" si="64"/>
        <v>0</v>
      </c>
      <c r="M337" s="139">
        <f t="shared" si="65"/>
        <v>0</v>
      </c>
      <c r="N337" s="137">
        <f t="shared" si="66"/>
        <v>0</v>
      </c>
      <c r="O337" s="359">
        <f t="shared" si="67"/>
        <v>0</v>
      </c>
      <c r="P337" s="140">
        <f t="shared" si="68"/>
        <v>0</v>
      </c>
      <c r="Q337" s="140">
        <v>0</v>
      </c>
      <c r="R337" s="137">
        <f t="shared" si="69"/>
        <v>0</v>
      </c>
      <c r="S337" s="141">
        <f t="shared" si="70"/>
        <v>0</v>
      </c>
      <c r="T337" s="137">
        <f t="shared" si="71"/>
        <v>0</v>
      </c>
      <c r="U337" s="137">
        <f>ROUND(VERİLER!$F$9*T337,3)</f>
        <v>0</v>
      </c>
      <c r="V337" s="336">
        <f t="shared" si="72"/>
        <v>0</v>
      </c>
      <c r="W337" s="335"/>
      <c r="X337" s="335"/>
      <c r="Y337" s="335"/>
    </row>
    <row r="338" spans="1:25" s="337" customFormat="1" ht="15" customHeight="1" x14ac:dyDescent="0.2">
      <c r="A338" s="299" t="str">
        <f>IF('İşçi Bilgileri'!A336="","",'İşçi Bilgileri'!A336)</f>
        <v/>
      </c>
      <c r="B338" s="300" t="str">
        <f>IF($A338="","",VLOOKUP($A338,'İşçi Bilgileri'!$A$2:$D$700,4,FALSE))</f>
        <v/>
      </c>
      <c r="C338" s="301" t="str">
        <f>CONCATENATE(IF($A338="","",VLOOKUP($A338,'İşçi Bilgileri'!$A$2:$D$700,2,FALSE))," ",IF($A338="","",VLOOKUP($A338,'İşçi Bilgileri'!$A$2:$D$700,3,FALSE)))</f>
        <v xml:space="preserve"> </v>
      </c>
      <c r="D338" s="137" t="str">
        <f>IF($A338="","",VERİLER!$C$5)</f>
        <v/>
      </c>
      <c r="E338" s="138" t="str">
        <f>IF($A338="","",Puantaj!AJ343)</f>
        <v/>
      </c>
      <c r="F338" s="137">
        <f t="shared" si="61"/>
        <v>0</v>
      </c>
      <c r="G338" s="137"/>
      <c r="H338" s="137">
        <f t="shared" si="62"/>
        <v>0</v>
      </c>
      <c r="I338" s="137">
        <f t="shared" si="63"/>
        <v>0</v>
      </c>
      <c r="J338" s="137">
        <f>IF(F338&gt;VERİLER!$C$7,'İşçi Bilgileri'!M336+(F338-VERİLER!$C$7),0)</f>
        <v>0</v>
      </c>
      <c r="K338" s="137">
        <f>IF(VERİLER!$C$11&gt;0,ROUND(J338*0.15,2),0)</f>
        <v>0</v>
      </c>
      <c r="L338" s="359">
        <f t="shared" si="64"/>
        <v>0</v>
      </c>
      <c r="M338" s="139">
        <f t="shared" si="65"/>
        <v>0</v>
      </c>
      <c r="N338" s="137">
        <f t="shared" si="66"/>
        <v>0</v>
      </c>
      <c r="O338" s="359">
        <f t="shared" si="67"/>
        <v>0</v>
      </c>
      <c r="P338" s="140">
        <f t="shared" si="68"/>
        <v>0</v>
      </c>
      <c r="Q338" s="140">
        <v>0</v>
      </c>
      <c r="R338" s="137">
        <f t="shared" si="69"/>
        <v>0</v>
      </c>
      <c r="S338" s="141">
        <f t="shared" si="70"/>
        <v>0</v>
      </c>
      <c r="T338" s="137">
        <f t="shared" si="71"/>
        <v>0</v>
      </c>
      <c r="U338" s="137">
        <f>ROUND(VERİLER!$F$9*T338,3)</f>
        <v>0</v>
      </c>
      <c r="V338" s="336">
        <f t="shared" si="72"/>
        <v>0</v>
      </c>
      <c r="W338" s="335"/>
      <c r="X338" s="335"/>
      <c r="Y338" s="335"/>
    </row>
    <row r="339" spans="1:25" s="337" customFormat="1" ht="15" customHeight="1" x14ac:dyDescent="0.2">
      <c r="A339" s="299" t="str">
        <f>IF('İşçi Bilgileri'!A337="","",'İşçi Bilgileri'!A337)</f>
        <v/>
      </c>
      <c r="B339" s="300" t="str">
        <f>IF($A339="","",VLOOKUP($A339,'İşçi Bilgileri'!$A$2:$D$700,4,FALSE))</f>
        <v/>
      </c>
      <c r="C339" s="301" t="str">
        <f>CONCATENATE(IF($A339="","",VLOOKUP($A339,'İşçi Bilgileri'!$A$2:$D$700,2,FALSE))," ",IF($A339="","",VLOOKUP($A339,'İşçi Bilgileri'!$A$2:$D$700,3,FALSE)))</f>
        <v xml:space="preserve"> </v>
      </c>
      <c r="D339" s="137" t="str">
        <f>IF($A339="","",VERİLER!$C$5)</f>
        <v/>
      </c>
      <c r="E339" s="138" t="str">
        <f>IF($A339="","",Puantaj!AJ344)</f>
        <v/>
      </c>
      <c r="F339" s="137">
        <f t="shared" si="61"/>
        <v>0</v>
      </c>
      <c r="G339" s="137"/>
      <c r="H339" s="137">
        <f t="shared" si="62"/>
        <v>0</v>
      </c>
      <c r="I339" s="137">
        <f t="shared" si="63"/>
        <v>0</v>
      </c>
      <c r="J339" s="137">
        <f>IF(F339&gt;VERİLER!$C$7,'İşçi Bilgileri'!M337+(F339-VERİLER!$C$7),0)</f>
        <v>0</v>
      </c>
      <c r="K339" s="137">
        <f>IF(VERİLER!$C$11&gt;0,ROUND(J339*0.15,2),0)</f>
        <v>0</v>
      </c>
      <c r="L339" s="359">
        <f t="shared" si="64"/>
        <v>0</v>
      </c>
      <c r="M339" s="139">
        <f t="shared" si="65"/>
        <v>0</v>
      </c>
      <c r="N339" s="137">
        <f t="shared" si="66"/>
        <v>0</v>
      </c>
      <c r="O339" s="359">
        <f t="shared" si="67"/>
        <v>0</v>
      </c>
      <c r="P339" s="140">
        <f t="shared" si="68"/>
        <v>0</v>
      </c>
      <c r="Q339" s="140">
        <v>0</v>
      </c>
      <c r="R339" s="137">
        <f t="shared" si="69"/>
        <v>0</v>
      </c>
      <c r="S339" s="141">
        <f t="shared" si="70"/>
        <v>0</v>
      </c>
      <c r="T339" s="137">
        <f t="shared" si="71"/>
        <v>0</v>
      </c>
      <c r="U339" s="137">
        <f>ROUND(VERİLER!$F$9*T339,3)</f>
        <v>0</v>
      </c>
      <c r="V339" s="336">
        <f t="shared" si="72"/>
        <v>0</v>
      </c>
      <c r="W339" s="335"/>
      <c r="X339" s="335"/>
      <c r="Y339" s="335"/>
    </row>
    <row r="340" spans="1:25" s="337" customFormat="1" ht="15" customHeight="1" x14ac:dyDescent="0.2">
      <c r="A340" s="299" t="str">
        <f>IF('İşçi Bilgileri'!A338="","",'İşçi Bilgileri'!A338)</f>
        <v/>
      </c>
      <c r="B340" s="300" t="str">
        <f>IF($A340="","",VLOOKUP($A340,'İşçi Bilgileri'!$A$2:$D$700,4,FALSE))</f>
        <v/>
      </c>
      <c r="C340" s="301" t="str">
        <f>CONCATENATE(IF($A340="","",VLOOKUP($A340,'İşçi Bilgileri'!$A$2:$D$700,2,FALSE))," ",IF($A340="","",VLOOKUP($A340,'İşçi Bilgileri'!$A$2:$D$700,3,FALSE)))</f>
        <v xml:space="preserve"> </v>
      </c>
      <c r="D340" s="137" t="str">
        <f>IF($A340="","",VERİLER!$C$5)</f>
        <v/>
      </c>
      <c r="E340" s="138" t="str">
        <f>IF($A340="","",Puantaj!AJ345)</f>
        <v/>
      </c>
      <c r="F340" s="137">
        <f t="shared" si="61"/>
        <v>0</v>
      </c>
      <c r="G340" s="137"/>
      <c r="H340" s="137">
        <f t="shared" si="62"/>
        <v>0</v>
      </c>
      <c r="I340" s="137">
        <f t="shared" si="63"/>
        <v>0</v>
      </c>
      <c r="J340" s="137">
        <f>IF(F340&gt;VERİLER!$C$7,'İşçi Bilgileri'!M338+(F340-VERİLER!$C$7),0)</f>
        <v>0</v>
      </c>
      <c r="K340" s="137">
        <f>IF(VERİLER!$C$11&gt;0,ROUND(J340*0.15,2),0)</f>
        <v>0</v>
      </c>
      <c r="L340" s="359">
        <f t="shared" si="64"/>
        <v>0</v>
      </c>
      <c r="M340" s="139">
        <f t="shared" si="65"/>
        <v>0</v>
      </c>
      <c r="N340" s="137">
        <f t="shared" si="66"/>
        <v>0</v>
      </c>
      <c r="O340" s="359">
        <f t="shared" si="67"/>
        <v>0</v>
      </c>
      <c r="P340" s="140">
        <f t="shared" si="68"/>
        <v>0</v>
      </c>
      <c r="Q340" s="140">
        <v>0</v>
      </c>
      <c r="R340" s="137">
        <f t="shared" si="69"/>
        <v>0</v>
      </c>
      <c r="S340" s="141">
        <f t="shared" si="70"/>
        <v>0</v>
      </c>
      <c r="T340" s="137">
        <f t="shared" si="71"/>
        <v>0</v>
      </c>
      <c r="U340" s="137">
        <f>ROUND(VERİLER!$F$9*T340,3)</f>
        <v>0</v>
      </c>
      <c r="V340" s="336">
        <f t="shared" si="72"/>
        <v>0</v>
      </c>
      <c r="W340" s="335"/>
      <c r="X340" s="335"/>
      <c r="Y340" s="335"/>
    </row>
    <row r="341" spans="1:25" s="337" customFormat="1" ht="15" customHeight="1" x14ac:dyDescent="0.2">
      <c r="A341" s="299" t="str">
        <f>IF('İşçi Bilgileri'!A339="","",'İşçi Bilgileri'!A339)</f>
        <v/>
      </c>
      <c r="B341" s="300" t="str">
        <f>IF($A341="","",VLOOKUP($A341,'İşçi Bilgileri'!$A$2:$D$700,4,FALSE))</f>
        <v/>
      </c>
      <c r="C341" s="301" t="str">
        <f>CONCATENATE(IF($A341="","",VLOOKUP($A341,'İşçi Bilgileri'!$A$2:$D$700,2,FALSE))," ",IF($A341="","",VLOOKUP($A341,'İşçi Bilgileri'!$A$2:$D$700,3,FALSE)))</f>
        <v xml:space="preserve"> </v>
      </c>
      <c r="D341" s="137" t="str">
        <f>IF($A341="","",VERİLER!$C$5)</f>
        <v/>
      </c>
      <c r="E341" s="138" t="str">
        <f>IF($A341="","",Puantaj!AJ346)</f>
        <v/>
      </c>
      <c r="F341" s="137">
        <f t="shared" si="61"/>
        <v>0</v>
      </c>
      <c r="G341" s="137"/>
      <c r="H341" s="137">
        <f t="shared" si="62"/>
        <v>0</v>
      </c>
      <c r="I341" s="137">
        <f t="shared" si="63"/>
        <v>0</v>
      </c>
      <c r="J341" s="137">
        <f>IF(F341&gt;VERİLER!$C$7,'İşçi Bilgileri'!M339+(F341-VERİLER!$C$7),0)</f>
        <v>0</v>
      </c>
      <c r="K341" s="137">
        <f>IF(VERİLER!$C$11&gt;0,ROUND(J341*0.15,2),0)</f>
        <v>0</v>
      </c>
      <c r="L341" s="359">
        <f t="shared" si="64"/>
        <v>0</v>
      </c>
      <c r="M341" s="139">
        <f t="shared" si="65"/>
        <v>0</v>
      </c>
      <c r="N341" s="137">
        <f t="shared" si="66"/>
        <v>0</v>
      </c>
      <c r="O341" s="359">
        <f t="shared" si="67"/>
        <v>0</v>
      </c>
      <c r="P341" s="140">
        <f t="shared" si="68"/>
        <v>0</v>
      </c>
      <c r="Q341" s="140">
        <v>0</v>
      </c>
      <c r="R341" s="137">
        <f t="shared" si="69"/>
        <v>0</v>
      </c>
      <c r="S341" s="141">
        <f t="shared" si="70"/>
        <v>0</v>
      </c>
      <c r="T341" s="137">
        <f t="shared" si="71"/>
        <v>0</v>
      </c>
      <c r="U341" s="137">
        <f>ROUND(VERİLER!$F$9*T341,3)</f>
        <v>0</v>
      </c>
      <c r="V341" s="336">
        <f t="shared" si="72"/>
        <v>0</v>
      </c>
      <c r="W341" s="335"/>
      <c r="X341" s="335"/>
      <c r="Y341" s="335"/>
    </row>
    <row r="342" spans="1:25" s="337" customFormat="1" ht="15" customHeight="1" x14ac:dyDescent="0.2">
      <c r="A342" s="299" t="str">
        <f>IF('İşçi Bilgileri'!A340="","",'İşçi Bilgileri'!A340)</f>
        <v/>
      </c>
      <c r="B342" s="300" t="str">
        <f>IF($A342="","",VLOOKUP($A342,'İşçi Bilgileri'!$A$2:$D$700,4,FALSE))</f>
        <v/>
      </c>
      <c r="C342" s="301" t="str">
        <f>CONCATENATE(IF($A342="","",VLOOKUP($A342,'İşçi Bilgileri'!$A$2:$D$700,2,FALSE))," ",IF($A342="","",VLOOKUP($A342,'İşçi Bilgileri'!$A$2:$D$700,3,FALSE)))</f>
        <v xml:space="preserve"> </v>
      </c>
      <c r="D342" s="137" t="str">
        <f>IF($A342="","",VERİLER!$C$5)</f>
        <v/>
      </c>
      <c r="E342" s="138" t="str">
        <f>IF($A342="","",Puantaj!AJ347)</f>
        <v/>
      </c>
      <c r="F342" s="137">
        <f t="shared" si="61"/>
        <v>0</v>
      </c>
      <c r="G342" s="137"/>
      <c r="H342" s="137">
        <f t="shared" si="62"/>
        <v>0</v>
      </c>
      <c r="I342" s="137">
        <f t="shared" si="63"/>
        <v>0</v>
      </c>
      <c r="J342" s="137">
        <f>IF(F342&gt;VERİLER!$C$7,'İşçi Bilgileri'!M340+(F342-VERİLER!$C$7),0)</f>
        <v>0</v>
      </c>
      <c r="K342" s="137">
        <f>IF(VERİLER!$C$11&gt;0,ROUND(J342*0.15,2),0)</f>
        <v>0</v>
      </c>
      <c r="L342" s="359">
        <f t="shared" si="64"/>
        <v>0</v>
      </c>
      <c r="M342" s="139">
        <f t="shared" si="65"/>
        <v>0</v>
      </c>
      <c r="N342" s="137">
        <f t="shared" si="66"/>
        <v>0</v>
      </c>
      <c r="O342" s="359">
        <f t="shared" si="67"/>
        <v>0</v>
      </c>
      <c r="P342" s="140">
        <f t="shared" si="68"/>
        <v>0</v>
      </c>
      <c r="Q342" s="140">
        <v>0</v>
      </c>
      <c r="R342" s="137">
        <f t="shared" si="69"/>
        <v>0</v>
      </c>
      <c r="S342" s="141">
        <f t="shared" si="70"/>
        <v>0</v>
      </c>
      <c r="T342" s="137">
        <f t="shared" si="71"/>
        <v>0</v>
      </c>
      <c r="U342" s="137">
        <f>ROUND(VERİLER!$F$9*T342,3)</f>
        <v>0</v>
      </c>
      <c r="V342" s="336">
        <f t="shared" si="72"/>
        <v>0</v>
      </c>
      <c r="W342" s="335"/>
      <c r="X342" s="335"/>
      <c r="Y342" s="335"/>
    </row>
    <row r="343" spans="1:25" s="337" customFormat="1" ht="15" customHeight="1" x14ac:dyDescent="0.2">
      <c r="A343" s="299" t="str">
        <f>IF('İşçi Bilgileri'!A341="","",'İşçi Bilgileri'!A341)</f>
        <v/>
      </c>
      <c r="B343" s="300" t="str">
        <f>IF($A343="","",VLOOKUP($A343,'İşçi Bilgileri'!$A$2:$D$700,4,FALSE))</f>
        <v/>
      </c>
      <c r="C343" s="301" t="str">
        <f>CONCATENATE(IF($A343="","",VLOOKUP($A343,'İşçi Bilgileri'!$A$2:$D$700,2,FALSE))," ",IF($A343="","",VLOOKUP($A343,'İşçi Bilgileri'!$A$2:$D$700,3,FALSE)))</f>
        <v xml:space="preserve"> </v>
      </c>
      <c r="D343" s="137" t="str">
        <f>IF($A343="","",VERİLER!$C$5)</f>
        <v/>
      </c>
      <c r="E343" s="138" t="str">
        <f>IF($A343="","",Puantaj!AJ348)</f>
        <v/>
      </c>
      <c r="F343" s="137">
        <f t="shared" si="61"/>
        <v>0</v>
      </c>
      <c r="G343" s="137"/>
      <c r="H343" s="137">
        <f t="shared" si="62"/>
        <v>0</v>
      </c>
      <c r="I343" s="137">
        <f t="shared" si="63"/>
        <v>0</v>
      </c>
      <c r="J343" s="137">
        <f>IF(F343&gt;VERİLER!$C$7,'İşçi Bilgileri'!M341+(F343-VERİLER!$C$7),0)</f>
        <v>0</v>
      </c>
      <c r="K343" s="137">
        <f>IF(VERİLER!$C$11&gt;0,ROUND(J343*0.15,2),0)</f>
        <v>0</v>
      </c>
      <c r="L343" s="359">
        <f t="shared" si="64"/>
        <v>0</v>
      </c>
      <c r="M343" s="139">
        <f t="shared" si="65"/>
        <v>0</v>
      </c>
      <c r="N343" s="137">
        <f t="shared" si="66"/>
        <v>0</v>
      </c>
      <c r="O343" s="359">
        <f t="shared" si="67"/>
        <v>0</v>
      </c>
      <c r="P343" s="140">
        <f t="shared" si="68"/>
        <v>0</v>
      </c>
      <c r="Q343" s="140">
        <v>0</v>
      </c>
      <c r="R343" s="137">
        <f t="shared" si="69"/>
        <v>0</v>
      </c>
      <c r="S343" s="141">
        <f t="shared" si="70"/>
        <v>0</v>
      </c>
      <c r="T343" s="137">
        <f t="shared" si="71"/>
        <v>0</v>
      </c>
      <c r="U343" s="137">
        <f>ROUND(VERİLER!$F$9*T343,3)</f>
        <v>0</v>
      </c>
      <c r="V343" s="336">
        <f t="shared" si="72"/>
        <v>0</v>
      </c>
      <c r="W343" s="335"/>
      <c r="X343" s="335"/>
      <c r="Y343" s="335"/>
    </row>
    <row r="344" spans="1:25" s="337" customFormat="1" ht="15" customHeight="1" x14ac:dyDescent="0.2">
      <c r="A344" s="299" t="str">
        <f>IF('İşçi Bilgileri'!A342="","",'İşçi Bilgileri'!A342)</f>
        <v/>
      </c>
      <c r="B344" s="300" t="str">
        <f>IF($A344="","",VLOOKUP($A344,'İşçi Bilgileri'!$A$2:$D$700,4,FALSE))</f>
        <v/>
      </c>
      <c r="C344" s="301" t="str">
        <f>CONCATENATE(IF($A344="","",VLOOKUP($A344,'İşçi Bilgileri'!$A$2:$D$700,2,FALSE))," ",IF($A344="","",VLOOKUP($A344,'İşçi Bilgileri'!$A$2:$D$700,3,FALSE)))</f>
        <v xml:space="preserve"> </v>
      </c>
      <c r="D344" s="137" t="str">
        <f>IF($A344="","",VERİLER!$C$5)</f>
        <v/>
      </c>
      <c r="E344" s="138" t="str">
        <f>IF($A344="","",Puantaj!AJ349)</f>
        <v/>
      </c>
      <c r="F344" s="137">
        <f t="shared" si="61"/>
        <v>0</v>
      </c>
      <c r="G344" s="137"/>
      <c r="H344" s="137">
        <f t="shared" si="62"/>
        <v>0</v>
      </c>
      <c r="I344" s="137">
        <f t="shared" si="63"/>
        <v>0</v>
      </c>
      <c r="J344" s="137">
        <f>IF(F344&gt;VERİLER!$C$7,'İşçi Bilgileri'!M342+(F344-VERİLER!$C$7),0)</f>
        <v>0</v>
      </c>
      <c r="K344" s="137">
        <f>IF(VERİLER!$C$11&gt;0,ROUND(J344*0.15,2),0)</f>
        <v>0</v>
      </c>
      <c r="L344" s="359">
        <f t="shared" si="64"/>
        <v>0</v>
      </c>
      <c r="M344" s="139">
        <f t="shared" si="65"/>
        <v>0</v>
      </c>
      <c r="N344" s="137">
        <f t="shared" si="66"/>
        <v>0</v>
      </c>
      <c r="O344" s="359">
        <f t="shared" si="67"/>
        <v>0</v>
      </c>
      <c r="P344" s="140">
        <f t="shared" si="68"/>
        <v>0</v>
      </c>
      <c r="Q344" s="140">
        <v>0</v>
      </c>
      <c r="R344" s="137">
        <f t="shared" si="69"/>
        <v>0</v>
      </c>
      <c r="S344" s="141">
        <f t="shared" si="70"/>
        <v>0</v>
      </c>
      <c r="T344" s="137">
        <f t="shared" si="71"/>
        <v>0</v>
      </c>
      <c r="U344" s="137">
        <f>ROUND(VERİLER!$F$9*T344,3)</f>
        <v>0</v>
      </c>
      <c r="V344" s="336">
        <f t="shared" si="72"/>
        <v>0</v>
      </c>
      <c r="W344" s="335"/>
      <c r="X344" s="335"/>
      <c r="Y344" s="335"/>
    </row>
    <row r="345" spans="1:25" s="337" customFormat="1" ht="15" customHeight="1" x14ac:dyDescent="0.2">
      <c r="A345" s="299" t="str">
        <f>IF('İşçi Bilgileri'!A343="","",'İşçi Bilgileri'!A343)</f>
        <v/>
      </c>
      <c r="B345" s="300" t="str">
        <f>IF($A345="","",VLOOKUP($A345,'İşçi Bilgileri'!$A$2:$D$700,4,FALSE))</f>
        <v/>
      </c>
      <c r="C345" s="301" t="str">
        <f>CONCATENATE(IF($A345="","",VLOOKUP($A345,'İşçi Bilgileri'!$A$2:$D$700,2,FALSE))," ",IF($A345="","",VLOOKUP($A345,'İşçi Bilgileri'!$A$2:$D$700,3,FALSE)))</f>
        <v xml:space="preserve"> </v>
      </c>
      <c r="D345" s="137" t="str">
        <f>IF($A345="","",VERİLER!$C$5)</f>
        <v/>
      </c>
      <c r="E345" s="138" t="str">
        <f>IF($A345="","",Puantaj!AJ350)</f>
        <v/>
      </c>
      <c r="F345" s="137">
        <f t="shared" si="61"/>
        <v>0</v>
      </c>
      <c r="G345" s="137"/>
      <c r="H345" s="137">
        <f t="shared" si="62"/>
        <v>0</v>
      </c>
      <c r="I345" s="137">
        <f t="shared" si="63"/>
        <v>0</v>
      </c>
      <c r="J345" s="137">
        <f>IF(F345&gt;VERİLER!$C$7,'İşçi Bilgileri'!M343+(F345-VERİLER!$C$7),0)</f>
        <v>0</v>
      </c>
      <c r="K345" s="137">
        <f>IF(VERİLER!$C$11&gt;0,ROUND(J345*0.15,2),0)</f>
        <v>0</v>
      </c>
      <c r="L345" s="359">
        <f t="shared" si="64"/>
        <v>0</v>
      </c>
      <c r="M345" s="139">
        <f t="shared" si="65"/>
        <v>0</v>
      </c>
      <c r="N345" s="137">
        <f t="shared" si="66"/>
        <v>0</v>
      </c>
      <c r="O345" s="359">
        <f t="shared" si="67"/>
        <v>0</v>
      </c>
      <c r="P345" s="140">
        <f t="shared" si="68"/>
        <v>0</v>
      </c>
      <c r="Q345" s="140">
        <v>0</v>
      </c>
      <c r="R345" s="137">
        <f t="shared" si="69"/>
        <v>0</v>
      </c>
      <c r="S345" s="141">
        <f t="shared" si="70"/>
        <v>0</v>
      </c>
      <c r="T345" s="137">
        <f t="shared" si="71"/>
        <v>0</v>
      </c>
      <c r="U345" s="137">
        <f>ROUND(VERİLER!$F$9*T345,3)</f>
        <v>0</v>
      </c>
      <c r="V345" s="336">
        <f t="shared" si="72"/>
        <v>0</v>
      </c>
      <c r="W345" s="335"/>
      <c r="X345" s="335"/>
      <c r="Y345" s="335"/>
    </row>
    <row r="346" spans="1:25" s="337" customFormat="1" ht="15" customHeight="1" x14ac:dyDescent="0.2">
      <c r="A346" s="299" t="str">
        <f>IF('İşçi Bilgileri'!A344="","",'İşçi Bilgileri'!A344)</f>
        <v/>
      </c>
      <c r="B346" s="300" t="str">
        <f>IF($A346="","",VLOOKUP($A346,'İşçi Bilgileri'!$A$2:$D$700,4,FALSE))</f>
        <v/>
      </c>
      <c r="C346" s="301" t="str">
        <f>CONCATENATE(IF($A346="","",VLOOKUP($A346,'İşçi Bilgileri'!$A$2:$D$700,2,FALSE))," ",IF($A346="","",VLOOKUP($A346,'İşçi Bilgileri'!$A$2:$D$700,3,FALSE)))</f>
        <v xml:space="preserve"> </v>
      </c>
      <c r="D346" s="137" t="str">
        <f>IF($A346="","",VERİLER!$C$5)</f>
        <v/>
      </c>
      <c r="E346" s="138" t="str">
        <f>IF($A346="","",Puantaj!AJ351)</f>
        <v/>
      </c>
      <c r="F346" s="137">
        <f t="shared" si="61"/>
        <v>0</v>
      </c>
      <c r="G346" s="137"/>
      <c r="H346" s="137">
        <f t="shared" si="62"/>
        <v>0</v>
      </c>
      <c r="I346" s="137">
        <f t="shared" si="63"/>
        <v>0</v>
      </c>
      <c r="J346" s="137">
        <f>IF(F346&gt;VERİLER!$C$7,'İşçi Bilgileri'!M344+(F346-VERİLER!$C$7),0)</f>
        <v>0</v>
      </c>
      <c r="K346" s="137">
        <f>IF(VERİLER!$C$11&gt;0,ROUND(J346*0.15,2),0)</f>
        <v>0</v>
      </c>
      <c r="L346" s="359">
        <f t="shared" si="64"/>
        <v>0</v>
      </c>
      <c r="M346" s="139">
        <f t="shared" si="65"/>
        <v>0</v>
      </c>
      <c r="N346" s="137">
        <f t="shared" si="66"/>
        <v>0</v>
      </c>
      <c r="O346" s="359">
        <f t="shared" si="67"/>
        <v>0</v>
      </c>
      <c r="P346" s="140">
        <f t="shared" si="68"/>
        <v>0</v>
      </c>
      <c r="Q346" s="140">
        <v>0</v>
      </c>
      <c r="R346" s="137">
        <f t="shared" si="69"/>
        <v>0</v>
      </c>
      <c r="S346" s="141">
        <f t="shared" si="70"/>
        <v>0</v>
      </c>
      <c r="T346" s="137">
        <f t="shared" si="71"/>
        <v>0</v>
      </c>
      <c r="U346" s="137">
        <f>ROUND(VERİLER!$F$9*T346,3)</f>
        <v>0</v>
      </c>
      <c r="V346" s="336">
        <f t="shared" si="72"/>
        <v>0</v>
      </c>
      <c r="W346" s="335"/>
      <c r="X346" s="335"/>
      <c r="Y346" s="335"/>
    </row>
    <row r="347" spans="1:25" s="337" customFormat="1" ht="15" customHeight="1" x14ac:dyDescent="0.2">
      <c r="A347" s="299" t="str">
        <f>IF('İşçi Bilgileri'!A345="","",'İşçi Bilgileri'!A345)</f>
        <v/>
      </c>
      <c r="B347" s="300" t="str">
        <f>IF($A347="","",VLOOKUP($A347,'İşçi Bilgileri'!$A$2:$D$700,4,FALSE))</f>
        <v/>
      </c>
      <c r="C347" s="301" t="str">
        <f>CONCATENATE(IF($A347="","",VLOOKUP($A347,'İşçi Bilgileri'!$A$2:$D$700,2,FALSE))," ",IF($A347="","",VLOOKUP($A347,'İşçi Bilgileri'!$A$2:$D$700,3,FALSE)))</f>
        <v xml:space="preserve"> </v>
      </c>
      <c r="D347" s="137" t="str">
        <f>IF($A347="","",VERİLER!$C$5)</f>
        <v/>
      </c>
      <c r="E347" s="138" t="str">
        <f>IF($A347="","",Puantaj!AJ352)</f>
        <v/>
      </c>
      <c r="F347" s="137">
        <f t="shared" si="61"/>
        <v>0</v>
      </c>
      <c r="G347" s="137"/>
      <c r="H347" s="137">
        <f t="shared" si="62"/>
        <v>0</v>
      </c>
      <c r="I347" s="137">
        <f t="shared" si="63"/>
        <v>0</v>
      </c>
      <c r="J347" s="137">
        <f>IF(F347&gt;VERİLER!$C$7,'İşçi Bilgileri'!M345+(F347-VERİLER!$C$7),0)</f>
        <v>0</v>
      </c>
      <c r="K347" s="137">
        <f>IF(VERİLER!$C$11&gt;0,ROUND(J347*0.15,2),0)</f>
        <v>0</v>
      </c>
      <c r="L347" s="359">
        <f t="shared" si="64"/>
        <v>0</v>
      </c>
      <c r="M347" s="139">
        <f t="shared" si="65"/>
        <v>0</v>
      </c>
      <c r="N347" s="137">
        <f t="shared" si="66"/>
        <v>0</v>
      </c>
      <c r="O347" s="359">
        <f t="shared" si="67"/>
        <v>0</v>
      </c>
      <c r="P347" s="140">
        <f t="shared" si="68"/>
        <v>0</v>
      </c>
      <c r="Q347" s="140">
        <v>0</v>
      </c>
      <c r="R347" s="137">
        <f t="shared" si="69"/>
        <v>0</v>
      </c>
      <c r="S347" s="141">
        <f t="shared" si="70"/>
        <v>0</v>
      </c>
      <c r="T347" s="137">
        <f t="shared" si="71"/>
        <v>0</v>
      </c>
      <c r="U347" s="137">
        <f>ROUND(VERİLER!$F$9*T347,3)</f>
        <v>0</v>
      </c>
      <c r="V347" s="336">
        <f t="shared" si="72"/>
        <v>0</v>
      </c>
      <c r="W347" s="335"/>
      <c r="X347" s="335"/>
      <c r="Y347" s="335"/>
    </row>
    <row r="348" spans="1:25" s="337" customFormat="1" ht="15" customHeight="1" x14ac:dyDescent="0.2">
      <c r="A348" s="299" t="str">
        <f>IF('İşçi Bilgileri'!A346="","",'İşçi Bilgileri'!A346)</f>
        <v/>
      </c>
      <c r="B348" s="300" t="str">
        <f>IF($A348="","",VLOOKUP($A348,'İşçi Bilgileri'!$A$2:$D$700,4,FALSE))</f>
        <v/>
      </c>
      <c r="C348" s="301" t="str">
        <f>CONCATENATE(IF($A348="","",VLOOKUP($A348,'İşçi Bilgileri'!$A$2:$D$700,2,FALSE))," ",IF($A348="","",VLOOKUP($A348,'İşçi Bilgileri'!$A$2:$D$700,3,FALSE)))</f>
        <v xml:space="preserve"> </v>
      </c>
      <c r="D348" s="137" t="str">
        <f>IF($A348="","",VERİLER!$C$5)</f>
        <v/>
      </c>
      <c r="E348" s="138" t="str">
        <f>IF($A348="","",Puantaj!AJ353)</f>
        <v/>
      </c>
      <c r="F348" s="137">
        <f t="shared" si="61"/>
        <v>0</v>
      </c>
      <c r="G348" s="137"/>
      <c r="H348" s="137">
        <f t="shared" si="62"/>
        <v>0</v>
      </c>
      <c r="I348" s="137">
        <f t="shared" si="63"/>
        <v>0</v>
      </c>
      <c r="J348" s="137">
        <f>IF(F348&gt;VERİLER!$C$7,'İşçi Bilgileri'!M346+(F348-VERİLER!$C$7),0)</f>
        <v>0</v>
      </c>
      <c r="K348" s="137">
        <f>IF(VERİLER!$C$11&gt;0,ROUND(J348*0.15,2),0)</f>
        <v>0</v>
      </c>
      <c r="L348" s="359">
        <f t="shared" si="64"/>
        <v>0</v>
      </c>
      <c r="M348" s="139">
        <f t="shared" si="65"/>
        <v>0</v>
      </c>
      <c r="N348" s="137">
        <f t="shared" si="66"/>
        <v>0</v>
      </c>
      <c r="O348" s="359">
        <f t="shared" si="67"/>
        <v>0</v>
      </c>
      <c r="P348" s="140">
        <f t="shared" si="68"/>
        <v>0</v>
      </c>
      <c r="Q348" s="140">
        <v>0</v>
      </c>
      <c r="R348" s="137">
        <f t="shared" si="69"/>
        <v>0</v>
      </c>
      <c r="S348" s="141">
        <f t="shared" si="70"/>
        <v>0</v>
      </c>
      <c r="T348" s="137">
        <f t="shared" si="71"/>
        <v>0</v>
      </c>
      <c r="U348" s="137">
        <f>ROUND(VERİLER!$F$9*T348,3)</f>
        <v>0</v>
      </c>
      <c r="V348" s="336">
        <f t="shared" si="72"/>
        <v>0</v>
      </c>
      <c r="W348" s="335"/>
      <c r="X348" s="335"/>
      <c r="Y348" s="335"/>
    </row>
    <row r="349" spans="1:25" s="337" customFormat="1" ht="15" customHeight="1" x14ac:dyDescent="0.2">
      <c r="A349" s="299" t="str">
        <f>IF('İşçi Bilgileri'!A347="","",'İşçi Bilgileri'!A347)</f>
        <v/>
      </c>
      <c r="B349" s="300" t="str">
        <f>IF($A349="","",VLOOKUP($A349,'İşçi Bilgileri'!$A$2:$D$700,4,FALSE))</f>
        <v/>
      </c>
      <c r="C349" s="301" t="str">
        <f>CONCATENATE(IF($A349="","",VLOOKUP($A349,'İşçi Bilgileri'!$A$2:$D$700,2,FALSE))," ",IF($A349="","",VLOOKUP($A349,'İşçi Bilgileri'!$A$2:$D$700,3,FALSE)))</f>
        <v xml:space="preserve"> </v>
      </c>
      <c r="D349" s="137" t="str">
        <f>IF($A349="","",VERİLER!$C$5)</f>
        <v/>
      </c>
      <c r="E349" s="138" t="str">
        <f>IF($A349="","",Puantaj!AJ354)</f>
        <v/>
      </c>
      <c r="F349" s="137">
        <f t="shared" si="61"/>
        <v>0</v>
      </c>
      <c r="G349" s="137"/>
      <c r="H349" s="137">
        <f t="shared" si="62"/>
        <v>0</v>
      </c>
      <c r="I349" s="137">
        <f t="shared" si="63"/>
        <v>0</v>
      </c>
      <c r="J349" s="137">
        <f>IF(F349&gt;VERİLER!$C$7,'İşçi Bilgileri'!M347+(F349-VERİLER!$C$7),0)</f>
        <v>0</v>
      </c>
      <c r="K349" s="137">
        <f>IF(VERİLER!$C$11&gt;0,ROUND(J349*0.15,2),0)</f>
        <v>0</v>
      </c>
      <c r="L349" s="359">
        <f t="shared" si="64"/>
        <v>0</v>
      </c>
      <c r="M349" s="139">
        <f t="shared" si="65"/>
        <v>0</v>
      </c>
      <c r="N349" s="137">
        <f t="shared" si="66"/>
        <v>0</v>
      </c>
      <c r="O349" s="359">
        <f t="shared" si="67"/>
        <v>0</v>
      </c>
      <c r="P349" s="140">
        <f t="shared" si="68"/>
        <v>0</v>
      </c>
      <c r="Q349" s="140">
        <v>0</v>
      </c>
      <c r="R349" s="137">
        <f t="shared" si="69"/>
        <v>0</v>
      </c>
      <c r="S349" s="141">
        <f t="shared" si="70"/>
        <v>0</v>
      </c>
      <c r="T349" s="137">
        <f t="shared" si="71"/>
        <v>0</v>
      </c>
      <c r="U349" s="137">
        <f>ROUND(VERİLER!$F$9*T349,3)</f>
        <v>0</v>
      </c>
      <c r="V349" s="336">
        <f t="shared" si="72"/>
        <v>0</v>
      </c>
      <c r="W349" s="335"/>
      <c r="X349" s="335"/>
      <c r="Y349" s="335"/>
    </row>
    <row r="350" spans="1:25" s="337" customFormat="1" ht="15" customHeight="1" x14ac:dyDescent="0.2">
      <c r="A350" s="299" t="str">
        <f>IF('İşçi Bilgileri'!A348="","",'İşçi Bilgileri'!A348)</f>
        <v/>
      </c>
      <c r="B350" s="300" t="str">
        <f>IF($A350="","",VLOOKUP($A350,'İşçi Bilgileri'!$A$2:$D$700,4,FALSE))</f>
        <v/>
      </c>
      <c r="C350" s="301" t="str">
        <f>CONCATENATE(IF($A350="","",VLOOKUP($A350,'İşçi Bilgileri'!$A$2:$D$700,2,FALSE))," ",IF($A350="","",VLOOKUP($A350,'İşçi Bilgileri'!$A$2:$D$700,3,FALSE)))</f>
        <v xml:space="preserve"> </v>
      </c>
      <c r="D350" s="137" t="str">
        <f>IF($A350="","",VERİLER!$C$5)</f>
        <v/>
      </c>
      <c r="E350" s="138" t="str">
        <f>IF($A350="","",Puantaj!AJ355)</f>
        <v/>
      </c>
      <c r="F350" s="137">
        <f t="shared" si="61"/>
        <v>0</v>
      </c>
      <c r="G350" s="137"/>
      <c r="H350" s="137">
        <f t="shared" si="62"/>
        <v>0</v>
      </c>
      <c r="I350" s="137">
        <f t="shared" si="63"/>
        <v>0</v>
      </c>
      <c r="J350" s="137">
        <f>IF(F350&gt;VERİLER!$C$7,'İşçi Bilgileri'!M348+(F350-VERİLER!$C$7),0)</f>
        <v>0</v>
      </c>
      <c r="K350" s="137">
        <f>IF(VERİLER!$C$11&gt;0,ROUND(J350*0.15,2),0)</f>
        <v>0</v>
      </c>
      <c r="L350" s="359">
        <f t="shared" si="64"/>
        <v>0</v>
      </c>
      <c r="M350" s="139">
        <f t="shared" si="65"/>
        <v>0</v>
      </c>
      <c r="N350" s="137">
        <f t="shared" si="66"/>
        <v>0</v>
      </c>
      <c r="O350" s="359">
        <f t="shared" si="67"/>
        <v>0</v>
      </c>
      <c r="P350" s="140">
        <f t="shared" si="68"/>
        <v>0</v>
      </c>
      <c r="Q350" s="140">
        <v>0</v>
      </c>
      <c r="R350" s="137">
        <f t="shared" si="69"/>
        <v>0</v>
      </c>
      <c r="S350" s="141">
        <f t="shared" si="70"/>
        <v>0</v>
      </c>
      <c r="T350" s="137">
        <f t="shared" si="71"/>
        <v>0</v>
      </c>
      <c r="U350" s="137">
        <f>ROUND(VERİLER!$F$9*T350,3)</f>
        <v>0</v>
      </c>
      <c r="V350" s="336">
        <f t="shared" si="72"/>
        <v>0</v>
      </c>
      <c r="W350" s="335"/>
      <c r="X350" s="335"/>
      <c r="Y350" s="335"/>
    </row>
    <row r="351" spans="1:25" s="337" customFormat="1" ht="15" customHeight="1" x14ac:dyDescent="0.2">
      <c r="A351" s="299" t="str">
        <f>IF('İşçi Bilgileri'!A349="","",'İşçi Bilgileri'!A349)</f>
        <v/>
      </c>
      <c r="B351" s="300" t="str">
        <f>IF($A351="","",VLOOKUP($A351,'İşçi Bilgileri'!$A$2:$D$700,4,FALSE))</f>
        <v/>
      </c>
      <c r="C351" s="301" t="str">
        <f>CONCATENATE(IF($A351="","",VLOOKUP($A351,'İşçi Bilgileri'!$A$2:$D$700,2,FALSE))," ",IF($A351="","",VLOOKUP($A351,'İşçi Bilgileri'!$A$2:$D$700,3,FALSE)))</f>
        <v xml:space="preserve"> </v>
      </c>
      <c r="D351" s="137" t="str">
        <f>IF($A351="","",VERİLER!$C$5)</f>
        <v/>
      </c>
      <c r="E351" s="138" t="str">
        <f>IF($A351="","",Puantaj!AJ356)</f>
        <v/>
      </c>
      <c r="F351" s="137">
        <f t="shared" si="61"/>
        <v>0</v>
      </c>
      <c r="G351" s="137"/>
      <c r="H351" s="137">
        <f t="shared" si="62"/>
        <v>0</v>
      </c>
      <c r="I351" s="137">
        <f t="shared" si="63"/>
        <v>0</v>
      </c>
      <c r="J351" s="137">
        <f>IF(F351&gt;VERİLER!$C$7,'İşçi Bilgileri'!M349+(F351-VERİLER!$C$7),0)</f>
        <v>0</v>
      </c>
      <c r="K351" s="137">
        <f>IF(VERİLER!$C$11&gt;0,ROUND(J351*0.15,2),0)</f>
        <v>0</v>
      </c>
      <c r="L351" s="359">
        <f t="shared" si="64"/>
        <v>0</v>
      </c>
      <c r="M351" s="139">
        <f t="shared" si="65"/>
        <v>0</v>
      </c>
      <c r="N351" s="137">
        <f t="shared" si="66"/>
        <v>0</v>
      </c>
      <c r="O351" s="359">
        <f t="shared" si="67"/>
        <v>0</v>
      </c>
      <c r="P351" s="140">
        <f t="shared" si="68"/>
        <v>0</v>
      </c>
      <c r="Q351" s="140">
        <v>0</v>
      </c>
      <c r="R351" s="137">
        <f t="shared" si="69"/>
        <v>0</v>
      </c>
      <c r="S351" s="141">
        <f t="shared" si="70"/>
        <v>0</v>
      </c>
      <c r="T351" s="137">
        <f t="shared" si="71"/>
        <v>0</v>
      </c>
      <c r="U351" s="137">
        <f>ROUND(VERİLER!$F$9*T351,3)</f>
        <v>0</v>
      </c>
      <c r="V351" s="336">
        <f t="shared" si="72"/>
        <v>0</v>
      </c>
      <c r="W351" s="335"/>
      <c r="X351" s="335"/>
      <c r="Y351" s="335"/>
    </row>
    <row r="352" spans="1:25" s="337" customFormat="1" ht="15" customHeight="1" x14ac:dyDescent="0.2">
      <c r="A352" s="299" t="str">
        <f>IF('İşçi Bilgileri'!A350="","",'İşçi Bilgileri'!A350)</f>
        <v/>
      </c>
      <c r="B352" s="300" t="str">
        <f>IF($A352="","",VLOOKUP($A352,'İşçi Bilgileri'!$A$2:$D$700,4,FALSE))</f>
        <v/>
      </c>
      <c r="C352" s="301" t="str">
        <f>CONCATENATE(IF($A352="","",VLOOKUP($A352,'İşçi Bilgileri'!$A$2:$D$700,2,FALSE))," ",IF($A352="","",VLOOKUP($A352,'İşçi Bilgileri'!$A$2:$D$700,3,FALSE)))</f>
        <v xml:space="preserve"> </v>
      </c>
      <c r="D352" s="137" t="str">
        <f>IF($A352="","",VERİLER!$C$5)</f>
        <v/>
      </c>
      <c r="E352" s="138" t="str">
        <f>IF($A352="","",Puantaj!AJ357)</f>
        <v/>
      </c>
      <c r="F352" s="137">
        <f t="shared" si="61"/>
        <v>0</v>
      </c>
      <c r="G352" s="137"/>
      <c r="H352" s="137">
        <f t="shared" si="62"/>
        <v>0</v>
      </c>
      <c r="I352" s="137">
        <f t="shared" si="63"/>
        <v>0</v>
      </c>
      <c r="J352" s="137">
        <f>IF(F352&gt;VERİLER!$C$7,'İşçi Bilgileri'!M350+(F352-VERİLER!$C$7),0)</f>
        <v>0</v>
      </c>
      <c r="K352" s="137">
        <f>IF(VERİLER!$C$11&gt;0,ROUND(J352*0.15,2),0)</f>
        <v>0</v>
      </c>
      <c r="L352" s="359">
        <f t="shared" si="64"/>
        <v>0</v>
      </c>
      <c r="M352" s="139">
        <f t="shared" si="65"/>
        <v>0</v>
      </c>
      <c r="N352" s="137">
        <f t="shared" si="66"/>
        <v>0</v>
      </c>
      <c r="O352" s="359">
        <f t="shared" si="67"/>
        <v>0</v>
      </c>
      <c r="P352" s="140">
        <f t="shared" si="68"/>
        <v>0</v>
      </c>
      <c r="Q352" s="140">
        <v>0</v>
      </c>
      <c r="R352" s="137">
        <f t="shared" si="69"/>
        <v>0</v>
      </c>
      <c r="S352" s="141">
        <f t="shared" si="70"/>
        <v>0</v>
      </c>
      <c r="T352" s="137">
        <f t="shared" si="71"/>
        <v>0</v>
      </c>
      <c r="U352" s="137">
        <f>ROUND(VERİLER!$F$9*T352,3)</f>
        <v>0</v>
      </c>
      <c r="V352" s="336">
        <f t="shared" si="72"/>
        <v>0</v>
      </c>
      <c r="W352" s="335"/>
      <c r="X352" s="335"/>
      <c r="Y352" s="335"/>
    </row>
    <row r="353" spans="1:25" s="337" customFormat="1" ht="15" customHeight="1" x14ac:dyDescent="0.2">
      <c r="A353" s="299" t="str">
        <f>IF('İşçi Bilgileri'!A351="","",'İşçi Bilgileri'!A351)</f>
        <v/>
      </c>
      <c r="B353" s="300" t="str">
        <f>IF($A353="","",VLOOKUP($A353,'İşçi Bilgileri'!$A$2:$D$700,4,FALSE))</f>
        <v/>
      </c>
      <c r="C353" s="301" t="str">
        <f>CONCATENATE(IF($A353="","",VLOOKUP($A353,'İşçi Bilgileri'!$A$2:$D$700,2,FALSE))," ",IF($A353="","",VLOOKUP($A353,'İşçi Bilgileri'!$A$2:$D$700,3,FALSE)))</f>
        <v xml:space="preserve"> </v>
      </c>
      <c r="D353" s="137" t="str">
        <f>IF($A353="","",VERİLER!$C$5)</f>
        <v/>
      </c>
      <c r="E353" s="138" t="str">
        <f>IF($A353="","",Puantaj!AJ358)</f>
        <v/>
      </c>
      <c r="F353" s="137">
        <f t="shared" si="61"/>
        <v>0</v>
      </c>
      <c r="G353" s="137"/>
      <c r="H353" s="137">
        <f t="shared" si="62"/>
        <v>0</v>
      </c>
      <c r="I353" s="137">
        <f t="shared" si="63"/>
        <v>0</v>
      </c>
      <c r="J353" s="137">
        <f>IF(F353&gt;VERİLER!$C$7,'İşçi Bilgileri'!M351+(F353-VERİLER!$C$7),0)</f>
        <v>0</v>
      </c>
      <c r="K353" s="137">
        <f>IF(VERİLER!$C$11&gt;0,ROUND(J353*0.15,2),0)</f>
        <v>0</v>
      </c>
      <c r="L353" s="359">
        <f t="shared" si="64"/>
        <v>0</v>
      </c>
      <c r="M353" s="139">
        <f t="shared" si="65"/>
        <v>0</v>
      </c>
      <c r="N353" s="137">
        <f t="shared" si="66"/>
        <v>0</v>
      </c>
      <c r="O353" s="359">
        <f t="shared" si="67"/>
        <v>0</v>
      </c>
      <c r="P353" s="140">
        <f t="shared" si="68"/>
        <v>0</v>
      </c>
      <c r="Q353" s="140">
        <v>0</v>
      </c>
      <c r="R353" s="137">
        <f t="shared" si="69"/>
        <v>0</v>
      </c>
      <c r="S353" s="141">
        <f t="shared" si="70"/>
        <v>0</v>
      </c>
      <c r="T353" s="137">
        <f t="shared" si="71"/>
        <v>0</v>
      </c>
      <c r="U353" s="137">
        <f>ROUND(VERİLER!$F$9*T353,3)</f>
        <v>0</v>
      </c>
      <c r="V353" s="336">
        <f t="shared" si="72"/>
        <v>0</v>
      </c>
      <c r="W353" s="335"/>
      <c r="X353" s="335"/>
      <c r="Y353" s="335"/>
    </row>
    <row r="354" spans="1:25" s="337" customFormat="1" ht="15" customHeight="1" x14ac:dyDescent="0.2">
      <c r="A354" s="299" t="str">
        <f>IF('İşçi Bilgileri'!A352="","",'İşçi Bilgileri'!A352)</f>
        <v/>
      </c>
      <c r="B354" s="300" t="str">
        <f>IF($A354="","",VLOOKUP($A354,'İşçi Bilgileri'!$A$2:$D$700,4,FALSE))</f>
        <v/>
      </c>
      <c r="C354" s="301" t="str">
        <f>CONCATENATE(IF($A354="","",VLOOKUP($A354,'İşçi Bilgileri'!$A$2:$D$700,2,FALSE))," ",IF($A354="","",VLOOKUP($A354,'İşçi Bilgileri'!$A$2:$D$700,3,FALSE)))</f>
        <v xml:space="preserve"> </v>
      </c>
      <c r="D354" s="137" t="str">
        <f>IF($A354="","",VERİLER!$C$5)</f>
        <v/>
      </c>
      <c r="E354" s="138" t="str">
        <f>IF($A354="","",Puantaj!AJ359)</f>
        <v/>
      </c>
      <c r="F354" s="137">
        <f t="shared" si="61"/>
        <v>0</v>
      </c>
      <c r="G354" s="137"/>
      <c r="H354" s="137">
        <f t="shared" si="62"/>
        <v>0</v>
      </c>
      <c r="I354" s="137">
        <f t="shared" si="63"/>
        <v>0</v>
      </c>
      <c r="J354" s="137">
        <f>IF(F354&gt;VERİLER!$C$7,'İşçi Bilgileri'!M352+(F354-VERİLER!$C$7),0)</f>
        <v>0</v>
      </c>
      <c r="K354" s="137">
        <f>IF(VERİLER!$C$11&gt;0,ROUND(J354*0.15,2),0)</f>
        <v>0</v>
      </c>
      <c r="L354" s="359">
        <f t="shared" si="64"/>
        <v>0</v>
      </c>
      <c r="M354" s="139">
        <f t="shared" si="65"/>
        <v>0</v>
      </c>
      <c r="N354" s="137">
        <f t="shared" si="66"/>
        <v>0</v>
      </c>
      <c r="O354" s="359">
        <f t="shared" si="67"/>
        <v>0</v>
      </c>
      <c r="P354" s="140">
        <f t="shared" si="68"/>
        <v>0</v>
      </c>
      <c r="Q354" s="140">
        <v>0</v>
      </c>
      <c r="R354" s="137">
        <f t="shared" si="69"/>
        <v>0</v>
      </c>
      <c r="S354" s="141">
        <f t="shared" si="70"/>
        <v>0</v>
      </c>
      <c r="T354" s="137">
        <f t="shared" si="71"/>
        <v>0</v>
      </c>
      <c r="U354" s="137">
        <f>ROUND(VERİLER!$F$9*T354,3)</f>
        <v>0</v>
      </c>
      <c r="V354" s="336">
        <f t="shared" si="72"/>
        <v>0</v>
      </c>
      <c r="W354" s="335"/>
      <c r="X354" s="335"/>
      <c r="Y354" s="335"/>
    </row>
    <row r="355" spans="1:25" s="337" customFormat="1" ht="15" customHeight="1" x14ac:dyDescent="0.2">
      <c r="A355" s="299" t="str">
        <f>IF('İşçi Bilgileri'!A353="","",'İşçi Bilgileri'!A353)</f>
        <v/>
      </c>
      <c r="B355" s="300" t="str">
        <f>IF($A355="","",VLOOKUP($A355,'İşçi Bilgileri'!$A$2:$D$700,4,FALSE))</f>
        <v/>
      </c>
      <c r="C355" s="301" t="str">
        <f>CONCATENATE(IF($A355="","",VLOOKUP($A355,'İşçi Bilgileri'!$A$2:$D$700,2,FALSE))," ",IF($A355="","",VLOOKUP($A355,'İşçi Bilgileri'!$A$2:$D$700,3,FALSE)))</f>
        <v xml:space="preserve"> </v>
      </c>
      <c r="D355" s="137" t="str">
        <f>IF($A355="","",VERİLER!$C$5)</f>
        <v/>
      </c>
      <c r="E355" s="138" t="str">
        <f>IF($A355="","",Puantaj!AJ360)</f>
        <v/>
      </c>
      <c r="F355" s="137">
        <f t="shared" si="61"/>
        <v>0</v>
      </c>
      <c r="G355" s="137"/>
      <c r="H355" s="137">
        <f t="shared" si="62"/>
        <v>0</v>
      </c>
      <c r="I355" s="137">
        <f t="shared" si="63"/>
        <v>0</v>
      </c>
      <c r="J355" s="137">
        <f>IF(F355&gt;VERİLER!$C$7,'İşçi Bilgileri'!M353+(F355-VERİLER!$C$7),0)</f>
        <v>0</v>
      </c>
      <c r="K355" s="137">
        <f>IF(VERİLER!$C$11&gt;0,ROUND(J355*0.15,2),0)</f>
        <v>0</v>
      </c>
      <c r="L355" s="359">
        <f t="shared" si="64"/>
        <v>0</v>
      </c>
      <c r="M355" s="139">
        <f t="shared" si="65"/>
        <v>0</v>
      </c>
      <c r="N355" s="137">
        <f t="shared" si="66"/>
        <v>0</v>
      </c>
      <c r="O355" s="359">
        <f t="shared" si="67"/>
        <v>0</v>
      </c>
      <c r="P355" s="140">
        <f t="shared" si="68"/>
        <v>0</v>
      </c>
      <c r="Q355" s="140">
        <v>0</v>
      </c>
      <c r="R355" s="137">
        <f t="shared" si="69"/>
        <v>0</v>
      </c>
      <c r="S355" s="141">
        <f t="shared" si="70"/>
        <v>0</v>
      </c>
      <c r="T355" s="137">
        <f t="shared" si="71"/>
        <v>0</v>
      </c>
      <c r="U355" s="137">
        <f>ROUND(VERİLER!$F$9*T355,3)</f>
        <v>0</v>
      </c>
      <c r="V355" s="336">
        <f t="shared" si="72"/>
        <v>0</v>
      </c>
      <c r="W355" s="335"/>
      <c r="X355" s="335"/>
      <c r="Y355" s="335"/>
    </row>
    <row r="356" spans="1:25" s="337" customFormat="1" ht="15" customHeight="1" x14ac:dyDescent="0.2">
      <c r="A356" s="299" t="str">
        <f>IF('İşçi Bilgileri'!A354="","",'İşçi Bilgileri'!A354)</f>
        <v/>
      </c>
      <c r="B356" s="300" t="str">
        <f>IF($A356="","",VLOOKUP($A356,'İşçi Bilgileri'!$A$2:$D$700,4,FALSE))</f>
        <v/>
      </c>
      <c r="C356" s="301" t="str">
        <f>CONCATENATE(IF($A356="","",VLOOKUP($A356,'İşçi Bilgileri'!$A$2:$D$700,2,FALSE))," ",IF($A356="","",VLOOKUP($A356,'İşçi Bilgileri'!$A$2:$D$700,3,FALSE)))</f>
        <v xml:space="preserve"> </v>
      </c>
      <c r="D356" s="137" t="str">
        <f>IF($A356="","",VERİLER!$C$5)</f>
        <v/>
      </c>
      <c r="E356" s="138" t="str">
        <f>IF($A356="","",Puantaj!AJ361)</f>
        <v/>
      </c>
      <c r="F356" s="137">
        <f t="shared" si="61"/>
        <v>0</v>
      </c>
      <c r="G356" s="137"/>
      <c r="H356" s="137">
        <f t="shared" si="62"/>
        <v>0</v>
      </c>
      <c r="I356" s="137">
        <f t="shared" si="63"/>
        <v>0</v>
      </c>
      <c r="J356" s="137">
        <f>IF(F356&gt;VERİLER!$C$7,'İşçi Bilgileri'!M354+(F356-VERİLER!$C$7),0)</f>
        <v>0</v>
      </c>
      <c r="K356" s="137">
        <f>IF(VERİLER!$C$11&gt;0,ROUND(J356*0.15,2),0)</f>
        <v>0</v>
      </c>
      <c r="L356" s="359">
        <f t="shared" si="64"/>
        <v>0</v>
      </c>
      <c r="M356" s="139">
        <f t="shared" si="65"/>
        <v>0</v>
      </c>
      <c r="N356" s="137">
        <f t="shared" si="66"/>
        <v>0</v>
      </c>
      <c r="O356" s="359">
        <f t="shared" si="67"/>
        <v>0</v>
      </c>
      <c r="P356" s="140">
        <f t="shared" si="68"/>
        <v>0</v>
      </c>
      <c r="Q356" s="140">
        <v>0</v>
      </c>
      <c r="R356" s="137">
        <f t="shared" si="69"/>
        <v>0</v>
      </c>
      <c r="S356" s="141">
        <f t="shared" si="70"/>
        <v>0</v>
      </c>
      <c r="T356" s="137">
        <f t="shared" si="71"/>
        <v>0</v>
      </c>
      <c r="U356" s="137">
        <f>ROUND(VERİLER!$F$9*T356,3)</f>
        <v>0</v>
      </c>
      <c r="V356" s="336">
        <f t="shared" si="72"/>
        <v>0</v>
      </c>
      <c r="W356" s="335"/>
      <c r="X356" s="335"/>
      <c r="Y356" s="335"/>
    </row>
    <row r="357" spans="1:25" s="337" customFormat="1" ht="15" customHeight="1" x14ac:dyDescent="0.2">
      <c r="A357" s="299" t="str">
        <f>IF('İşçi Bilgileri'!A355="","",'İşçi Bilgileri'!A355)</f>
        <v/>
      </c>
      <c r="B357" s="300" t="str">
        <f>IF($A357="","",VLOOKUP($A357,'İşçi Bilgileri'!$A$2:$D$700,4,FALSE))</f>
        <v/>
      </c>
      <c r="C357" s="301" t="str">
        <f>CONCATENATE(IF($A357="","",VLOOKUP($A357,'İşçi Bilgileri'!$A$2:$D$700,2,FALSE))," ",IF($A357="","",VLOOKUP($A357,'İşçi Bilgileri'!$A$2:$D$700,3,FALSE)))</f>
        <v xml:space="preserve"> </v>
      </c>
      <c r="D357" s="137" t="str">
        <f>IF($A357="","",VERİLER!$C$5)</f>
        <v/>
      </c>
      <c r="E357" s="138" t="str">
        <f>IF($A357="","",Puantaj!AJ362)</f>
        <v/>
      </c>
      <c r="F357" s="137">
        <f t="shared" si="61"/>
        <v>0</v>
      </c>
      <c r="G357" s="137"/>
      <c r="H357" s="137">
        <f t="shared" si="62"/>
        <v>0</v>
      </c>
      <c r="I357" s="137">
        <f t="shared" si="63"/>
        <v>0</v>
      </c>
      <c r="J357" s="137">
        <f>IF(F357&gt;VERİLER!$C$7,'İşçi Bilgileri'!M355+(F357-VERİLER!$C$7),0)</f>
        <v>0</v>
      </c>
      <c r="K357" s="137">
        <f>IF(VERİLER!$C$11&gt;0,ROUND(J357*0.15,2),0)</f>
        <v>0</v>
      </c>
      <c r="L357" s="359">
        <f t="shared" si="64"/>
        <v>0</v>
      </c>
      <c r="M357" s="139">
        <f t="shared" si="65"/>
        <v>0</v>
      </c>
      <c r="N357" s="137">
        <f t="shared" si="66"/>
        <v>0</v>
      </c>
      <c r="O357" s="359">
        <f t="shared" si="67"/>
        <v>0</v>
      </c>
      <c r="P357" s="140">
        <f t="shared" si="68"/>
        <v>0</v>
      </c>
      <c r="Q357" s="140">
        <v>0</v>
      </c>
      <c r="R357" s="137">
        <f t="shared" si="69"/>
        <v>0</v>
      </c>
      <c r="S357" s="141">
        <f t="shared" si="70"/>
        <v>0</v>
      </c>
      <c r="T357" s="137">
        <f t="shared" si="71"/>
        <v>0</v>
      </c>
      <c r="U357" s="137">
        <f>ROUND(VERİLER!$F$9*T357,3)</f>
        <v>0</v>
      </c>
      <c r="V357" s="336">
        <f t="shared" si="72"/>
        <v>0</v>
      </c>
      <c r="W357" s="335"/>
      <c r="X357" s="335"/>
      <c r="Y357" s="335"/>
    </row>
    <row r="358" spans="1:25" s="337" customFormat="1" ht="15" customHeight="1" x14ac:dyDescent="0.2">
      <c r="A358" s="299" t="str">
        <f>IF('İşçi Bilgileri'!A356="","",'İşçi Bilgileri'!A356)</f>
        <v/>
      </c>
      <c r="B358" s="300" t="str">
        <f>IF($A358="","",VLOOKUP($A358,'İşçi Bilgileri'!$A$2:$D$700,4,FALSE))</f>
        <v/>
      </c>
      <c r="C358" s="301" t="str">
        <f>CONCATENATE(IF($A358="","",VLOOKUP($A358,'İşçi Bilgileri'!$A$2:$D$700,2,FALSE))," ",IF($A358="","",VLOOKUP($A358,'İşçi Bilgileri'!$A$2:$D$700,3,FALSE)))</f>
        <v xml:space="preserve"> </v>
      </c>
      <c r="D358" s="137" t="str">
        <f>IF($A358="","",VERİLER!$C$5)</f>
        <v/>
      </c>
      <c r="E358" s="138" t="str">
        <f>IF($A358="","",Puantaj!AJ363)</f>
        <v/>
      </c>
      <c r="F358" s="137">
        <f t="shared" si="61"/>
        <v>0</v>
      </c>
      <c r="G358" s="137"/>
      <c r="H358" s="137">
        <f t="shared" si="62"/>
        <v>0</v>
      </c>
      <c r="I358" s="137">
        <f t="shared" si="63"/>
        <v>0</v>
      </c>
      <c r="J358" s="137">
        <f>IF(F358&gt;VERİLER!$C$7,'İşçi Bilgileri'!M356+(F358-VERİLER!$C$7),0)</f>
        <v>0</v>
      </c>
      <c r="K358" s="137">
        <f>IF(VERİLER!$C$11&gt;0,ROUND(J358*0.15,2),0)</f>
        <v>0</v>
      </c>
      <c r="L358" s="359">
        <f t="shared" si="64"/>
        <v>0</v>
      </c>
      <c r="M358" s="139">
        <f t="shared" si="65"/>
        <v>0</v>
      </c>
      <c r="N358" s="137">
        <f t="shared" si="66"/>
        <v>0</v>
      </c>
      <c r="O358" s="359">
        <f t="shared" si="67"/>
        <v>0</v>
      </c>
      <c r="P358" s="140">
        <f t="shared" si="68"/>
        <v>0</v>
      </c>
      <c r="Q358" s="140">
        <v>0</v>
      </c>
      <c r="R358" s="137">
        <f t="shared" si="69"/>
        <v>0</v>
      </c>
      <c r="S358" s="141">
        <f t="shared" si="70"/>
        <v>0</v>
      </c>
      <c r="T358" s="137">
        <f t="shared" si="71"/>
        <v>0</v>
      </c>
      <c r="U358" s="137">
        <f>ROUND(VERİLER!$F$9*T358,3)</f>
        <v>0</v>
      </c>
      <c r="V358" s="336">
        <f t="shared" si="72"/>
        <v>0</v>
      </c>
      <c r="W358" s="335"/>
      <c r="X358" s="335"/>
      <c r="Y358" s="335"/>
    </row>
    <row r="359" spans="1:25" s="337" customFormat="1" ht="15" customHeight="1" x14ac:dyDescent="0.2">
      <c r="A359" s="299" t="str">
        <f>IF('İşçi Bilgileri'!A357="","",'İşçi Bilgileri'!A357)</f>
        <v/>
      </c>
      <c r="B359" s="300" t="str">
        <f>IF($A359="","",VLOOKUP($A359,'İşçi Bilgileri'!$A$2:$D$700,4,FALSE))</f>
        <v/>
      </c>
      <c r="C359" s="301" t="str">
        <f>CONCATENATE(IF($A359="","",VLOOKUP($A359,'İşçi Bilgileri'!$A$2:$D$700,2,FALSE))," ",IF($A359="","",VLOOKUP($A359,'İşçi Bilgileri'!$A$2:$D$700,3,FALSE)))</f>
        <v xml:space="preserve"> </v>
      </c>
      <c r="D359" s="137" t="str">
        <f>IF($A359="","",VERİLER!$C$5)</f>
        <v/>
      </c>
      <c r="E359" s="138" t="str">
        <f>IF($A359="","",Puantaj!AJ364)</f>
        <v/>
      </c>
      <c r="F359" s="137">
        <f t="shared" si="61"/>
        <v>0</v>
      </c>
      <c r="G359" s="137"/>
      <c r="H359" s="137">
        <f t="shared" si="62"/>
        <v>0</v>
      </c>
      <c r="I359" s="137">
        <f t="shared" si="63"/>
        <v>0</v>
      </c>
      <c r="J359" s="137">
        <f>IF(F359&gt;VERİLER!$C$7,'İşçi Bilgileri'!M357+(F359-VERİLER!$C$7),0)</f>
        <v>0</v>
      </c>
      <c r="K359" s="137">
        <f>IF(VERİLER!$C$11&gt;0,ROUND(J359*0.15,2),0)</f>
        <v>0</v>
      </c>
      <c r="L359" s="359">
        <f t="shared" si="64"/>
        <v>0</v>
      </c>
      <c r="M359" s="139">
        <f t="shared" si="65"/>
        <v>0</v>
      </c>
      <c r="N359" s="137">
        <f t="shared" si="66"/>
        <v>0</v>
      </c>
      <c r="O359" s="359">
        <f t="shared" si="67"/>
        <v>0</v>
      </c>
      <c r="P359" s="140">
        <f t="shared" si="68"/>
        <v>0</v>
      </c>
      <c r="Q359" s="140">
        <v>0</v>
      </c>
      <c r="R359" s="137">
        <f t="shared" si="69"/>
        <v>0</v>
      </c>
      <c r="S359" s="141">
        <f t="shared" si="70"/>
        <v>0</v>
      </c>
      <c r="T359" s="137">
        <f t="shared" si="71"/>
        <v>0</v>
      </c>
      <c r="U359" s="137">
        <f>ROUND(VERİLER!$F$9*T359,3)</f>
        <v>0</v>
      </c>
      <c r="V359" s="336">
        <f t="shared" si="72"/>
        <v>0</v>
      </c>
      <c r="W359" s="335"/>
      <c r="X359" s="335"/>
      <c r="Y359" s="335"/>
    </row>
    <row r="360" spans="1:25" s="337" customFormat="1" ht="15" customHeight="1" x14ac:dyDescent="0.2">
      <c r="A360" s="299" t="str">
        <f>IF('İşçi Bilgileri'!A358="","",'İşçi Bilgileri'!A358)</f>
        <v/>
      </c>
      <c r="B360" s="300" t="str">
        <f>IF($A360="","",VLOOKUP($A360,'İşçi Bilgileri'!$A$2:$D$700,4,FALSE))</f>
        <v/>
      </c>
      <c r="C360" s="301" t="str">
        <f>CONCATENATE(IF($A360="","",VLOOKUP($A360,'İşçi Bilgileri'!$A$2:$D$700,2,FALSE))," ",IF($A360="","",VLOOKUP($A360,'İşçi Bilgileri'!$A$2:$D$700,3,FALSE)))</f>
        <v xml:space="preserve"> </v>
      </c>
      <c r="D360" s="137" t="str">
        <f>IF($A360="","",VERİLER!$C$5)</f>
        <v/>
      </c>
      <c r="E360" s="138" t="str">
        <f>IF($A360="","",Puantaj!AJ365)</f>
        <v/>
      </c>
      <c r="F360" s="137">
        <f t="shared" si="61"/>
        <v>0</v>
      </c>
      <c r="G360" s="137"/>
      <c r="H360" s="137">
        <f t="shared" si="62"/>
        <v>0</v>
      </c>
      <c r="I360" s="137">
        <f t="shared" si="63"/>
        <v>0</v>
      </c>
      <c r="J360" s="137">
        <f>IF(F360&gt;VERİLER!$C$7,'İşçi Bilgileri'!M358+(F360-VERİLER!$C$7),0)</f>
        <v>0</v>
      </c>
      <c r="K360" s="137">
        <f>IF(VERİLER!$C$11&gt;0,ROUND(J360*0.15,2),0)</f>
        <v>0</v>
      </c>
      <c r="L360" s="359">
        <f t="shared" si="64"/>
        <v>0</v>
      </c>
      <c r="M360" s="139">
        <f t="shared" si="65"/>
        <v>0</v>
      </c>
      <c r="N360" s="137">
        <f t="shared" si="66"/>
        <v>0</v>
      </c>
      <c r="O360" s="359">
        <f t="shared" si="67"/>
        <v>0</v>
      </c>
      <c r="P360" s="140">
        <f t="shared" si="68"/>
        <v>0</v>
      </c>
      <c r="Q360" s="140">
        <v>0</v>
      </c>
      <c r="R360" s="137">
        <f t="shared" si="69"/>
        <v>0</v>
      </c>
      <c r="S360" s="141">
        <f t="shared" si="70"/>
        <v>0</v>
      </c>
      <c r="T360" s="137">
        <f t="shared" si="71"/>
        <v>0</v>
      </c>
      <c r="U360" s="137">
        <f>ROUND(VERİLER!$F$9*T360,3)</f>
        <v>0</v>
      </c>
      <c r="V360" s="336">
        <f t="shared" si="72"/>
        <v>0</v>
      </c>
      <c r="W360" s="335"/>
      <c r="X360" s="335"/>
      <c r="Y360" s="335"/>
    </row>
    <row r="361" spans="1:25" s="337" customFormat="1" ht="15" customHeight="1" x14ac:dyDescent="0.2">
      <c r="A361" s="299" t="str">
        <f>IF('İşçi Bilgileri'!A359="","",'İşçi Bilgileri'!A359)</f>
        <v/>
      </c>
      <c r="B361" s="300" t="str">
        <f>IF($A361="","",VLOOKUP($A361,'İşçi Bilgileri'!$A$2:$D$700,4,FALSE))</f>
        <v/>
      </c>
      <c r="C361" s="301" t="str">
        <f>CONCATENATE(IF($A361="","",VLOOKUP($A361,'İşçi Bilgileri'!$A$2:$D$700,2,FALSE))," ",IF($A361="","",VLOOKUP($A361,'İşçi Bilgileri'!$A$2:$D$700,3,FALSE)))</f>
        <v xml:space="preserve"> </v>
      </c>
      <c r="D361" s="137" t="str">
        <f>IF($A361="","",VERİLER!$C$5)</f>
        <v/>
      </c>
      <c r="E361" s="138" t="str">
        <f>IF($A361="","",Puantaj!AJ366)</f>
        <v/>
      </c>
      <c r="F361" s="137">
        <f t="shared" si="61"/>
        <v>0</v>
      </c>
      <c r="G361" s="137"/>
      <c r="H361" s="137">
        <f t="shared" si="62"/>
        <v>0</v>
      </c>
      <c r="I361" s="137">
        <f t="shared" si="63"/>
        <v>0</v>
      </c>
      <c r="J361" s="137">
        <f>IF(F361&gt;VERİLER!$C$7,'İşçi Bilgileri'!M359+(F361-VERİLER!$C$7),0)</f>
        <v>0</v>
      </c>
      <c r="K361" s="137">
        <f>IF(VERİLER!$C$11&gt;0,ROUND(J361*0.15,2),0)</f>
        <v>0</v>
      </c>
      <c r="L361" s="359">
        <f t="shared" si="64"/>
        <v>0</v>
      </c>
      <c r="M361" s="139">
        <f t="shared" si="65"/>
        <v>0</v>
      </c>
      <c r="N361" s="137">
        <f t="shared" si="66"/>
        <v>0</v>
      </c>
      <c r="O361" s="359">
        <f t="shared" si="67"/>
        <v>0</v>
      </c>
      <c r="P361" s="140">
        <f t="shared" si="68"/>
        <v>0</v>
      </c>
      <c r="Q361" s="140">
        <v>0</v>
      </c>
      <c r="R361" s="137">
        <f t="shared" si="69"/>
        <v>0</v>
      </c>
      <c r="S361" s="141">
        <f t="shared" si="70"/>
        <v>0</v>
      </c>
      <c r="T361" s="137">
        <f t="shared" si="71"/>
        <v>0</v>
      </c>
      <c r="U361" s="137">
        <f>ROUND(VERİLER!$F$9*T361,3)</f>
        <v>0</v>
      </c>
      <c r="V361" s="336">
        <f t="shared" si="72"/>
        <v>0</v>
      </c>
      <c r="W361" s="335"/>
      <c r="X361" s="335"/>
      <c r="Y361" s="335"/>
    </row>
    <row r="362" spans="1:25" s="337" customFormat="1" ht="15" customHeight="1" x14ac:dyDescent="0.2">
      <c r="A362" s="299" t="str">
        <f>IF('İşçi Bilgileri'!A360="","",'İşçi Bilgileri'!A360)</f>
        <v/>
      </c>
      <c r="B362" s="300" t="str">
        <f>IF($A362="","",VLOOKUP($A362,'İşçi Bilgileri'!$A$2:$D$700,4,FALSE))</f>
        <v/>
      </c>
      <c r="C362" s="301" t="str">
        <f>CONCATENATE(IF($A362="","",VLOOKUP($A362,'İşçi Bilgileri'!$A$2:$D$700,2,FALSE))," ",IF($A362="","",VLOOKUP($A362,'İşçi Bilgileri'!$A$2:$D$700,3,FALSE)))</f>
        <v xml:space="preserve"> </v>
      </c>
      <c r="D362" s="137" t="str">
        <f>IF($A362="","",VERİLER!$C$5)</f>
        <v/>
      </c>
      <c r="E362" s="138" t="str">
        <f>IF($A362="","",Puantaj!AJ367)</f>
        <v/>
      </c>
      <c r="F362" s="137">
        <f t="shared" si="61"/>
        <v>0</v>
      </c>
      <c r="G362" s="137"/>
      <c r="H362" s="137">
        <f t="shared" si="62"/>
        <v>0</v>
      </c>
      <c r="I362" s="137">
        <f t="shared" si="63"/>
        <v>0</v>
      </c>
      <c r="J362" s="137">
        <f>IF(F362&gt;VERİLER!$C$7,'İşçi Bilgileri'!M360+(F362-VERİLER!$C$7),0)</f>
        <v>0</v>
      </c>
      <c r="K362" s="137">
        <f>IF(VERİLER!$C$11&gt;0,ROUND(J362*0.15,2),0)</f>
        <v>0</v>
      </c>
      <c r="L362" s="359">
        <f t="shared" si="64"/>
        <v>0</v>
      </c>
      <c r="M362" s="139">
        <f t="shared" si="65"/>
        <v>0</v>
      </c>
      <c r="N362" s="137">
        <f t="shared" si="66"/>
        <v>0</v>
      </c>
      <c r="O362" s="359">
        <f t="shared" si="67"/>
        <v>0</v>
      </c>
      <c r="P362" s="140">
        <f t="shared" si="68"/>
        <v>0</v>
      </c>
      <c r="Q362" s="140">
        <v>0</v>
      </c>
      <c r="R362" s="137">
        <f t="shared" si="69"/>
        <v>0</v>
      </c>
      <c r="S362" s="141">
        <f t="shared" si="70"/>
        <v>0</v>
      </c>
      <c r="T362" s="137">
        <f t="shared" si="71"/>
        <v>0</v>
      </c>
      <c r="U362" s="137">
        <f>ROUND(VERİLER!$F$9*T362,3)</f>
        <v>0</v>
      </c>
      <c r="V362" s="336">
        <f t="shared" si="72"/>
        <v>0</v>
      </c>
      <c r="W362" s="335"/>
      <c r="X362" s="335"/>
      <c r="Y362" s="335"/>
    </row>
    <row r="363" spans="1:25" s="337" customFormat="1" ht="15" customHeight="1" x14ac:dyDescent="0.2">
      <c r="A363" s="299" t="str">
        <f>IF('İşçi Bilgileri'!A361="","",'İşçi Bilgileri'!A361)</f>
        <v/>
      </c>
      <c r="B363" s="300" t="str">
        <f>IF($A363="","",VLOOKUP($A363,'İşçi Bilgileri'!$A$2:$D$700,4,FALSE))</f>
        <v/>
      </c>
      <c r="C363" s="301" t="str">
        <f>CONCATENATE(IF($A363="","",VLOOKUP($A363,'İşçi Bilgileri'!$A$2:$D$700,2,FALSE))," ",IF($A363="","",VLOOKUP($A363,'İşçi Bilgileri'!$A$2:$D$700,3,FALSE)))</f>
        <v xml:space="preserve"> </v>
      </c>
      <c r="D363" s="137" t="str">
        <f>IF($A363="","",VERİLER!$C$5)</f>
        <v/>
      </c>
      <c r="E363" s="138" t="str">
        <f>IF($A363="","",Puantaj!AJ368)</f>
        <v/>
      </c>
      <c r="F363" s="137">
        <f t="shared" si="61"/>
        <v>0</v>
      </c>
      <c r="G363" s="137"/>
      <c r="H363" s="137">
        <f t="shared" si="62"/>
        <v>0</v>
      </c>
      <c r="I363" s="137">
        <f t="shared" si="63"/>
        <v>0</v>
      </c>
      <c r="J363" s="137">
        <f>IF(F363&gt;VERİLER!$C$7,'İşçi Bilgileri'!M361+(F363-VERİLER!$C$7),0)</f>
        <v>0</v>
      </c>
      <c r="K363" s="137">
        <f>IF(VERİLER!$C$11&gt;0,ROUND(J363*0.15,2),0)</f>
        <v>0</v>
      </c>
      <c r="L363" s="359">
        <f t="shared" si="64"/>
        <v>0</v>
      </c>
      <c r="M363" s="139">
        <f t="shared" si="65"/>
        <v>0</v>
      </c>
      <c r="N363" s="137">
        <f t="shared" si="66"/>
        <v>0</v>
      </c>
      <c r="O363" s="359">
        <f t="shared" si="67"/>
        <v>0</v>
      </c>
      <c r="P363" s="140">
        <f t="shared" si="68"/>
        <v>0</v>
      </c>
      <c r="Q363" s="140">
        <v>0</v>
      </c>
      <c r="R363" s="137">
        <f t="shared" si="69"/>
        <v>0</v>
      </c>
      <c r="S363" s="141">
        <f t="shared" si="70"/>
        <v>0</v>
      </c>
      <c r="T363" s="137">
        <f t="shared" si="71"/>
        <v>0</v>
      </c>
      <c r="U363" s="137">
        <f>ROUND(VERİLER!$F$9*T363,3)</f>
        <v>0</v>
      </c>
      <c r="V363" s="336">
        <f t="shared" si="72"/>
        <v>0</v>
      </c>
      <c r="W363" s="335"/>
      <c r="X363" s="335"/>
      <c r="Y363" s="335"/>
    </row>
    <row r="364" spans="1:25" s="337" customFormat="1" ht="15" customHeight="1" x14ac:dyDescent="0.2">
      <c r="A364" s="299" t="str">
        <f>IF('İşçi Bilgileri'!A362="","",'İşçi Bilgileri'!A362)</f>
        <v/>
      </c>
      <c r="B364" s="300" t="str">
        <f>IF($A364="","",VLOOKUP($A364,'İşçi Bilgileri'!$A$2:$D$700,4,FALSE))</f>
        <v/>
      </c>
      <c r="C364" s="301" t="str">
        <f>CONCATENATE(IF($A364="","",VLOOKUP($A364,'İşçi Bilgileri'!$A$2:$D$700,2,FALSE))," ",IF($A364="","",VLOOKUP($A364,'İşçi Bilgileri'!$A$2:$D$700,3,FALSE)))</f>
        <v xml:space="preserve"> </v>
      </c>
      <c r="D364" s="137" t="str">
        <f>IF($A364="","",VERİLER!$C$5)</f>
        <v/>
      </c>
      <c r="E364" s="138" t="str">
        <f>IF($A364="","",Puantaj!AJ369)</f>
        <v/>
      </c>
      <c r="F364" s="137">
        <f t="shared" si="61"/>
        <v>0</v>
      </c>
      <c r="G364" s="137"/>
      <c r="H364" s="137">
        <f t="shared" si="62"/>
        <v>0</v>
      </c>
      <c r="I364" s="137">
        <f t="shared" si="63"/>
        <v>0</v>
      </c>
      <c r="J364" s="137">
        <f>IF(F364&gt;VERİLER!$C$7,'İşçi Bilgileri'!M362+(F364-VERİLER!$C$7),0)</f>
        <v>0</v>
      </c>
      <c r="K364" s="137">
        <f>IF(VERİLER!$C$11&gt;0,ROUND(J364*0.15,2),0)</f>
        <v>0</v>
      </c>
      <c r="L364" s="359">
        <f t="shared" si="64"/>
        <v>0</v>
      </c>
      <c r="M364" s="139">
        <f t="shared" si="65"/>
        <v>0</v>
      </c>
      <c r="N364" s="137">
        <f t="shared" si="66"/>
        <v>0</v>
      </c>
      <c r="O364" s="359">
        <f t="shared" si="67"/>
        <v>0</v>
      </c>
      <c r="P364" s="140">
        <f t="shared" si="68"/>
        <v>0</v>
      </c>
      <c r="Q364" s="140">
        <v>0</v>
      </c>
      <c r="R364" s="137">
        <f t="shared" si="69"/>
        <v>0</v>
      </c>
      <c r="S364" s="141">
        <f t="shared" si="70"/>
        <v>0</v>
      </c>
      <c r="T364" s="137">
        <f t="shared" si="71"/>
        <v>0</v>
      </c>
      <c r="U364" s="137">
        <f>ROUND(VERİLER!$F$9*T364,3)</f>
        <v>0</v>
      </c>
      <c r="V364" s="336">
        <f t="shared" si="72"/>
        <v>0</v>
      </c>
      <c r="W364" s="335"/>
      <c r="X364" s="335"/>
      <c r="Y364" s="335"/>
    </row>
    <row r="365" spans="1:25" s="337" customFormat="1" ht="15" customHeight="1" x14ac:dyDescent="0.2">
      <c r="A365" s="299" t="str">
        <f>IF('İşçi Bilgileri'!A363="","",'İşçi Bilgileri'!A363)</f>
        <v/>
      </c>
      <c r="B365" s="300" t="str">
        <f>IF($A365="","",VLOOKUP($A365,'İşçi Bilgileri'!$A$2:$D$700,4,FALSE))</f>
        <v/>
      </c>
      <c r="C365" s="301" t="str">
        <f>CONCATENATE(IF($A365="","",VLOOKUP($A365,'İşçi Bilgileri'!$A$2:$D$700,2,FALSE))," ",IF($A365="","",VLOOKUP($A365,'İşçi Bilgileri'!$A$2:$D$700,3,FALSE)))</f>
        <v xml:space="preserve"> </v>
      </c>
      <c r="D365" s="137" t="str">
        <f>IF($A365="","",VERİLER!$C$5)</f>
        <v/>
      </c>
      <c r="E365" s="138" t="str">
        <f>IF($A365="","",Puantaj!AJ370)</f>
        <v/>
      </c>
      <c r="F365" s="137">
        <f t="shared" si="61"/>
        <v>0</v>
      </c>
      <c r="G365" s="137"/>
      <c r="H365" s="137">
        <f t="shared" si="62"/>
        <v>0</v>
      </c>
      <c r="I365" s="137">
        <f t="shared" si="63"/>
        <v>0</v>
      </c>
      <c r="J365" s="137">
        <f>IF(F365&gt;VERİLER!$C$7,'İşçi Bilgileri'!M363+(F365-VERİLER!$C$7),0)</f>
        <v>0</v>
      </c>
      <c r="K365" s="137">
        <f>IF(VERİLER!$C$11&gt;0,ROUND(J365*0.15,2),0)</f>
        <v>0</v>
      </c>
      <c r="L365" s="359">
        <f t="shared" si="64"/>
        <v>0</v>
      </c>
      <c r="M365" s="139">
        <f t="shared" si="65"/>
        <v>0</v>
      </c>
      <c r="N365" s="137">
        <f t="shared" si="66"/>
        <v>0</v>
      </c>
      <c r="O365" s="359">
        <f t="shared" si="67"/>
        <v>0</v>
      </c>
      <c r="P365" s="140">
        <f t="shared" si="68"/>
        <v>0</v>
      </c>
      <c r="Q365" s="140">
        <v>0</v>
      </c>
      <c r="R365" s="137">
        <f t="shared" si="69"/>
        <v>0</v>
      </c>
      <c r="S365" s="141">
        <f t="shared" si="70"/>
        <v>0</v>
      </c>
      <c r="T365" s="137">
        <f t="shared" si="71"/>
        <v>0</v>
      </c>
      <c r="U365" s="137">
        <f>ROUND(VERİLER!$F$9*T365,3)</f>
        <v>0</v>
      </c>
      <c r="V365" s="336">
        <f t="shared" si="72"/>
        <v>0</v>
      </c>
      <c r="W365" s="335"/>
      <c r="X365" s="335"/>
      <c r="Y365" s="335"/>
    </row>
    <row r="366" spans="1:25" s="337" customFormat="1" ht="15" customHeight="1" x14ac:dyDescent="0.2">
      <c r="A366" s="299" t="str">
        <f>IF('İşçi Bilgileri'!A364="","",'İşçi Bilgileri'!A364)</f>
        <v/>
      </c>
      <c r="B366" s="300" t="str">
        <f>IF($A366="","",VLOOKUP($A366,'İşçi Bilgileri'!$A$2:$D$700,4,FALSE))</f>
        <v/>
      </c>
      <c r="C366" s="301" t="str">
        <f>CONCATENATE(IF($A366="","",VLOOKUP($A366,'İşçi Bilgileri'!$A$2:$D$700,2,FALSE))," ",IF($A366="","",VLOOKUP($A366,'İşçi Bilgileri'!$A$2:$D$700,3,FALSE)))</f>
        <v xml:space="preserve"> </v>
      </c>
      <c r="D366" s="137" t="str">
        <f>IF($A366="","",VERİLER!$C$5)</f>
        <v/>
      </c>
      <c r="E366" s="138" t="str">
        <f>IF($A366="","",Puantaj!AJ371)</f>
        <v/>
      </c>
      <c r="F366" s="137">
        <f t="shared" si="61"/>
        <v>0</v>
      </c>
      <c r="G366" s="137"/>
      <c r="H366" s="137">
        <f t="shared" si="62"/>
        <v>0</v>
      </c>
      <c r="I366" s="137">
        <f t="shared" si="63"/>
        <v>0</v>
      </c>
      <c r="J366" s="137">
        <f>IF(F366&gt;VERİLER!$C$7,'İşçi Bilgileri'!M364+(F366-VERİLER!$C$7),0)</f>
        <v>0</v>
      </c>
      <c r="K366" s="137">
        <f>IF(VERİLER!$C$11&gt;0,ROUND(J366*0.15,2),0)</f>
        <v>0</v>
      </c>
      <c r="L366" s="359">
        <f t="shared" si="64"/>
        <v>0</v>
      </c>
      <c r="M366" s="139">
        <f t="shared" si="65"/>
        <v>0</v>
      </c>
      <c r="N366" s="137">
        <f t="shared" si="66"/>
        <v>0</v>
      </c>
      <c r="O366" s="359">
        <f t="shared" si="67"/>
        <v>0</v>
      </c>
      <c r="P366" s="140">
        <f t="shared" si="68"/>
        <v>0</v>
      </c>
      <c r="Q366" s="140">
        <v>0</v>
      </c>
      <c r="R366" s="137">
        <f t="shared" si="69"/>
        <v>0</v>
      </c>
      <c r="S366" s="141">
        <f t="shared" si="70"/>
        <v>0</v>
      </c>
      <c r="T366" s="137">
        <f t="shared" si="71"/>
        <v>0</v>
      </c>
      <c r="U366" s="137">
        <f>ROUND(VERİLER!$F$9*T366,3)</f>
        <v>0</v>
      </c>
      <c r="V366" s="336">
        <f t="shared" si="72"/>
        <v>0</v>
      </c>
      <c r="W366" s="335"/>
      <c r="X366" s="335"/>
      <c r="Y366" s="335"/>
    </row>
    <row r="367" spans="1:25" s="337" customFormat="1" ht="15" customHeight="1" x14ac:dyDescent="0.2">
      <c r="A367" s="299" t="str">
        <f>IF('İşçi Bilgileri'!A365="","",'İşçi Bilgileri'!A365)</f>
        <v/>
      </c>
      <c r="B367" s="300" t="str">
        <f>IF($A367="","",VLOOKUP($A367,'İşçi Bilgileri'!$A$2:$D$700,4,FALSE))</f>
        <v/>
      </c>
      <c r="C367" s="301" t="str">
        <f>CONCATENATE(IF($A367="","",VLOOKUP($A367,'İşçi Bilgileri'!$A$2:$D$700,2,FALSE))," ",IF($A367="","",VLOOKUP($A367,'İşçi Bilgileri'!$A$2:$D$700,3,FALSE)))</f>
        <v xml:space="preserve"> </v>
      </c>
      <c r="D367" s="137" t="str">
        <f>IF($A367="","",VERİLER!$C$5)</f>
        <v/>
      </c>
      <c r="E367" s="138" t="str">
        <f>IF($A367="","",Puantaj!AJ372)</f>
        <v/>
      </c>
      <c r="F367" s="137">
        <f t="shared" si="61"/>
        <v>0</v>
      </c>
      <c r="G367" s="137"/>
      <c r="H367" s="137">
        <f t="shared" si="62"/>
        <v>0</v>
      </c>
      <c r="I367" s="137">
        <f t="shared" si="63"/>
        <v>0</v>
      </c>
      <c r="J367" s="137">
        <f>IF(F367&gt;VERİLER!$C$7,'İşçi Bilgileri'!M365+(F367-VERİLER!$C$7),0)</f>
        <v>0</v>
      </c>
      <c r="K367" s="137">
        <f>IF(VERİLER!$C$11&gt;0,ROUND(J367*0.15,2),0)</f>
        <v>0</v>
      </c>
      <c r="L367" s="359">
        <f t="shared" si="64"/>
        <v>0</v>
      </c>
      <c r="M367" s="139">
        <f t="shared" si="65"/>
        <v>0</v>
      </c>
      <c r="N367" s="137">
        <f t="shared" si="66"/>
        <v>0</v>
      </c>
      <c r="O367" s="359">
        <f t="shared" si="67"/>
        <v>0</v>
      </c>
      <c r="P367" s="140">
        <f t="shared" si="68"/>
        <v>0</v>
      </c>
      <c r="Q367" s="140">
        <v>0</v>
      </c>
      <c r="R367" s="137">
        <f t="shared" si="69"/>
        <v>0</v>
      </c>
      <c r="S367" s="141">
        <f t="shared" si="70"/>
        <v>0</v>
      </c>
      <c r="T367" s="137">
        <f t="shared" si="71"/>
        <v>0</v>
      </c>
      <c r="U367" s="137">
        <f>ROUND(VERİLER!$F$9*T367,3)</f>
        <v>0</v>
      </c>
      <c r="V367" s="336">
        <f t="shared" si="72"/>
        <v>0</v>
      </c>
      <c r="W367" s="335"/>
      <c r="X367" s="335"/>
      <c r="Y367" s="335"/>
    </row>
    <row r="368" spans="1:25" s="337" customFormat="1" ht="15" customHeight="1" x14ac:dyDescent="0.2">
      <c r="A368" s="299" t="str">
        <f>IF('İşçi Bilgileri'!A366="","",'İşçi Bilgileri'!A366)</f>
        <v/>
      </c>
      <c r="B368" s="300" t="str">
        <f>IF($A368="","",VLOOKUP($A368,'İşçi Bilgileri'!$A$2:$D$700,4,FALSE))</f>
        <v/>
      </c>
      <c r="C368" s="301" t="str">
        <f>CONCATENATE(IF($A368="","",VLOOKUP($A368,'İşçi Bilgileri'!$A$2:$D$700,2,FALSE))," ",IF($A368="","",VLOOKUP($A368,'İşçi Bilgileri'!$A$2:$D$700,3,FALSE)))</f>
        <v xml:space="preserve"> </v>
      </c>
      <c r="D368" s="137" t="str">
        <f>IF($A368="","",VERİLER!$C$5)</f>
        <v/>
      </c>
      <c r="E368" s="138" t="str">
        <f>IF($A368="","",Puantaj!AJ373)</f>
        <v/>
      </c>
      <c r="F368" s="137">
        <f t="shared" si="61"/>
        <v>0</v>
      </c>
      <c r="G368" s="137"/>
      <c r="H368" s="137">
        <f t="shared" si="62"/>
        <v>0</v>
      </c>
      <c r="I368" s="137">
        <f t="shared" si="63"/>
        <v>0</v>
      </c>
      <c r="J368" s="137">
        <f>IF(F368&gt;VERİLER!$C$7,'İşçi Bilgileri'!M366+(F368-VERİLER!$C$7),0)</f>
        <v>0</v>
      </c>
      <c r="K368" s="137">
        <f>IF(VERİLER!$C$11&gt;0,ROUND(J368*0.15,2),0)</f>
        <v>0</v>
      </c>
      <c r="L368" s="359">
        <f t="shared" si="64"/>
        <v>0</v>
      </c>
      <c r="M368" s="139">
        <f t="shared" si="65"/>
        <v>0</v>
      </c>
      <c r="N368" s="137">
        <f t="shared" si="66"/>
        <v>0</v>
      </c>
      <c r="O368" s="359">
        <f t="shared" si="67"/>
        <v>0</v>
      </c>
      <c r="P368" s="140">
        <f t="shared" si="68"/>
        <v>0</v>
      </c>
      <c r="Q368" s="140">
        <v>0</v>
      </c>
      <c r="R368" s="137">
        <f t="shared" si="69"/>
        <v>0</v>
      </c>
      <c r="S368" s="141">
        <f t="shared" si="70"/>
        <v>0</v>
      </c>
      <c r="T368" s="137">
        <f t="shared" si="71"/>
        <v>0</v>
      </c>
      <c r="U368" s="137">
        <f>ROUND(VERİLER!$F$9*T368,3)</f>
        <v>0</v>
      </c>
      <c r="V368" s="336">
        <f t="shared" si="72"/>
        <v>0</v>
      </c>
      <c r="W368" s="335"/>
      <c r="X368" s="335"/>
      <c r="Y368" s="335"/>
    </row>
    <row r="369" spans="1:25" s="143" customFormat="1" ht="15" customHeight="1" x14ac:dyDescent="0.2">
      <c r="A369" s="299" t="str">
        <f>IF('İşçi Bilgileri'!A367="","",'İşçi Bilgileri'!A367)</f>
        <v/>
      </c>
      <c r="B369" s="300" t="str">
        <f>IF($A369="","",VLOOKUP($A369,'İşçi Bilgileri'!$A$2:$D$700,4,FALSE))</f>
        <v/>
      </c>
      <c r="C369" s="301" t="str">
        <f>CONCATENATE(IF($A369="","",VLOOKUP($A369,'İşçi Bilgileri'!$A$2:$D$700,2,FALSE))," ",IF($A369="","",VLOOKUP($A369,'İşçi Bilgileri'!$A$2:$D$700,3,FALSE)))</f>
        <v xml:space="preserve"> </v>
      </c>
      <c r="D369" s="137" t="str">
        <f>IF($A369="","",VERİLER!$C$5)</f>
        <v/>
      </c>
      <c r="E369" s="138" t="str">
        <f>IF($A369="","",Puantaj!AJ374)</f>
        <v/>
      </c>
      <c r="F369" s="137">
        <f t="shared" si="61"/>
        <v>0</v>
      </c>
      <c r="G369" s="137"/>
      <c r="H369" s="137">
        <f t="shared" si="62"/>
        <v>0</v>
      </c>
      <c r="I369" s="137">
        <f t="shared" si="63"/>
        <v>0</v>
      </c>
      <c r="J369" s="137">
        <f>IF(F369&gt;VERİLER!$C$7,'İşçi Bilgileri'!M367+(F369-VERİLER!$C$7),0)</f>
        <v>0</v>
      </c>
      <c r="K369" s="137">
        <f>IF(VERİLER!$C$11&gt;0,ROUND(J369*0.15,2),0)</f>
        <v>0</v>
      </c>
      <c r="L369" s="359">
        <f t="shared" si="64"/>
        <v>0</v>
      </c>
      <c r="M369" s="139">
        <f t="shared" si="65"/>
        <v>0</v>
      </c>
      <c r="N369" s="137">
        <f t="shared" si="66"/>
        <v>0</v>
      </c>
      <c r="O369" s="359">
        <f t="shared" si="67"/>
        <v>0</v>
      </c>
      <c r="P369" s="140">
        <f t="shared" si="68"/>
        <v>0</v>
      </c>
      <c r="Q369" s="140">
        <v>0</v>
      </c>
      <c r="R369" s="137">
        <f t="shared" si="69"/>
        <v>0</v>
      </c>
      <c r="S369" s="141">
        <f t="shared" si="70"/>
        <v>0</v>
      </c>
      <c r="T369" s="137">
        <f t="shared" si="71"/>
        <v>0</v>
      </c>
      <c r="U369" s="137">
        <f>ROUND(VERİLER!$F$9*T369,3)</f>
        <v>0</v>
      </c>
      <c r="V369" s="336">
        <f t="shared" si="72"/>
        <v>0</v>
      </c>
      <c r="W369" s="113"/>
      <c r="X369" s="113"/>
      <c r="Y369" s="113"/>
    </row>
    <row r="370" spans="1:25" s="143" customFormat="1" ht="15" customHeight="1" x14ac:dyDescent="0.2">
      <c r="A370" s="299" t="str">
        <f>IF('İşçi Bilgileri'!A368="","",'İşçi Bilgileri'!A368)</f>
        <v/>
      </c>
      <c r="B370" s="300" t="str">
        <f>IF($A370="","",VLOOKUP($A370,'İşçi Bilgileri'!$A$2:$D$700,4,FALSE))</f>
        <v/>
      </c>
      <c r="C370" s="301" t="str">
        <f>CONCATENATE(IF($A370="","",VLOOKUP($A370,'İşçi Bilgileri'!$A$2:$D$700,2,FALSE))," ",IF($A370="","",VLOOKUP($A370,'İşçi Bilgileri'!$A$2:$D$700,3,FALSE)))</f>
        <v xml:space="preserve"> </v>
      </c>
      <c r="D370" s="137" t="str">
        <f>IF($A370="","",VERİLER!$C$5)</f>
        <v/>
      </c>
      <c r="E370" s="138" t="str">
        <f>IF($A370="","",Puantaj!AJ375)</f>
        <v/>
      </c>
      <c r="F370" s="137">
        <f t="shared" si="61"/>
        <v>0</v>
      </c>
      <c r="G370" s="137"/>
      <c r="H370" s="137">
        <f t="shared" si="62"/>
        <v>0</v>
      </c>
      <c r="I370" s="137">
        <f t="shared" si="63"/>
        <v>0</v>
      </c>
      <c r="J370" s="137">
        <f>IF(F370&gt;VERİLER!$C$7,'İşçi Bilgileri'!M368+(F370-VERİLER!$C$7),0)</f>
        <v>0</v>
      </c>
      <c r="K370" s="137">
        <f>IF(VERİLER!$C$11&gt;0,ROUND(J370*0.15,2),0)</f>
        <v>0</v>
      </c>
      <c r="L370" s="359">
        <f t="shared" si="64"/>
        <v>0</v>
      </c>
      <c r="M370" s="139">
        <f t="shared" si="65"/>
        <v>0</v>
      </c>
      <c r="N370" s="137">
        <f t="shared" si="66"/>
        <v>0</v>
      </c>
      <c r="O370" s="359">
        <f t="shared" si="67"/>
        <v>0</v>
      </c>
      <c r="P370" s="140">
        <f t="shared" si="68"/>
        <v>0</v>
      </c>
      <c r="Q370" s="140">
        <v>0</v>
      </c>
      <c r="R370" s="137">
        <f t="shared" si="69"/>
        <v>0</v>
      </c>
      <c r="S370" s="141">
        <f t="shared" si="70"/>
        <v>0</v>
      </c>
      <c r="T370" s="137">
        <f t="shared" si="71"/>
        <v>0</v>
      </c>
      <c r="U370" s="137">
        <f>ROUND(VERİLER!$F$9*T370,3)</f>
        <v>0</v>
      </c>
      <c r="V370" s="336">
        <f t="shared" si="72"/>
        <v>0</v>
      </c>
      <c r="W370" s="113"/>
      <c r="X370" s="113"/>
      <c r="Y370" s="113"/>
    </row>
    <row r="371" spans="1:25" s="143" customFormat="1" ht="15" customHeight="1" x14ac:dyDescent="0.2">
      <c r="A371" s="299" t="str">
        <f>IF('İşçi Bilgileri'!A369="","",'İşçi Bilgileri'!A369)</f>
        <v/>
      </c>
      <c r="B371" s="300" t="str">
        <f>IF($A371="","",VLOOKUP($A371,'İşçi Bilgileri'!$A$2:$D$700,4,FALSE))</f>
        <v/>
      </c>
      <c r="C371" s="301" t="str">
        <f>CONCATENATE(IF($A371="","",VLOOKUP($A371,'İşçi Bilgileri'!$A$2:$D$700,2,FALSE))," ",IF($A371="","",VLOOKUP($A371,'İşçi Bilgileri'!$A$2:$D$700,3,FALSE)))</f>
        <v xml:space="preserve"> </v>
      </c>
      <c r="D371" s="137" t="str">
        <f>IF($A371="","",VERİLER!$C$5)</f>
        <v/>
      </c>
      <c r="E371" s="138" t="str">
        <f>IF($A371="","",Puantaj!AJ376)</f>
        <v/>
      </c>
      <c r="F371" s="137">
        <f t="shared" si="61"/>
        <v>0</v>
      </c>
      <c r="G371" s="137"/>
      <c r="H371" s="137">
        <f t="shared" si="62"/>
        <v>0</v>
      </c>
      <c r="I371" s="137">
        <f t="shared" si="63"/>
        <v>0</v>
      </c>
      <c r="J371" s="137">
        <f>IF(F371&gt;VERİLER!$C$7,'İşçi Bilgileri'!M369+(F371-VERİLER!$C$7),0)</f>
        <v>0</v>
      </c>
      <c r="K371" s="137">
        <f>IF(VERİLER!$C$11&gt;0,ROUND(J371*0.15,2),0)</f>
        <v>0</v>
      </c>
      <c r="L371" s="359">
        <f t="shared" si="64"/>
        <v>0</v>
      </c>
      <c r="M371" s="139">
        <f t="shared" si="65"/>
        <v>0</v>
      </c>
      <c r="N371" s="137">
        <f t="shared" si="66"/>
        <v>0</v>
      </c>
      <c r="O371" s="359">
        <f t="shared" si="67"/>
        <v>0</v>
      </c>
      <c r="P371" s="140">
        <f t="shared" si="68"/>
        <v>0</v>
      </c>
      <c r="Q371" s="140">
        <v>0</v>
      </c>
      <c r="R371" s="137">
        <f t="shared" si="69"/>
        <v>0</v>
      </c>
      <c r="S371" s="141">
        <f t="shared" si="70"/>
        <v>0</v>
      </c>
      <c r="T371" s="137">
        <f t="shared" si="71"/>
        <v>0</v>
      </c>
      <c r="U371" s="137">
        <f>ROUND(VERİLER!$F$9*T371,3)</f>
        <v>0</v>
      </c>
      <c r="V371" s="336">
        <f t="shared" si="72"/>
        <v>0</v>
      </c>
      <c r="W371" s="113"/>
      <c r="X371" s="113"/>
      <c r="Y371" s="113"/>
    </row>
    <row r="372" spans="1:25" s="143" customFormat="1" ht="15" customHeight="1" x14ac:dyDescent="0.2">
      <c r="A372" s="299" t="str">
        <f>IF('İşçi Bilgileri'!A370="","",'İşçi Bilgileri'!A370)</f>
        <v/>
      </c>
      <c r="B372" s="300" t="str">
        <f>IF($A372="","",VLOOKUP($A372,'İşçi Bilgileri'!$A$2:$D$700,4,FALSE))</f>
        <v/>
      </c>
      <c r="C372" s="301" t="str">
        <f>CONCATENATE(IF($A372="","",VLOOKUP($A372,'İşçi Bilgileri'!$A$2:$D$700,2,FALSE))," ",IF($A372="","",VLOOKUP($A372,'İşçi Bilgileri'!$A$2:$D$700,3,FALSE)))</f>
        <v xml:space="preserve"> </v>
      </c>
      <c r="D372" s="137" t="str">
        <f>IF($A372="","",VERİLER!$C$5)</f>
        <v/>
      </c>
      <c r="E372" s="138" t="str">
        <f>IF($A372="","",Puantaj!AJ377)</f>
        <v/>
      </c>
      <c r="F372" s="137">
        <f t="shared" si="61"/>
        <v>0</v>
      </c>
      <c r="G372" s="137"/>
      <c r="H372" s="137">
        <f t="shared" si="62"/>
        <v>0</v>
      </c>
      <c r="I372" s="137">
        <f t="shared" si="63"/>
        <v>0</v>
      </c>
      <c r="J372" s="137">
        <f>IF(F372&gt;VERİLER!$C$7,'İşçi Bilgileri'!M370+(F372-VERİLER!$C$7),0)</f>
        <v>0</v>
      </c>
      <c r="K372" s="137">
        <f>IF(VERİLER!$C$11&gt;0,ROUND(J372*0.15,2),0)</f>
        <v>0</v>
      </c>
      <c r="L372" s="359">
        <f t="shared" si="64"/>
        <v>0</v>
      </c>
      <c r="M372" s="139">
        <f t="shared" si="65"/>
        <v>0</v>
      </c>
      <c r="N372" s="137">
        <f t="shared" si="66"/>
        <v>0</v>
      </c>
      <c r="O372" s="359">
        <f t="shared" si="67"/>
        <v>0</v>
      </c>
      <c r="P372" s="140">
        <f t="shared" si="68"/>
        <v>0</v>
      </c>
      <c r="Q372" s="140">
        <v>0</v>
      </c>
      <c r="R372" s="137">
        <f t="shared" si="69"/>
        <v>0</v>
      </c>
      <c r="S372" s="141">
        <f t="shared" si="70"/>
        <v>0</v>
      </c>
      <c r="T372" s="137">
        <f t="shared" si="71"/>
        <v>0</v>
      </c>
      <c r="U372" s="137">
        <f>ROUND(VERİLER!$F$9*T372,3)</f>
        <v>0</v>
      </c>
      <c r="V372" s="336">
        <f t="shared" si="72"/>
        <v>0</v>
      </c>
      <c r="W372" s="113"/>
      <c r="X372" s="113"/>
      <c r="Y372" s="113"/>
    </row>
    <row r="373" spans="1:25" s="143" customFormat="1" ht="15" customHeight="1" x14ac:dyDescent="0.2">
      <c r="A373" s="299" t="str">
        <f>IF('İşçi Bilgileri'!A371="","",'İşçi Bilgileri'!A371)</f>
        <v/>
      </c>
      <c r="B373" s="300" t="str">
        <f>IF($A373="","",VLOOKUP($A373,'İşçi Bilgileri'!$A$2:$D$700,4,FALSE))</f>
        <v/>
      </c>
      <c r="C373" s="301" t="str">
        <f>CONCATENATE(IF($A373="","",VLOOKUP($A373,'İşçi Bilgileri'!$A$2:$D$700,2,FALSE))," ",IF($A373="","",VLOOKUP($A373,'İşçi Bilgileri'!$A$2:$D$700,3,FALSE)))</f>
        <v xml:space="preserve"> </v>
      </c>
      <c r="D373" s="137" t="str">
        <f>IF($A373="","",VERİLER!$C$5)</f>
        <v/>
      </c>
      <c r="E373" s="138" t="str">
        <f>IF($A373="","",Puantaj!AJ378)</f>
        <v/>
      </c>
      <c r="F373" s="137">
        <f t="shared" si="61"/>
        <v>0</v>
      </c>
      <c r="G373" s="137"/>
      <c r="H373" s="137">
        <f t="shared" si="62"/>
        <v>0</v>
      </c>
      <c r="I373" s="137">
        <f t="shared" si="63"/>
        <v>0</v>
      </c>
      <c r="J373" s="137">
        <f>IF(F373&gt;VERİLER!$C$7,'İşçi Bilgileri'!M371+(F373-VERİLER!$C$7),0)</f>
        <v>0</v>
      </c>
      <c r="K373" s="137">
        <f>IF(VERİLER!$C$11&gt;0,ROUND(J373*0.15,2),0)</f>
        <v>0</v>
      </c>
      <c r="L373" s="359">
        <f t="shared" si="64"/>
        <v>0</v>
      </c>
      <c r="M373" s="139">
        <f t="shared" si="65"/>
        <v>0</v>
      </c>
      <c r="N373" s="137">
        <f t="shared" si="66"/>
        <v>0</v>
      </c>
      <c r="O373" s="359">
        <f t="shared" si="67"/>
        <v>0</v>
      </c>
      <c r="P373" s="140">
        <f t="shared" si="68"/>
        <v>0</v>
      </c>
      <c r="Q373" s="140">
        <v>0</v>
      </c>
      <c r="R373" s="137">
        <f t="shared" si="69"/>
        <v>0</v>
      </c>
      <c r="S373" s="141">
        <f t="shared" si="70"/>
        <v>0</v>
      </c>
      <c r="T373" s="137">
        <f t="shared" si="71"/>
        <v>0</v>
      </c>
      <c r="U373" s="137">
        <f>ROUND(VERİLER!$F$9*T373,3)</f>
        <v>0</v>
      </c>
      <c r="V373" s="336">
        <f t="shared" si="72"/>
        <v>0</v>
      </c>
      <c r="W373" s="113"/>
      <c r="X373" s="113"/>
      <c r="Y373" s="113"/>
    </row>
    <row r="374" spans="1:25" s="143" customFormat="1" ht="15" customHeight="1" x14ac:dyDescent="0.2">
      <c r="A374" s="299" t="str">
        <f>IF('İşçi Bilgileri'!A372="","",'İşçi Bilgileri'!A372)</f>
        <v/>
      </c>
      <c r="B374" s="300" t="str">
        <f>IF($A374="","",VLOOKUP($A374,'İşçi Bilgileri'!$A$2:$D$700,4,FALSE))</f>
        <v/>
      </c>
      <c r="C374" s="301" t="str">
        <f>CONCATENATE(IF($A374="","",VLOOKUP($A374,'İşçi Bilgileri'!$A$2:$D$700,2,FALSE))," ",IF($A374="","",VLOOKUP($A374,'İşçi Bilgileri'!$A$2:$D$700,3,FALSE)))</f>
        <v xml:space="preserve"> </v>
      </c>
      <c r="D374" s="137" t="str">
        <f>IF($A374="","",VERİLER!$C$5)</f>
        <v/>
      </c>
      <c r="E374" s="138" t="str">
        <f>IF($A374="","",Puantaj!AJ379)</f>
        <v/>
      </c>
      <c r="F374" s="137">
        <f t="shared" si="61"/>
        <v>0</v>
      </c>
      <c r="G374" s="137"/>
      <c r="H374" s="137">
        <f t="shared" si="62"/>
        <v>0</v>
      </c>
      <c r="I374" s="137">
        <f t="shared" si="63"/>
        <v>0</v>
      </c>
      <c r="J374" s="137">
        <f>IF(F374&gt;VERİLER!$C$7,'İşçi Bilgileri'!M372+(F374-VERİLER!$C$7),0)</f>
        <v>0</v>
      </c>
      <c r="K374" s="137">
        <f>IF(VERİLER!$C$11&gt;0,ROUND(J374*0.15,2),0)</f>
        <v>0</v>
      </c>
      <c r="L374" s="359">
        <f t="shared" si="64"/>
        <v>0</v>
      </c>
      <c r="M374" s="139">
        <f t="shared" si="65"/>
        <v>0</v>
      </c>
      <c r="N374" s="137">
        <f t="shared" si="66"/>
        <v>0</v>
      </c>
      <c r="O374" s="359">
        <f t="shared" si="67"/>
        <v>0</v>
      </c>
      <c r="P374" s="140">
        <f t="shared" si="68"/>
        <v>0</v>
      </c>
      <c r="Q374" s="140">
        <v>0</v>
      </c>
      <c r="R374" s="137">
        <f t="shared" si="69"/>
        <v>0</v>
      </c>
      <c r="S374" s="141">
        <f t="shared" si="70"/>
        <v>0</v>
      </c>
      <c r="T374" s="137">
        <f t="shared" si="71"/>
        <v>0</v>
      </c>
      <c r="U374" s="137">
        <f>ROUND(VERİLER!$F$9*T374,3)</f>
        <v>0</v>
      </c>
      <c r="V374" s="336">
        <f t="shared" si="72"/>
        <v>0</v>
      </c>
      <c r="W374" s="113"/>
      <c r="X374" s="113"/>
      <c r="Y374" s="113"/>
    </row>
    <row r="375" spans="1:25" s="143" customFormat="1" ht="15" customHeight="1" x14ac:dyDescent="0.2">
      <c r="A375" s="299" t="str">
        <f>IF('İşçi Bilgileri'!A373="","",'İşçi Bilgileri'!A373)</f>
        <v/>
      </c>
      <c r="B375" s="300" t="str">
        <f>IF($A375="","",VLOOKUP($A375,'İşçi Bilgileri'!$A$2:$D$700,4,FALSE))</f>
        <v/>
      </c>
      <c r="C375" s="301" t="str">
        <f>CONCATENATE(IF($A375="","",VLOOKUP($A375,'İşçi Bilgileri'!$A$2:$D$700,2,FALSE))," ",IF($A375="","",VLOOKUP($A375,'İşçi Bilgileri'!$A$2:$D$700,3,FALSE)))</f>
        <v xml:space="preserve"> </v>
      </c>
      <c r="D375" s="137" t="str">
        <f>IF($A375="","",VERİLER!$C$5)</f>
        <v/>
      </c>
      <c r="E375" s="138" t="str">
        <f>IF($A375="","",Puantaj!AJ380)</f>
        <v/>
      </c>
      <c r="F375" s="137">
        <f t="shared" si="61"/>
        <v>0</v>
      </c>
      <c r="G375" s="137"/>
      <c r="H375" s="137">
        <f t="shared" si="62"/>
        <v>0</v>
      </c>
      <c r="I375" s="137">
        <f t="shared" si="63"/>
        <v>0</v>
      </c>
      <c r="J375" s="137">
        <f>IF(F375&gt;VERİLER!$C$7,'İşçi Bilgileri'!M373+(F375-VERİLER!$C$7),0)</f>
        <v>0</v>
      </c>
      <c r="K375" s="137">
        <f>IF(VERİLER!$C$11&gt;0,ROUND(J375*0.15,2),0)</f>
        <v>0</v>
      </c>
      <c r="L375" s="359">
        <f t="shared" si="64"/>
        <v>0</v>
      </c>
      <c r="M375" s="139">
        <f t="shared" si="65"/>
        <v>0</v>
      </c>
      <c r="N375" s="137">
        <f t="shared" si="66"/>
        <v>0</v>
      </c>
      <c r="O375" s="359">
        <f t="shared" si="67"/>
        <v>0</v>
      </c>
      <c r="P375" s="140">
        <f t="shared" si="68"/>
        <v>0</v>
      </c>
      <c r="Q375" s="140">
        <v>0</v>
      </c>
      <c r="R375" s="137">
        <f t="shared" si="69"/>
        <v>0</v>
      </c>
      <c r="S375" s="141">
        <f t="shared" si="70"/>
        <v>0</v>
      </c>
      <c r="T375" s="137">
        <f t="shared" si="71"/>
        <v>0</v>
      </c>
      <c r="U375" s="137">
        <f>ROUND(VERİLER!$F$9*T375,3)</f>
        <v>0</v>
      </c>
      <c r="V375" s="336">
        <f t="shared" si="72"/>
        <v>0</v>
      </c>
      <c r="W375" s="113"/>
      <c r="X375" s="113"/>
      <c r="Y375" s="113"/>
    </row>
    <row r="376" spans="1:25" s="143" customFormat="1" ht="15" customHeight="1" x14ac:dyDescent="0.2">
      <c r="A376" s="299" t="str">
        <f>IF('İşçi Bilgileri'!A374="","",'İşçi Bilgileri'!A374)</f>
        <v/>
      </c>
      <c r="B376" s="300" t="str">
        <f>IF($A376="","",VLOOKUP($A376,'İşçi Bilgileri'!$A$2:$D$700,4,FALSE))</f>
        <v/>
      </c>
      <c r="C376" s="301" t="str">
        <f>CONCATENATE(IF($A376="","",VLOOKUP($A376,'İşçi Bilgileri'!$A$2:$D$700,2,FALSE))," ",IF($A376="","",VLOOKUP($A376,'İşçi Bilgileri'!$A$2:$D$700,3,FALSE)))</f>
        <v xml:space="preserve"> </v>
      </c>
      <c r="D376" s="137" t="str">
        <f>IF($A376="","",VERİLER!$C$5)</f>
        <v/>
      </c>
      <c r="E376" s="138" t="str">
        <f>IF($A376="","",Puantaj!AJ381)</f>
        <v/>
      </c>
      <c r="F376" s="137">
        <f t="shared" si="61"/>
        <v>0</v>
      </c>
      <c r="G376" s="137"/>
      <c r="H376" s="137">
        <f t="shared" si="62"/>
        <v>0</v>
      </c>
      <c r="I376" s="137">
        <f t="shared" si="63"/>
        <v>0</v>
      </c>
      <c r="J376" s="137">
        <f>IF(F376&gt;VERİLER!$C$7,'İşçi Bilgileri'!M374+(F376-VERİLER!$C$7),0)</f>
        <v>0</v>
      </c>
      <c r="K376" s="137">
        <f>IF(VERİLER!$C$11&gt;0,ROUND(J376*0.15,2),0)</f>
        <v>0</v>
      </c>
      <c r="L376" s="359">
        <f t="shared" si="64"/>
        <v>0</v>
      </c>
      <c r="M376" s="139">
        <f t="shared" si="65"/>
        <v>0</v>
      </c>
      <c r="N376" s="137">
        <f t="shared" si="66"/>
        <v>0</v>
      </c>
      <c r="O376" s="359">
        <f t="shared" si="67"/>
        <v>0</v>
      </c>
      <c r="P376" s="140">
        <f t="shared" si="68"/>
        <v>0</v>
      </c>
      <c r="Q376" s="140">
        <v>0</v>
      </c>
      <c r="R376" s="137">
        <f t="shared" si="69"/>
        <v>0</v>
      </c>
      <c r="S376" s="141">
        <f t="shared" si="70"/>
        <v>0</v>
      </c>
      <c r="T376" s="137">
        <f t="shared" si="71"/>
        <v>0</v>
      </c>
      <c r="U376" s="137">
        <f>ROUND(VERİLER!$F$9*T376,3)</f>
        <v>0</v>
      </c>
      <c r="V376" s="336">
        <f t="shared" si="72"/>
        <v>0</v>
      </c>
      <c r="W376" s="113"/>
      <c r="X376" s="113"/>
      <c r="Y376" s="113"/>
    </row>
    <row r="377" spans="1:25" s="143" customFormat="1" ht="15" customHeight="1" x14ac:dyDescent="0.2">
      <c r="A377" s="299" t="str">
        <f>IF('İşçi Bilgileri'!A375="","",'İşçi Bilgileri'!A375)</f>
        <v/>
      </c>
      <c r="B377" s="300" t="str">
        <f>IF($A377="","",VLOOKUP($A377,'İşçi Bilgileri'!$A$2:$D$700,4,FALSE))</f>
        <v/>
      </c>
      <c r="C377" s="301" t="str">
        <f>CONCATENATE(IF($A377="","",VLOOKUP($A377,'İşçi Bilgileri'!$A$2:$D$700,2,FALSE))," ",IF($A377="","",VLOOKUP($A377,'İşçi Bilgileri'!$A$2:$D$700,3,FALSE)))</f>
        <v xml:space="preserve"> </v>
      </c>
      <c r="D377" s="137" t="str">
        <f>IF($A377="","",VERİLER!$C$5)</f>
        <v/>
      </c>
      <c r="E377" s="138" t="str">
        <f>IF($A377="","",Puantaj!AJ382)</f>
        <v/>
      </c>
      <c r="F377" s="137">
        <f t="shared" si="61"/>
        <v>0</v>
      </c>
      <c r="G377" s="137"/>
      <c r="H377" s="137">
        <f t="shared" si="62"/>
        <v>0</v>
      </c>
      <c r="I377" s="137">
        <f t="shared" si="63"/>
        <v>0</v>
      </c>
      <c r="J377" s="137">
        <f>IF(F377&gt;VERİLER!$C$7,'İşçi Bilgileri'!M375+(F377-VERİLER!$C$7),0)</f>
        <v>0</v>
      </c>
      <c r="K377" s="137">
        <f>IF(VERİLER!$C$11&gt;0,ROUND(J377*0.15,2),0)</f>
        <v>0</v>
      </c>
      <c r="L377" s="359">
        <f t="shared" si="64"/>
        <v>0</v>
      </c>
      <c r="M377" s="139">
        <f t="shared" si="65"/>
        <v>0</v>
      </c>
      <c r="N377" s="137">
        <f t="shared" si="66"/>
        <v>0</v>
      </c>
      <c r="O377" s="359">
        <f t="shared" si="67"/>
        <v>0</v>
      </c>
      <c r="P377" s="140">
        <f t="shared" si="68"/>
        <v>0</v>
      </c>
      <c r="Q377" s="140">
        <v>0</v>
      </c>
      <c r="R377" s="137">
        <f t="shared" si="69"/>
        <v>0</v>
      </c>
      <c r="S377" s="141">
        <f t="shared" si="70"/>
        <v>0</v>
      </c>
      <c r="T377" s="137">
        <f t="shared" si="71"/>
        <v>0</v>
      </c>
      <c r="U377" s="137">
        <f>ROUND(VERİLER!$F$9*T377,3)</f>
        <v>0</v>
      </c>
      <c r="V377" s="336">
        <f t="shared" si="72"/>
        <v>0</v>
      </c>
      <c r="W377" s="113"/>
      <c r="X377" s="113"/>
      <c r="Y377" s="113"/>
    </row>
    <row r="378" spans="1:25" s="143" customFormat="1" ht="15" customHeight="1" x14ac:dyDescent="0.2">
      <c r="A378" s="299" t="str">
        <f>IF('İşçi Bilgileri'!A376="","",'İşçi Bilgileri'!A376)</f>
        <v/>
      </c>
      <c r="B378" s="300" t="str">
        <f>IF($A378="","",VLOOKUP($A378,'İşçi Bilgileri'!$A$2:$D$700,4,FALSE))</f>
        <v/>
      </c>
      <c r="C378" s="301" t="str">
        <f>CONCATENATE(IF($A378="","",VLOOKUP($A378,'İşçi Bilgileri'!$A$2:$D$700,2,FALSE))," ",IF($A378="","",VLOOKUP($A378,'İşçi Bilgileri'!$A$2:$D$700,3,FALSE)))</f>
        <v xml:space="preserve"> </v>
      </c>
      <c r="D378" s="137" t="str">
        <f>IF($A378="","",VERİLER!$C$5)</f>
        <v/>
      </c>
      <c r="E378" s="138" t="str">
        <f>IF($A378="","",Puantaj!AJ383)</f>
        <v/>
      </c>
      <c r="F378" s="137">
        <f t="shared" si="61"/>
        <v>0</v>
      </c>
      <c r="G378" s="137"/>
      <c r="H378" s="137">
        <f t="shared" si="62"/>
        <v>0</v>
      </c>
      <c r="I378" s="137">
        <f t="shared" si="63"/>
        <v>0</v>
      </c>
      <c r="J378" s="137">
        <f>IF(F378&gt;VERİLER!$C$7,'İşçi Bilgileri'!M376+(F378-VERİLER!$C$7),0)</f>
        <v>0</v>
      </c>
      <c r="K378" s="137">
        <f>IF(VERİLER!$C$11&gt;0,ROUND(J378*0.15,2),0)</f>
        <v>0</v>
      </c>
      <c r="L378" s="359">
        <f t="shared" si="64"/>
        <v>0</v>
      </c>
      <c r="M378" s="139">
        <f t="shared" si="65"/>
        <v>0</v>
      </c>
      <c r="N378" s="137">
        <f t="shared" si="66"/>
        <v>0</v>
      </c>
      <c r="O378" s="359">
        <f t="shared" si="67"/>
        <v>0</v>
      </c>
      <c r="P378" s="140">
        <f t="shared" si="68"/>
        <v>0</v>
      </c>
      <c r="Q378" s="140">
        <v>0</v>
      </c>
      <c r="R378" s="137">
        <f t="shared" si="69"/>
        <v>0</v>
      </c>
      <c r="S378" s="141">
        <f t="shared" si="70"/>
        <v>0</v>
      </c>
      <c r="T378" s="137">
        <f t="shared" si="71"/>
        <v>0</v>
      </c>
      <c r="U378" s="137">
        <f>ROUND(VERİLER!$F$9*T378,3)</f>
        <v>0</v>
      </c>
      <c r="V378" s="336">
        <f t="shared" si="72"/>
        <v>0</v>
      </c>
      <c r="W378" s="113"/>
      <c r="X378" s="113"/>
      <c r="Y378" s="113"/>
    </row>
    <row r="379" spans="1:25" s="143" customFormat="1" ht="15" customHeight="1" x14ac:dyDescent="0.2">
      <c r="A379" s="299" t="str">
        <f>IF('İşçi Bilgileri'!A377="","",'İşçi Bilgileri'!A377)</f>
        <v/>
      </c>
      <c r="B379" s="300" t="str">
        <f>IF($A379="","",VLOOKUP($A379,'İşçi Bilgileri'!$A$2:$D$700,4,FALSE))</f>
        <v/>
      </c>
      <c r="C379" s="301" t="str">
        <f>CONCATENATE(IF($A379="","",VLOOKUP($A379,'İşçi Bilgileri'!$A$2:$D$700,2,FALSE))," ",IF($A379="","",VLOOKUP($A379,'İşçi Bilgileri'!$A$2:$D$700,3,FALSE)))</f>
        <v xml:space="preserve"> </v>
      </c>
      <c r="D379" s="137" t="str">
        <f>IF($A379="","",VERİLER!$C$5)</f>
        <v/>
      </c>
      <c r="E379" s="138" t="str">
        <f>IF($A379="","",Puantaj!AJ384)</f>
        <v/>
      </c>
      <c r="F379" s="137">
        <f t="shared" si="61"/>
        <v>0</v>
      </c>
      <c r="G379" s="137"/>
      <c r="H379" s="137">
        <f t="shared" si="62"/>
        <v>0</v>
      </c>
      <c r="I379" s="137">
        <f t="shared" si="63"/>
        <v>0</v>
      </c>
      <c r="J379" s="137">
        <f>IF(F379&gt;VERİLER!$C$7,'İşçi Bilgileri'!M377+(F379-VERİLER!$C$7),0)</f>
        <v>0</v>
      </c>
      <c r="K379" s="137">
        <f>IF(VERİLER!$C$11&gt;0,ROUND(J379*0.15,2),0)</f>
        <v>0</v>
      </c>
      <c r="L379" s="359">
        <f t="shared" si="64"/>
        <v>0</v>
      </c>
      <c r="M379" s="139">
        <f t="shared" si="65"/>
        <v>0</v>
      </c>
      <c r="N379" s="137">
        <f t="shared" si="66"/>
        <v>0</v>
      </c>
      <c r="O379" s="359">
        <f t="shared" si="67"/>
        <v>0</v>
      </c>
      <c r="P379" s="140">
        <f t="shared" si="68"/>
        <v>0</v>
      </c>
      <c r="Q379" s="140">
        <v>0</v>
      </c>
      <c r="R379" s="137">
        <f t="shared" si="69"/>
        <v>0</v>
      </c>
      <c r="S379" s="141">
        <f t="shared" si="70"/>
        <v>0</v>
      </c>
      <c r="T379" s="137">
        <f t="shared" si="71"/>
        <v>0</v>
      </c>
      <c r="U379" s="137">
        <f>ROUND(VERİLER!$F$9*T379,3)</f>
        <v>0</v>
      </c>
      <c r="V379" s="336">
        <f t="shared" si="72"/>
        <v>0</v>
      </c>
      <c r="W379" s="113"/>
      <c r="X379" s="113"/>
      <c r="Y379" s="113"/>
    </row>
    <row r="380" spans="1:25" s="143" customFormat="1" ht="15" customHeight="1" x14ac:dyDescent="0.2">
      <c r="A380" s="299" t="str">
        <f>IF('İşçi Bilgileri'!A378="","",'İşçi Bilgileri'!A378)</f>
        <v/>
      </c>
      <c r="B380" s="300" t="str">
        <f>IF($A380="","",VLOOKUP($A380,'İşçi Bilgileri'!$A$2:$D$700,4,FALSE))</f>
        <v/>
      </c>
      <c r="C380" s="301" t="str">
        <f>CONCATENATE(IF($A380="","",VLOOKUP($A380,'İşçi Bilgileri'!$A$2:$D$700,2,FALSE))," ",IF($A380="","",VLOOKUP($A380,'İşçi Bilgileri'!$A$2:$D$700,3,FALSE)))</f>
        <v xml:space="preserve"> </v>
      </c>
      <c r="D380" s="137" t="str">
        <f>IF($A380="","",VERİLER!$C$5)</f>
        <v/>
      </c>
      <c r="E380" s="138" t="str">
        <f>IF($A380="","",Puantaj!AJ385)</f>
        <v/>
      </c>
      <c r="F380" s="137">
        <f t="shared" si="61"/>
        <v>0</v>
      </c>
      <c r="G380" s="137"/>
      <c r="H380" s="137">
        <f t="shared" si="62"/>
        <v>0</v>
      </c>
      <c r="I380" s="137">
        <f t="shared" si="63"/>
        <v>0</v>
      </c>
      <c r="J380" s="137">
        <f>IF(F380&gt;VERİLER!$C$7,'İşçi Bilgileri'!M378+(F380-VERİLER!$C$7),0)</f>
        <v>0</v>
      </c>
      <c r="K380" s="137">
        <f>IF(VERİLER!$C$11&gt;0,ROUND(J380*0.15,2),0)</f>
        <v>0</v>
      </c>
      <c r="L380" s="359">
        <f t="shared" si="64"/>
        <v>0</v>
      </c>
      <c r="M380" s="139">
        <f t="shared" si="65"/>
        <v>0</v>
      </c>
      <c r="N380" s="137">
        <f t="shared" si="66"/>
        <v>0</v>
      </c>
      <c r="O380" s="359">
        <f t="shared" si="67"/>
        <v>0</v>
      </c>
      <c r="P380" s="140">
        <f t="shared" si="68"/>
        <v>0</v>
      </c>
      <c r="Q380" s="140">
        <v>0</v>
      </c>
      <c r="R380" s="137">
        <f t="shared" si="69"/>
        <v>0</v>
      </c>
      <c r="S380" s="141">
        <f t="shared" si="70"/>
        <v>0</v>
      </c>
      <c r="T380" s="137">
        <f t="shared" si="71"/>
        <v>0</v>
      </c>
      <c r="U380" s="137">
        <f>ROUND(VERİLER!$F$9*T380,3)</f>
        <v>0</v>
      </c>
      <c r="V380" s="336">
        <f t="shared" si="72"/>
        <v>0</v>
      </c>
      <c r="W380" s="113"/>
      <c r="X380" s="113"/>
      <c r="Y380" s="113"/>
    </row>
    <row r="381" spans="1:25" s="337" customFormat="1" ht="15" customHeight="1" x14ac:dyDescent="0.2">
      <c r="A381" s="299" t="str">
        <f>IF('İşçi Bilgileri'!A379="","",'İşçi Bilgileri'!A379)</f>
        <v/>
      </c>
      <c r="B381" s="300" t="str">
        <f>IF($A381="","",VLOOKUP($A381,'İşçi Bilgileri'!$A$2:$D$700,4,FALSE))</f>
        <v/>
      </c>
      <c r="C381" s="301" t="str">
        <f>CONCATENATE(IF($A381="","",VLOOKUP($A381,'İşçi Bilgileri'!$A$2:$D$700,2,FALSE))," ",IF($A381="","",VLOOKUP($A381,'İşçi Bilgileri'!$A$2:$D$700,3,FALSE)))</f>
        <v xml:space="preserve"> </v>
      </c>
      <c r="D381" s="137" t="str">
        <f>IF($A381="","",VERİLER!$C$5)</f>
        <v/>
      </c>
      <c r="E381" s="138" t="str">
        <f>IF($A381="","",Puantaj!AJ386)</f>
        <v/>
      </c>
      <c r="F381" s="137">
        <f t="shared" si="61"/>
        <v>0</v>
      </c>
      <c r="G381" s="137"/>
      <c r="H381" s="137">
        <f t="shared" si="62"/>
        <v>0</v>
      </c>
      <c r="I381" s="137">
        <f t="shared" si="63"/>
        <v>0</v>
      </c>
      <c r="J381" s="137">
        <f>IF(F381&gt;VERİLER!$C$7,'İşçi Bilgileri'!M379+(F381-VERİLER!$C$7),0)</f>
        <v>0</v>
      </c>
      <c r="K381" s="137">
        <f>IF(VERİLER!$C$11&gt;0,ROUND(J381*0.15,2),0)</f>
        <v>0</v>
      </c>
      <c r="L381" s="359">
        <f t="shared" si="64"/>
        <v>0</v>
      </c>
      <c r="M381" s="139">
        <f t="shared" si="65"/>
        <v>0</v>
      </c>
      <c r="N381" s="137">
        <f t="shared" si="66"/>
        <v>0</v>
      </c>
      <c r="O381" s="359">
        <f t="shared" si="67"/>
        <v>0</v>
      </c>
      <c r="P381" s="140">
        <f t="shared" si="68"/>
        <v>0</v>
      </c>
      <c r="Q381" s="140">
        <v>0</v>
      </c>
      <c r="R381" s="137">
        <f t="shared" si="69"/>
        <v>0</v>
      </c>
      <c r="S381" s="141">
        <f t="shared" si="70"/>
        <v>0</v>
      </c>
      <c r="T381" s="137">
        <f t="shared" si="71"/>
        <v>0</v>
      </c>
      <c r="U381" s="137">
        <f>ROUND(VERİLER!$F$9*T381,3)</f>
        <v>0</v>
      </c>
      <c r="V381" s="336">
        <f t="shared" si="72"/>
        <v>0</v>
      </c>
      <c r="W381" s="335"/>
      <c r="X381" s="335"/>
      <c r="Y381" s="335"/>
    </row>
    <row r="382" spans="1:25" s="337" customFormat="1" ht="15" customHeight="1" x14ac:dyDescent="0.2">
      <c r="A382" s="299" t="str">
        <f>IF('İşçi Bilgileri'!A380="","",'İşçi Bilgileri'!A380)</f>
        <v/>
      </c>
      <c r="B382" s="300" t="str">
        <f>IF($A382="","",VLOOKUP($A382,'İşçi Bilgileri'!$A$2:$D$700,4,FALSE))</f>
        <v/>
      </c>
      <c r="C382" s="301" t="str">
        <f>CONCATENATE(IF($A382="","",VLOOKUP($A382,'İşçi Bilgileri'!$A$2:$D$700,2,FALSE))," ",IF($A382="","",VLOOKUP($A382,'İşçi Bilgileri'!$A$2:$D$700,3,FALSE)))</f>
        <v xml:space="preserve"> </v>
      </c>
      <c r="D382" s="137" t="str">
        <f>IF($A382="","",VERİLER!$C$5)</f>
        <v/>
      </c>
      <c r="E382" s="138" t="str">
        <f>IF($A382="","",Puantaj!AJ387)</f>
        <v/>
      </c>
      <c r="F382" s="137">
        <f t="shared" si="61"/>
        <v>0</v>
      </c>
      <c r="G382" s="137"/>
      <c r="H382" s="137">
        <f t="shared" si="62"/>
        <v>0</v>
      </c>
      <c r="I382" s="137">
        <f t="shared" si="63"/>
        <v>0</v>
      </c>
      <c r="J382" s="137">
        <f>IF(F382&gt;VERİLER!$C$7,'İşçi Bilgileri'!M380+(F382-VERİLER!$C$7),0)</f>
        <v>0</v>
      </c>
      <c r="K382" s="137">
        <f>IF(VERİLER!$C$11&gt;0,ROUND(J382*0.15,2),0)</f>
        <v>0</v>
      </c>
      <c r="L382" s="359">
        <f t="shared" si="64"/>
        <v>0</v>
      </c>
      <c r="M382" s="139">
        <f t="shared" si="65"/>
        <v>0</v>
      </c>
      <c r="N382" s="137">
        <f t="shared" si="66"/>
        <v>0</v>
      </c>
      <c r="O382" s="359">
        <f t="shared" si="67"/>
        <v>0</v>
      </c>
      <c r="P382" s="140">
        <f t="shared" si="68"/>
        <v>0</v>
      </c>
      <c r="Q382" s="140">
        <v>0</v>
      </c>
      <c r="R382" s="137">
        <f t="shared" si="69"/>
        <v>0</v>
      </c>
      <c r="S382" s="141">
        <f t="shared" si="70"/>
        <v>0</v>
      </c>
      <c r="T382" s="137">
        <f t="shared" si="71"/>
        <v>0</v>
      </c>
      <c r="U382" s="137">
        <f>ROUND(VERİLER!$F$9*T382,3)</f>
        <v>0</v>
      </c>
      <c r="V382" s="336">
        <f t="shared" si="72"/>
        <v>0</v>
      </c>
      <c r="W382" s="335"/>
      <c r="X382" s="335"/>
      <c r="Y382" s="335"/>
    </row>
    <row r="383" spans="1:25" s="337" customFormat="1" ht="15" customHeight="1" x14ac:dyDescent="0.2">
      <c r="A383" s="299" t="str">
        <f>IF('İşçi Bilgileri'!A381="","",'İşçi Bilgileri'!A381)</f>
        <v/>
      </c>
      <c r="B383" s="300" t="str">
        <f>IF($A383="","",VLOOKUP($A383,'İşçi Bilgileri'!$A$2:$D$700,4,FALSE))</f>
        <v/>
      </c>
      <c r="C383" s="301" t="str">
        <f>CONCATENATE(IF($A383="","",VLOOKUP($A383,'İşçi Bilgileri'!$A$2:$D$700,2,FALSE))," ",IF($A383="","",VLOOKUP($A383,'İşçi Bilgileri'!$A$2:$D$700,3,FALSE)))</f>
        <v xml:space="preserve"> </v>
      </c>
      <c r="D383" s="137" t="str">
        <f>IF($A383="","",VERİLER!$C$5)</f>
        <v/>
      </c>
      <c r="E383" s="138" t="str">
        <f>IF($A383="","",Puantaj!AJ388)</f>
        <v/>
      </c>
      <c r="F383" s="137">
        <f t="shared" si="61"/>
        <v>0</v>
      </c>
      <c r="G383" s="137"/>
      <c r="H383" s="137">
        <f t="shared" si="62"/>
        <v>0</v>
      </c>
      <c r="I383" s="137">
        <f t="shared" si="63"/>
        <v>0</v>
      </c>
      <c r="J383" s="137">
        <f>IF(F383&gt;VERİLER!$C$7,'İşçi Bilgileri'!M381+(F383-VERİLER!$C$7),0)</f>
        <v>0</v>
      </c>
      <c r="K383" s="137">
        <f>IF(VERİLER!$C$11&gt;0,ROUND(J383*0.15,2),0)</f>
        <v>0</v>
      </c>
      <c r="L383" s="359">
        <f t="shared" si="64"/>
        <v>0</v>
      </c>
      <c r="M383" s="139">
        <f t="shared" si="65"/>
        <v>0</v>
      </c>
      <c r="N383" s="137">
        <f t="shared" si="66"/>
        <v>0</v>
      </c>
      <c r="O383" s="359">
        <f t="shared" si="67"/>
        <v>0</v>
      </c>
      <c r="P383" s="140">
        <f t="shared" si="68"/>
        <v>0</v>
      </c>
      <c r="Q383" s="140">
        <v>0</v>
      </c>
      <c r="R383" s="137">
        <f t="shared" si="69"/>
        <v>0</v>
      </c>
      <c r="S383" s="141">
        <f t="shared" si="70"/>
        <v>0</v>
      </c>
      <c r="T383" s="137">
        <f t="shared" si="71"/>
        <v>0</v>
      </c>
      <c r="U383" s="137">
        <f>ROUND(VERİLER!$F$9*T383,3)</f>
        <v>0</v>
      </c>
      <c r="V383" s="336">
        <f t="shared" si="72"/>
        <v>0</v>
      </c>
      <c r="W383" s="335"/>
      <c r="X383" s="335"/>
      <c r="Y383" s="335"/>
    </row>
    <row r="384" spans="1:25" s="337" customFormat="1" ht="15" customHeight="1" x14ac:dyDescent="0.2">
      <c r="A384" s="299" t="str">
        <f>IF('İşçi Bilgileri'!A382="","",'İşçi Bilgileri'!A382)</f>
        <v/>
      </c>
      <c r="B384" s="300" t="str">
        <f>IF($A384="","",VLOOKUP($A384,'İşçi Bilgileri'!$A$2:$D$700,4,FALSE))</f>
        <v/>
      </c>
      <c r="C384" s="301" t="str">
        <f>CONCATENATE(IF($A384="","",VLOOKUP($A384,'İşçi Bilgileri'!$A$2:$D$700,2,FALSE))," ",IF($A384="","",VLOOKUP($A384,'İşçi Bilgileri'!$A$2:$D$700,3,FALSE)))</f>
        <v xml:space="preserve"> </v>
      </c>
      <c r="D384" s="137" t="str">
        <f>IF($A384="","",VERİLER!$C$5)</f>
        <v/>
      </c>
      <c r="E384" s="138" t="str">
        <f>IF($A384="","",Puantaj!AJ389)</f>
        <v/>
      </c>
      <c r="F384" s="137">
        <f t="shared" si="61"/>
        <v>0</v>
      </c>
      <c r="G384" s="137"/>
      <c r="H384" s="137">
        <f t="shared" si="62"/>
        <v>0</v>
      </c>
      <c r="I384" s="137">
        <f t="shared" si="63"/>
        <v>0</v>
      </c>
      <c r="J384" s="137">
        <f>IF(F384&gt;VERİLER!$C$7,'İşçi Bilgileri'!M382+(F384-VERİLER!$C$7),0)</f>
        <v>0</v>
      </c>
      <c r="K384" s="137">
        <f>IF(VERİLER!$C$11&gt;0,ROUND(J384*0.15,2),0)</f>
        <v>0</v>
      </c>
      <c r="L384" s="359">
        <f t="shared" si="64"/>
        <v>0</v>
      </c>
      <c r="M384" s="139">
        <f t="shared" si="65"/>
        <v>0</v>
      </c>
      <c r="N384" s="137">
        <f t="shared" si="66"/>
        <v>0</v>
      </c>
      <c r="O384" s="359">
        <f t="shared" si="67"/>
        <v>0</v>
      </c>
      <c r="P384" s="140">
        <f t="shared" si="68"/>
        <v>0</v>
      </c>
      <c r="Q384" s="140">
        <v>0</v>
      </c>
      <c r="R384" s="137">
        <f t="shared" si="69"/>
        <v>0</v>
      </c>
      <c r="S384" s="141">
        <f t="shared" si="70"/>
        <v>0</v>
      </c>
      <c r="T384" s="137">
        <f t="shared" si="71"/>
        <v>0</v>
      </c>
      <c r="U384" s="137">
        <f>ROUND(VERİLER!$F$9*T384,3)</f>
        <v>0</v>
      </c>
      <c r="V384" s="336">
        <f t="shared" si="72"/>
        <v>0</v>
      </c>
      <c r="W384" s="335"/>
      <c r="X384" s="335"/>
      <c r="Y384" s="335"/>
    </row>
    <row r="385" spans="1:25" s="337" customFormat="1" ht="15" customHeight="1" x14ac:dyDescent="0.2">
      <c r="A385" s="299" t="str">
        <f>IF('İşçi Bilgileri'!A383="","",'İşçi Bilgileri'!A383)</f>
        <v/>
      </c>
      <c r="B385" s="300" t="str">
        <f>IF($A385="","",VLOOKUP($A385,'İşçi Bilgileri'!$A$2:$D$700,4,FALSE))</f>
        <v/>
      </c>
      <c r="C385" s="301" t="str">
        <f>CONCATENATE(IF($A385="","",VLOOKUP($A385,'İşçi Bilgileri'!$A$2:$D$700,2,FALSE))," ",IF($A385="","",VLOOKUP($A385,'İşçi Bilgileri'!$A$2:$D$700,3,FALSE)))</f>
        <v xml:space="preserve"> </v>
      </c>
      <c r="D385" s="137" t="str">
        <f>IF($A385="","",VERİLER!$C$5)</f>
        <v/>
      </c>
      <c r="E385" s="138" t="str">
        <f>IF($A385="","",Puantaj!AJ390)</f>
        <v/>
      </c>
      <c r="F385" s="137">
        <f t="shared" si="61"/>
        <v>0</v>
      </c>
      <c r="G385" s="137"/>
      <c r="H385" s="137">
        <f t="shared" si="62"/>
        <v>0</v>
      </c>
      <c r="I385" s="137">
        <f t="shared" si="63"/>
        <v>0</v>
      </c>
      <c r="J385" s="137">
        <f>IF(F385&gt;VERİLER!$C$7,'İşçi Bilgileri'!M383+(F385-VERİLER!$C$7),0)</f>
        <v>0</v>
      </c>
      <c r="K385" s="137">
        <f>IF(VERİLER!$C$11&gt;0,ROUND(J385*0.15,2),0)</f>
        <v>0</v>
      </c>
      <c r="L385" s="359">
        <f t="shared" si="64"/>
        <v>0</v>
      </c>
      <c r="M385" s="139">
        <f t="shared" si="65"/>
        <v>0</v>
      </c>
      <c r="N385" s="137">
        <f t="shared" si="66"/>
        <v>0</v>
      </c>
      <c r="O385" s="359">
        <f t="shared" si="67"/>
        <v>0</v>
      </c>
      <c r="P385" s="140">
        <f t="shared" si="68"/>
        <v>0</v>
      </c>
      <c r="Q385" s="140">
        <v>0</v>
      </c>
      <c r="R385" s="137">
        <f t="shared" si="69"/>
        <v>0</v>
      </c>
      <c r="S385" s="141">
        <f t="shared" si="70"/>
        <v>0</v>
      </c>
      <c r="T385" s="137">
        <f t="shared" si="71"/>
        <v>0</v>
      </c>
      <c r="U385" s="137">
        <f>ROUND(VERİLER!$F$9*T385,3)</f>
        <v>0</v>
      </c>
      <c r="V385" s="336">
        <f t="shared" si="72"/>
        <v>0</v>
      </c>
      <c r="W385" s="335"/>
      <c r="X385" s="335"/>
      <c r="Y385" s="335"/>
    </row>
    <row r="386" spans="1:25" s="337" customFormat="1" ht="15" customHeight="1" x14ac:dyDescent="0.2">
      <c r="A386" s="299" t="str">
        <f>IF('İşçi Bilgileri'!A384="","",'İşçi Bilgileri'!A384)</f>
        <v/>
      </c>
      <c r="B386" s="300" t="str">
        <f>IF($A386="","",VLOOKUP($A386,'İşçi Bilgileri'!$A$2:$D$700,4,FALSE))</f>
        <v/>
      </c>
      <c r="C386" s="301" t="str">
        <f>CONCATENATE(IF($A386="","",VLOOKUP($A386,'İşçi Bilgileri'!$A$2:$D$700,2,FALSE))," ",IF($A386="","",VLOOKUP($A386,'İşçi Bilgileri'!$A$2:$D$700,3,FALSE)))</f>
        <v xml:space="preserve"> </v>
      </c>
      <c r="D386" s="137" t="str">
        <f>IF($A386="","",VERİLER!$C$5)</f>
        <v/>
      </c>
      <c r="E386" s="138" t="str">
        <f>IF($A386="","",Puantaj!AJ391)</f>
        <v/>
      </c>
      <c r="F386" s="137">
        <f t="shared" si="61"/>
        <v>0</v>
      </c>
      <c r="G386" s="137"/>
      <c r="H386" s="137">
        <f t="shared" si="62"/>
        <v>0</v>
      </c>
      <c r="I386" s="137">
        <f t="shared" si="63"/>
        <v>0</v>
      </c>
      <c r="J386" s="137">
        <f>IF(F386&gt;VERİLER!$C$7,'İşçi Bilgileri'!M384+(F386-VERİLER!$C$7),0)</f>
        <v>0</v>
      </c>
      <c r="K386" s="137">
        <f>IF(VERİLER!$C$11&gt;0,ROUND(J386*0.15,2),0)</f>
        <v>0</v>
      </c>
      <c r="L386" s="359">
        <f t="shared" si="64"/>
        <v>0</v>
      </c>
      <c r="M386" s="139">
        <f t="shared" si="65"/>
        <v>0</v>
      </c>
      <c r="N386" s="137">
        <f t="shared" si="66"/>
        <v>0</v>
      </c>
      <c r="O386" s="359">
        <f t="shared" si="67"/>
        <v>0</v>
      </c>
      <c r="P386" s="140">
        <f t="shared" si="68"/>
        <v>0</v>
      </c>
      <c r="Q386" s="140">
        <v>0</v>
      </c>
      <c r="R386" s="137">
        <f t="shared" si="69"/>
        <v>0</v>
      </c>
      <c r="S386" s="141">
        <f t="shared" si="70"/>
        <v>0</v>
      </c>
      <c r="T386" s="137">
        <f t="shared" si="71"/>
        <v>0</v>
      </c>
      <c r="U386" s="137">
        <f>ROUND(VERİLER!$F$9*T386,3)</f>
        <v>0</v>
      </c>
      <c r="V386" s="336">
        <f t="shared" si="72"/>
        <v>0</v>
      </c>
      <c r="W386" s="335"/>
      <c r="X386" s="335"/>
      <c r="Y386" s="335"/>
    </row>
    <row r="387" spans="1:25" s="337" customFormat="1" ht="15" customHeight="1" x14ac:dyDescent="0.2">
      <c r="A387" s="299" t="str">
        <f>IF('İşçi Bilgileri'!A385="","",'İşçi Bilgileri'!A385)</f>
        <v/>
      </c>
      <c r="B387" s="300" t="str">
        <f>IF($A387="","",VLOOKUP($A387,'İşçi Bilgileri'!$A$2:$D$700,4,FALSE))</f>
        <v/>
      </c>
      <c r="C387" s="301" t="str">
        <f>CONCATENATE(IF($A387="","",VLOOKUP($A387,'İşçi Bilgileri'!$A$2:$D$700,2,FALSE))," ",IF($A387="","",VLOOKUP($A387,'İşçi Bilgileri'!$A$2:$D$700,3,FALSE)))</f>
        <v xml:space="preserve"> </v>
      </c>
      <c r="D387" s="137" t="str">
        <f>IF($A387="","",VERİLER!$C$5)</f>
        <v/>
      </c>
      <c r="E387" s="138" t="str">
        <f>IF($A387="","",Puantaj!AJ392)</f>
        <v/>
      </c>
      <c r="F387" s="137">
        <f t="shared" si="61"/>
        <v>0</v>
      </c>
      <c r="G387" s="137"/>
      <c r="H387" s="137">
        <f t="shared" si="62"/>
        <v>0</v>
      </c>
      <c r="I387" s="137">
        <f t="shared" si="63"/>
        <v>0</v>
      </c>
      <c r="J387" s="137">
        <f>IF(F387&gt;VERİLER!$C$7,'İşçi Bilgileri'!M385+(F387-VERİLER!$C$7),0)</f>
        <v>0</v>
      </c>
      <c r="K387" s="137">
        <f>IF(VERİLER!$C$11&gt;0,ROUND(J387*0.15,2),0)</f>
        <v>0</v>
      </c>
      <c r="L387" s="359">
        <f t="shared" si="64"/>
        <v>0</v>
      </c>
      <c r="M387" s="139">
        <f t="shared" si="65"/>
        <v>0</v>
      </c>
      <c r="N387" s="137">
        <f t="shared" si="66"/>
        <v>0</v>
      </c>
      <c r="O387" s="359">
        <f t="shared" si="67"/>
        <v>0</v>
      </c>
      <c r="P387" s="140">
        <f t="shared" si="68"/>
        <v>0</v>
      </c>
      <c r="Q387" s="140">
        <v>0</v>
      </c>
      <c r="R387" s="137">
        <f t="shared" si="69"/>
        <v>0</v>
      </c>
      <c r="S387" s="141">
        <f t="shared" si="70"/>
        <v>0</v>
      </c>
      <c r="T387" s="137">
        <f t="shared" si="71"/>
        <v>0</v>
      </c>
      <c r="U387" s="137">
        <f>ROUND(VERİLER!$F$9*T387,3)</f>
        <v>0</v>
      </c>
      <c r="V387" s="336">
        <f t="shared" si="72"/>
        <v>0</v>
      </c>
      <c r="W387" s="335"/>
      <c r="X387" s="335"/>
      <c r="Y387" s="335"/>
    </row>
    <row r="388" spans="1:25" s="337" customFormat="1" ht="15" customHeight="1" x14ac:dyDescent="0.2">
      <c r="A388" s="299" t="str">
        <f>IF('İşçi Bilgileri'!A386="","",'İşçi Bilgileri'!A386)</f>
        <v/>
      </c>
      <c r="B388" s="300" t="str">
        <f>IF($A388="","",VLOOKUP($A388,'İşçi Bilgileri'!$A$2:$D$700,4,FALSE))</f>
        <v/>
      </c>
      <c r="C388" s="301" t="str">
        <f>CONCATENATE(IF($A388="","",VLOOKUP($A388,'İşçi Bilgileri'!$A$2:$D$700,2,FALSE))," ",IF($A388="","",VLOOKUP($A388,'İşçi Bilgileri'!$A$2:$D$700,3,FALSE)))</f>
        <v xml:space="preserve"> </v>
      </c>
      <c r="D388" s="137" t="str">
        <f>IF($A388="","",VERİLER!$C$5)</f>
        <v/>
      </c>
      <c r="E388" s="138" t="str">
        <f>IF($A388="","",Puantaj!AJ393)</f>
        <v/>
      </c>
      <c r="F388" s="137">
        <f t="shared" si="61"/>
        <v>0</v>
      </c>
      <c r="G388" s="137"/>
      <c r="H388" s="137">
        <f t="shared" si="62"/>
        <v>0</v>
      </c>
      <c r="I388" s="137">
        <f t="shared" si="63"/>
        <v>0</v>
      </c>
      <c r="J388" s="137">
        <f>IF(F388&gt;VERİLER!$C$7,'İşçi Bilgileri'!M386+(F388-VERİLER!$C$7),0)</f>
        <v>0</v>
      </c>
      <c r="K388" s="137">
        <f>IF(VERİLER!$C$11&gt;0,ROUND(J388*0.15,2),0)</f>
        <v>0</v>
      </c>
      <c r="L388" s="359">
        <f t="shared" si="64"/>
        <v>0</v>
      </c>
      <c r="M388" s="139">
        <f t="shared" si="65"/>
        <v>0</v>
      </c>
      <c r="N388" s="137">
        <f t="shared" si="66"/>
        <v>0</v>
      </c>
      <c r="O388" s="359">
        <f t="shared" si="67"/>
        <v>0</v>
      </c>
      <c r="P388" s="140">
        <f t="shared" si="68"/>
        <v>0</v>
      </c>
      <c r="Q388" s="140">
        <v>0</v>
      </c>
      <c r="R388" s="137">
        <f t="shared" si="69"/>
        <v>0</v>
      </c>
      <c r="S388" s="141">
        <f t="shared" si="70"/>
        <v>0</v>
      </c>
      <c r="T388" s="137">
        <f t="shared" si="71"/>
        <v>0</v>
      </c>
      <c r="U388" s="137">
        <f>ROUND(VERİLER!$F$9*T388,3)</f>
        <v>0</v>
      </c>
      <c r="V388" s="336">
        <f t="shared" si="72"/>
        <v>0</v>
      </c>
      <c r="W388" s="335"/>
      <c r="X388" s="335"/>
      <c r="Y388" s="335"/>
    </row>
    <row r="389" spans="1:25" s="337" customFormat="1" ht="15" customHeight="1" x14ac:dyDescent="0.2">
      <c r="A389" s="299" t="str">
        <f>IF('İşçi Bilgileri'!A387="","",'İşçi Bilgileri'!A387)</f>
        <v/>
      </c>
      <c r="B389" s="300" t="str">
        <f>IF($A389="","",VLOOKUP($A389,'İşçi Bilgileri'!$A$2:$D$700,4,FALSE))</f>
        <v/>
      </c>
      <c r="C389" s="301" t="str">
        <f>CONCATENATE(IF($A389="","",VLOOKUP($A389,'İşçi Bilgileri'!$A$2:$D$700,2,FALSE))," ",IF($A389="","",VLOOKUP($A389,'İşçi Bilgileri'!$A$2:$D$700,3,FALSE)))</f>
        <v xml:space="preserve"> </v>
      </c>
      <c r="D389" s="137" t="str">
        <f>IF($A389="","",VERİLER!$C$5)</f>
        <v/>
      </c>
      <c r="E389" s="138" t="str">
        <f>IF($A389="","",Puantaj!AJ394)</f>
        <v/>
      </c>
      <c r="F389" s="137">
        <f t="shared" ref="F389:F452" si="73">IFERROR(ROUND(D389*E389,2),0)</f>
        <v>0</v>
      </c>
      <c r="G389" s="137"/>
      <c r="H389" s="137">
        <f t="shared" ref="H389:H452" si="74">ROUND(T389*0.045,3)</f>
        <v>0</v>
      </c>
      <c r="I389" s="137">
        <f t="shared" ref="I389:I452" si="75">ROUND(F389*0.01,2)</f>
        <v>0</v>
      </c>
      <c r="J389" s="137">
        <f>IF(F389&gt;VERİLER!$C$7,'İşçi Bilgileri'!M387+(F389-VERİLER!$C$7),0)</f>
        <v>0</v>
      </c>
      <c r="K389" s="137">
        <f>IF(VERİLER!$C$11&gt;0,ROUND(J389*0.15,2),0)</f>
        <v>0</v>
      </c>
      <c r="L389" s="359">
        <f t="shared" ref="L389:L452" si="76">K389</f>
        <v>0</v>
      </c>
      <c r="M389" s="139">
        <f t="shared" ref="M389:M452" si="77">K389-L389</f>
        <v>0</v>
      </c>
      <c r="N389" s="137">
        <f t="shared" ref="N389:N452" si="78">F389*0.00759</f>
        <v>0</v>
      </c>
      <c r="O389" s="359">
        <f t="shared" ref="O389:O452" si="79">N389</f>
        <v>0</v>
      </c>
      <c r="P389" s="140">
        <f t="shared" ref="P389:P452" si="80">N389-O389</f>
        <v>0</v>
      </c>
      <c r="Q389" s="140">
        <v>0</v>
      </c>
      <c r="R389" s="137">
        <f t="shared" ref="R389:R452" si="81">ROUND(H389+I389,2)</f>
        <v>0</v>
      </c>
      <c r="S389" s="141">
        <f t="shared" ref="S389:S452" si="82">ROUND(F389,3)</f>
        <v>0</v>
      </c>
      <c r="T389" s="137">
        <f t="shared" ref="T389:T452" si="83">F389</f>
        <v>0</v>
      </c>
      <c r="U389" s="137">
        <f>ROUND(VERİLER!$F$9*T389,3)</f>
        <v>0</v>
      </c>
      <c r="V389" s="336">
        <f t="shared" ref="V389:V452" si="84">T389+U389+H389+I389</f>
        <v>0</v>
      </c>
      <c r="W389" s="335"/>
      <c r="X389" s="335"/>
      <c r="Y389" s="335"/>
    </row>
    <row r="390" spans="1:25" s="337" customFormat="1" ht="15" customHeight="1" x14ac:dyDescent="0.2">
      <c r="A390" s="299" t="str">
        <f>IF('İşçi Bilgileri'!A388="","",'İşçi Bilgileri'!A388)</f>
        <v/>
      </c>
      <c r="B390" s="300" t="str">
        <f>IF($A390="","",VLOOKUP($A390,'İşçi Bilgileri'!$A$2:$D$700,4,FALSE))</f>
        <v/>
      </c>
      <c r="C390" s="301" t="str">
        <f>CONCATENATE(IF($A390="","",VLOOKUP($A390,'İşçi Bilgileri'!$A$2:$D$700,2,FALSE))," ",IF($A390="","",VLOOKUP($A390,'İşçi Bilgileri'!$A$2:$D$700,3,FALSE)))</f>
        <v xml:space="preserve"> </v>
      </c>
      <c r="D390" s="137" t="str">
        <f>IF($A390="","",VERİLER!$C$5)</f>
        <v/>
      </c>
      <c r="E390" s="138" t="str">
        <f>IF($A390="","",Puantaj!AJ395)</f>
        <v/>
      </c>
      <c r="F390" s="137">
        <f t="shared" si="73"/>
        <v>0</v>
      </c>
      <c r="G390" s="137"/>
      <c r="H390" s="137">
        <f t="shared" si="74"/>
        <v>0</v>
      </c>
      <c r="I390" s="137">
        <f t="shared" si="75"/>
        <v>0</v>
      </c>
      <c r="J390" s="137">
        <f>IF(F390&gt;VERİLER!$C$7,'İşçi Bilgileri'!M388+(F390-VERİLER!$C$7),0)</f>
        <v>0</v>
      </c>
      <c r="K390" s="137">
        <f>IF(VERİLER!$C$11&gt;0,ROUND(J390*0.15,2),0)</f>
        <v>0</v>
      </c>
      <c r="L390" s="359">
        <f t="shared" si="76"/>
        <v>0</v>
      </c>
      <c r="M390" s="139">
        <f t="shared" si="77"/>
        <v>0</v>
      </c>
      <c r="N390" s="137">
        <f t="shared" si="78"/>
        <v>0</v>
      </c>
      <c r="O390" s="359">
        <f t="shared" si="79"/>
        <v>0</v>
      </c>
      <c r="P390" s="140">
        <f t="shared" si="80"/>
        <v>0</v>
      </c>
      <c r="Q390" s="140">
        <v>0</v>
      </c>
      <c r="R390" s="137">
        <f t="shared" si="81"/>
        <v>0</v>
      </c>
      <c r="S390" s="141">
        <f t="shared" si="82"/>
        <v>0</v>
      </c>
      <c r="T390" s="137">
        <f t="shared" si="83"/>
        <v>0</v>
      </c>
      <c r="U390" s="137">
        <f>ROUND(VERİLER!$F$9*T390,3)</f>
        <v>0</v>
      </c>
      <c r="V390" s="336">
        <f t="shared" si="84"/>
        <v>0</v>
      </c>
      <c r="W390" s="335"/>
      <c r="X390" s="335"/>
      <c r="Y390" s="335"/>
    </row>
    <row r="391" spans="1:25" s="337" customFormat="1" ht="15" customHeight="1" x14ac:dyDescent="0.2">
      <c r="A391" s="299" t="str">
        <f>IF('İşçi Bilgileri'!A389="","",'İşçi Bilgileri'!A389)</f>
        <v/>
      </c>
      <c r="B391" s="300" t="str">
        <f>IF($A391="","",VLOOKUP($A391,'İşçi Bilgileri'!$A$2:$D$700,4,FALSE))</f>
        <v/>
      </c>
      <c r="C391" s="301" t="str">
        <f>CONCATENATE(IF($A391="","",VLOOKUP($A391,'İşçi Bilgileri'!$A$2:$D$700,2,FALSE))," ",IF($A391="","",VLOOKUP($A391,'İşçi Bilgileri'!$A$2:$D$700,3,FALSE)))</f>
        <v xml:space="preserve"> </v>
      </c>
      <c r="D391" s="137" t="str">
        <f>IF($A391="","",VERİLER!$C$5)</f>
        <v/>
      </c>
      <c r="E391" s="138" t="str">
        <f>IF($A391="","",Puantaj!AJ396)</f>
        <v/>
      </c>
      <c r="F391" s="137">
        <f t="shared" si="73"/>
        <v>0</v>
      </c>
      <c r="G391" s="137"/>
      <c r="H391" s="137">
        <f t="shared" si="74"/>
        <v>0</v>
      </c>
      <c r="I391" s="137">
        <f t="shared" si="75"/>
        <v>0</v>
      </c>
      <c r="J391" s="137">
        <f>IF(F391&gt;VERİLER!$C$7,'İşçi Bilgileri'!M389+(F391-VERİLER!$C$7),0)</f>
        <v>0</v>
      </c>
      <c r="K391" s="137">
        <f>IF(VERİLER!$C$11&gt;0,ROUND(J391*0.15,2),0)</f>
        <v>0</v>
      </c>
      <c r="L391" s="359">
        <f t="shared" si="76"/>
        <v>0</v>
      </c>
      <c r="M391" s="139">
        <f t="shared" si="77"/>
        <v>0</v>
      </c>
      <c r="N391" s="137">
        <f t="shared" si="78"/>
        <v>0</v>
      </c>
      <c r="O391" s="359">
        <f t="shared" si="79"/>
        <v>0</v>
      </c>
      <c r="P391" s="140">
        <f t="shared" si="80"/>
        <v>0</v>
      </c>
      <c r="Q391" s="140">
        <v>0</v>
      </c>
      <c r="R391" s="137">
        <f t="shared" si="81"/>
        <v>0</v>
      </c>
      <c r="S391" s="141">
        <f t="shared" si="82"/>
        <v>0</v>
      </c>
      <c r="T391" s="137">
        <f t="shared" si="83"/>
        <v>0</v>
      </c>
      <c r="U391" s="137">
        <f>ROUND(VERİLER!$F$9*T391,3)</f>
        <v>0</v>
      </c>
      <c r="V391" s="336">
        <f t="shared" si="84"/>
        <v>0</v>
      </c>
      <c r="W391" s="335"/>
      <c r="X391" s="335"/>
      <c r="Y391" s="335"/>
    </row>
    <row r="392" spans="1:25" s="337" customFormat="1" ht="15" customHeight="1" x14ac:dyDescent="0.2">
      <c r="A392" s="299" t="str">
        <f>IF('İşçi Bilgileri'!A390="","",'İşçi Bilgileri'!A390)</f>
        <v/>
      </c>
      <c r="B392" s="300" t="str">
        <f>IF($A392="","",VLOOKUP($A392,'İşçi Bilgileri'!$A$2:$D$700,4,FALSE))</f>
        <v/>
      </c>
      <c r="C392" s="301" t="str">
        <f>CONCATENATE(IF($A392="","",VLOOKUP($A392,'İşçi Bilgileri'!$A$2:$D$700,2,FALSE))," ",IF($A392="","",VLOOKUP($A392,'İşçi Bilgileri'!$A$2:$D$700,3,FALSE)))</f>
        <v xml:space="preserve"> </v>
      </c>
      <c r="D392" s="137" t="str">
        <f>IF($A392="","",VERİLER!$C$5)</f>
        <v/>
      </c>
      <c r="E392" s="138" t="str">
        <f>IF($A392="","",Puantaj!AJ397)</f>
        <v/>
      </c>
      <c r="F392" s="137">
        <f t="shared" si="73"/>
        <v>0</v>
      </c>
      <c r="G392" s="137"/>
      <c r="H392" s="137">
        <f t="shared" si="74"/>
        <v>0</v>
      </c>
      <c r="I392" s="137">
        <f t="shared" si="75"/>
        <v>0</v>
      </c>
      <c r="J392" s="137">
        <f>IF(F392&gt;VERİLER!$C$7,'İşçi Bilgileri'!M390+(F392-VERİLER!$C$7),0)</f>
        <v>0</v>
      </c>
      <c r="K392" s="137">
        <f>IF(VERİLER!$C$11&gt;0,ROUND(J392*0.15,2),0)</f>
        <v>0</v>
      </c>
      <c r="L392" s="359">
        <f t="shared" si="76"/>
        <v>0</v>
      </c>
      <c r="M392" s="139">
        <f t="shared" si="77"/>
        <v>0</v>
      </c>
      <c r="N392" s="137">
        <f t="shared" si="78"/>
        <v>0</v>
      </c>
      <c r="O392" s="359">
        <f t="shared" si="79"/>
        <v>0</v>
      </c>
      <c r="P392" s="140">
        <f t="shared" si="80"/>
        <v>0</v>
      </c>
      <c r="Q392" s="140">
        <v>0</v>
      </c>
      <c r="R392" s="137">
        <f t="shared" si="81"/>
        <v>0</v>
      </c>
      <c r="S392" s="141">
        <f t="shared" si="82"/>
        <v>0</v>
      </c>
      <c r="T392" s="137">
        <f t="shared" si="83"/>
        <v>0</v>
      </c>
      <c r="U392" s="137">
        <f>ROUND(VERİLER!$F$9*T392,3)</f>
        <v>0</v>
      </c>
      <c r="V392" s="336">
        <f t="shared" si="84"/>
        <v>0</v>
      </c>
      <c r="W392" s="335"/>
      <c r="X392" s="335"/>
      <c r="Y392" s="335"/>
    </row>
    <row r="393" spans="1:25" s="337" customFormat="1" ht="15" customHeight="1" x14ac:dyDescent="0.2">
      <c r="A393" s="299" t="str">
        <f>IF('İşçi Bilgileri'!A391="","",'İşçi Bilgileri'!A391)</f>
        <v/>
      </c>
      <c r="B393" s="300" t="str">
        <f>IF($A393="","",VLOOKUP($A393,'İşçi Bilgileri'!$A$2:$D$700,4,FALSE))</f>
        <v/>
      </c>
      <c r="C393" s="301" t="str">
        <f>CONCATENATE(IF($A393="","",VLOOKUP($A393,'İşçi Bilgileri'!$A$2:$D$700,2,FALSE))," ",IF($A393="","",VLOOKUP($A393,'İşçi Bilgileri'!$A$2:$D$700,3,FALSE)))</f>
        <v xml:space="preserve"> </v>
      </c>
      <c r="D393" s="137" t="str">
        <f>IF($A393="","",VERİLER!$C$5)</f>
        <v/>
      </c>
      <c r="E393" s="138" t="str">
        <f>IF($A393="","",Puantaj!AJ398)</f>
        <v/>
      </c>
      <c r="F393" s="137">
        <f t="shared" si="73"/>
        <v>0</v>
      </c>
      <c r="G393" s="137"/>
      <c r="H393" s="137">
        <f t="shared" si="74"/>
        <v>0</v>
      </c>
      <c r="I393" s="137">
        <f t="shared" si="75"/>
        <v>0</v>
      </c>
      <c r="J393" s="137">
        <f>IF(F393&gt;VERİLER!$C$7,'İşçi Bilgileri'!M391+(F393-VERİLER!$C$7),0)</f>
        <v>0</v>
      </c>
      <c r="K393" s="137">
        <f>IF(VERİLER!$C$11&gt;0,ROUND(J393*0.15,2),0)</f>
        <v>0</v>
      </c>
      <c r="L393" s="359">
        <f t="shared" si="76"/>
        <v>0</v>
      </c>
      <c r="M393" s="139">
        <f t="shared" si="77"/>
        <v>0</v>
      </c>
      <c r="N393" s="137">
        <f t="shared" si="78"/>
        <v>0</v>
      </c>
      <c r="O393" s="359">
        <f t="shared" si="79"/>
        <v>0</v>
      </c>
      <c r="P393" s="140">
        <f t="shared" si="80"/>
        <v>0</v>
      </c>
      <c r="Q393" s="140">
        <v>0</v>
      </c>
      <c r="R393" s="137">
        <f t="shared" si="81"/>
        <v>0</v>
      </c>
      <c r="S393" s="141">
        <f t="shared" si="82"/>
        <v>0</v>
      </c>
      <c r="T393" s="137">
        <f t="shared" si="83"/>
        <v>0</v>
      </c>
      <c r="U393" s="137">
        <f>ROUND(VERİLER!$F$9*T393,3)</f>
        <v>0</v>
      </c>
      <c r="V393" s="336">
        <f t="shared" si="84"/>
        <v>0</v>
      </c>
      <c r="W393" s="335"/>
      <c r="X393" s="335"/>
      <c r="Y393" s="335"/>
    </row>
    <row r="394" spans="1:25" s="337" customFormat="1" ht="15" customHeight="1" x14ac:dyDescent="0.2">
      <c r="A394" s="299" t="str">
        <f>IF('İşçi Bilgileri'!A392="","",'İşçi Bilgileri'!A392)</f>
        <v/>
      </c>
      <c r="B394" s="300" t="str">
        <f>IF($A394="","",VLOOKUP($A394,'İşçi Bilgileri'!$A$2:$D$700,4,FALSE))</f>
        <v/>
      </c>
      <c r="C394" s="301" t="str">
        <f>CONCATENATE(IF($A394="","",VLOOKUP($A394,'İşçi Bilgileri'!$A$2:$D$700,2,FALSE))," ",IF($A394="","",VLOOKUP($A394,'İşçi Bilgileri'!$A$2:$D$700,3,FALSE)))</f>
        <v xml:space="preserve"> </v>
      </c>
      <c r="D394" s="137" t="str">
        <f>IF($A394="","",VERİLER!$C$5)</f>
        <v/>
      </c>
      <c r="E394" s="138" t="str">
        <f>IF($A394="","",Puantaj!AJ399)</f>
        <v/>
      </c>
      <c r="F394" s="137">
        <f t="shared" si="73"/>
        <v>0</v>
      </c>
      <c r="G394" s="137"/>
      <c r="H394" s="137">
        <f t="shared" si="74"/>
        <v>0</v>
      </c>
      <c r="I394" s="137">
        <f t="shared" si="75"/>
        <v>0</v>
      </c>
      <c r="J394" s="137">
        <f>IF(F394&gt;VERİLER!$C$7,'İşçi Bilgileri'!M392+(F394-VERİLER!$C$7),0)</f>
        <v>0</v>
      </c>
      <c r="K394" s="137">
        <f>IF(VERİLER!$C$11&gt;0,ROUND(J394*0.15,2),0)</f>
        <v>0</v>
      </c>
      <c r="L394" s="359">
        <f t="shared" si="76"/>
        <v>0</v>
      </c>
      <c r="M394" s="139">
        <f t="shared" si="77"/>
        <v>0</v>
      </c>
      <c r="N394" s="137">
        <f t="shared" si="78"/>
        <v>0</v>
      </c>
      <c r="O394" s="359">
        <f t="shared" si="79"/>
        <v>0</v>
      </c>
      <c r="P394" s="140">
        <f t="shared" si="80"/>
        <v>0</v>
      </c>
      <c r="Q394" s="140">
        <v>0</v>
      </c>
      <c r="R394" s="137">
        <f t="shared" si="81"/>
        <v>0</v>
      </c>
      <c r="S394" s="141">
        <f t="shared" si="82"/>
        <v>0</v>
      </c>
      <c r="T394" s="137">
        <f t="shared" si="83"/>
        <v>0</v>
      </c>
      <c r="U394" s="137">
        <f>ROUND(VERİLER!$F$9*T394,3)</f>
        <v>0</v>
      </c>
      <c r="V394" s="336">
        <f t="shared" si="84"/>
        <v>0</v>
      </c>
      <c r="W394" s="335"/>
      <c r="X394" s="335"/>
      <c r="Y394" s="335"/>
    </row>
    <row r="395" spans="1:25" s="337" customFormat="1" ht="15" customHeight="1" x14ac:dyDescent="0.2">
      <c r="A395" s="299" t="str">
        <f>IF('İşçi Bilgileri'!A393="","",'İşçi Bilgileri'!A393)</f>
        <v/>
      </c>
      <c r="B395" s="300" t="str">
        <f>IF($A395="","",VLOOKUP($A395,'İşçi Bilgileri'!$A$2:$D$700,4,FALSE))</f>
        <v/>
      </c>
      <c r="C395" s="301" t="str">
        <f>CONCATENATE(IF($A395="","",VLOOKUP($A395,'İşçi Bilgileri'!$A$2:$D$700,2,FALSE))," ",IF($A395="","",VLOOKUP($A395,'İşçi Bilgileri'!$A$2:$D$700,3,FALSE)))</f>
        <v xml:space="preserve"> </v>
      </c>
      <c r="D395" s="137" t="str">
        <f>IF($A395="","",VERİLER!$C$5)</f>
        <v/>
      </c>
      <c r="E395" s="138" t="str">
        <f>IF($A395="","",Puantaj!AJ400)</f>
        <v/>
      </c>
      <c r="F395" s="137">
        <f t="shared" si="73"/>
        <v>0</v>
      </c>
      <c r="G395" s="137"/>
      <c r="H395" s="137">
        <f t="shared" si="74"/>
        <v>0</v>
      </c>
      <c r="I395" s="137">
        <f t="shared" si="75"/>
        <v>0</v>
      </c>
      <c r="J395" s="137">
        <f>IF(F395&gt;VERİLER!$C$7,'İşçi Bilgileri'!M393+(F395-VERİLER!$C$7),0)</f>
        <v>0</v>
      </c>
      <c r="K395" s="137">
        <f>IF(VERİLER!$C$11&gt;0,ROUND(J395*0.15,2),0)</f>
        <v>0</v>
      </c>
      <c r="L395" s="359">
        <f t="shared" si="76"/>
        <v>0</v>
      </c>
      <c r="M395" s="139">
        <f t="shared" si="77"/>
        <v>0</v>
      </c>
      <c r="N395" s="137">
        <f t="shared" si="78"/>
        <v>0</v>
      </c>
      <c r="O395" s="359">
        <f t="shared" si="79"/>
        <v>0</v>
      </c>
      <c r="P395" s="140">
        <f t="shared" si="80"/>
        <v>0</v>
      </c>
      <c r="Q395" s="140">
        <v>0</v>
      </c>
      <c r="R395" s="137">
        <f t="shared" si="81"/>
        <v>0</v>
      </c>
      <c r="S395" s="141">
        <f t="shared" si="82"/>
        <v>0</v>
      </c>
      <c r="T395" s="137">
        <f t="shared" si="83"/>
        <v>0</v>
      </c>
      <c r="U395" s="137">
        <f>ROUND(VERİLER!$F$9*T395,3)</f>
        <v>0</v>
      </c>
      <c r="V395" s="336">
        <f t="shared" si="84"/>
        <v>0</v>
      </c>
      <c r="W395" s="335"/>
      <c r="X395" s="335"/>
      <c r="Y395" s="335"/>
    </row>
    <row r="396" spans="1:25" s="337" customFormat="1" ht="15" customHeight="1" x14ac:dyDescent="0.2">
      <c r="A396" s="299" t="str">
        <f>IF('İşçi Bilgileri'!A394="","",'İşçi Bilgileri'!A394)</f>
        <v/>
      </c>
      <c r="B396" s="300" t="str">
        <f>IF($A396="","",VLOOKUP($A396,'İşçi Bilgileri'!$A$2:$D$700,4,FALSE))</f>
        <v/>
      </c>
      <c r="C396" s="301" t="str">
        <f>CONCATENATE(IF($A396="","",VLOOKUP($A396,'İşçi Bilgileri'!$A$2:$D$700,2,FALSE))," ",IF($A396="","",VLOOKUP($A396,'İşçi Bilgileri'!$A$2:$D$700,3,FALSE)))</f>
        <v xml:space="preserve"> </v>
      </c>
      <c r="D396" s="137" t="str">
        <f>IF($A396="","",VERİLER!$C$5)</f>
        <v/>
      </c>
      <c r="E396" s="138" t="str">
        <f>IF($A396="","",Puantaj!AJ401)</f>
        <v/>
      </c>
      <c r="F396" s="137">
        <f t="shared" si="73"/>
        <v>0</v>
      </c>
      <c r="G396" s="137"/>
      <c r="H396" s="137">
        <f t="shared" si="74"/>
        <v>0</v>
      </c>
      <c r="I396" s="137">
        <f t="shared" si="75"/>
        <v>0</v>
      </c>
      <c r="J396" s="137">
        <f>IF(F396&gt;VERİLER!$C$7,'İşçi Bilgileri'!M394+(F396-VERİLER!$C$7),0)</f>
        <v>0</v>
      </c>
      <c r="K396" s="137">
        <f>IF(VERİLER!$C$11&gt;0,ROUND(J396*0.15,2),0)</f>
        <v>0</v>
      </c>
      <c r="L396" s="359">
        <f t="shared" si="76"/>
        <v>0</v>
      </c>
      <c r="M396" s="139">
        <f t="shared" si="77"/>
        <v>0</v>
      </c>
      <c r="N396" s="137">
        <f t="shared" si="78"/>
        <v>0</v>
      </c>
      <c r="O396" s="359">
        <f t="shared" si="79"/>
        <v>0</v>
      </c>
      <c r="P396" s="140">
        <f t="shared" si="80"/>
        <v>0</v>
      </c>
      <c r="Q396" s="140">
        <v>0</v>
      </c>
      <c r="R396" s="137">
        <f t="shared" si="81"/>
        <v>0</v>
      </c>
      <c r="S396" s="141">
        <f t="shared" si="82"/>
        <v>0</v>
      </c>
      <c r="T396" s="137">
        <f t="shared" si="83"/>
        <v>0</v>
      </c>
      <c r="U396" s="137">
        <f>ROUND(VERİLER!$F$9*T396,3)</f>
        <v>0</v>
      </c>
      <c r="V396" s="336">
        <f t="shared" si="84"/>
        <v>0</v>
      </c>
      <c r="W396" s="335"/>
      <c r="X396" s="335"/>
      <c r="Y396" s="335"/>
    </row>
    <row r="397" spans="1:25" s="337" customFormat="1" ht="15" customHeight="1" x14ac:dyDescent="0.2">
      <c r="A397" s="299" t="str">
        <f>IF('İşçi Bilgileri'!A395="","",'İşçi Bilgileri'!A395)</f>
        <v/>
      </c>
      <c r="B397" s="300" t="str">
        <f>IF($A397="","",VLOOKUP($A397,'İşçi Bilgileri'!$A$2:$D$700,4,FALSE))</f>
        <v/>
      </c>
      <c r="C397" s="301" t="str">
        <f>CONCATENATE(IF($A397="","",VLOOKUP($A397,'İşçi Bilgileri'!$A$2:$D$700,2,FALSE))," ",IF($A397="","",VLOOKUP($A397,'İşçi Bilgileri'!$A$2:$D$700,3,FALSE)))</f>
        <v xml:space="preserve"> </v>
      </c>
      <c r="D397" s="137" t="str">
        <f>IF($A397="","",VERİLER!$C$5)</f>
        <v/>
      </c>
      <c r="E397" s="138" t="str">
        <f>IF($A397="","",Puantaj!AJ402)</f>
        <v/>
      </c>
      <c r="F397" s="137">
        <f t="shared" si="73"/>
        <v>0</v>
      </c>
      <c r="G397" s="137"/>
      <c r="H397" s="137">
        <f t="shared" si="74"/>
        <v>0</v>
      </c>
      <c r="I397" s="137">
        <f t="shared" si="75"/>
        <v>0</v>
      </c>
      <c r="J397" s="137">
        <f>IF(F397&gt;VERİLER!$C$7,'İşçi Bilgileri'!M395+(F397-VERİLER!$C$7),0)</f>
        <v>0</v>
      </c>
      <c r="K397" s="137">
        <f>IF(VERİLER!$C$11&gt;0,ROUND(J397*0.15,2),0)</f>
        <v>0</v>
      </c>
      <c r="L397" s="359">
        <f t="shared" si="76"/>
        <v>0</v>
      </c>
      <c r="M397" s="139">
        <f t="shared" si="77"/>
        <v>0</v>
      </c>
      <c r="N397" s="137">
        <f t="shared" si="78"/>
        <v>0</v>
      </c>
      <c r="O397" s="359">
        <f t="shared" si="79"/>
        <v>0</v>
      </c>
      <c r="P397" s="140">
        <f t="shared" si="80"/>
        <v>0</v>
      </c>
      <c r="Q397" s="140">
        <v>0</v>
      </c>
      <c r="R397" s="137">
        <f t="shared" si="81"/>
        <v>0</v>
      </c>
      <c r="S397" s="141">
        <f t="shared" si="82"/>
        <v>0</v>
      </c>
      <c r="T397" s="137">
        <f t="shared" si="83"/>
        <v>0</v>
      </c>
      <c r="U397" s="137">
        <f>ROUND(VERİLER!$F$9*T397,3)</f>
        <v>0</v>
      </c>
      <c r="V397" s="336">
        <f t="shared" si="84"/>
        <v>0</v>
      </c>
      <c r="W397" s="335"/>
      <c r="X397" s="335"/>
      <c r="Y397" s="335"/>
    </row>
    <row r="398" spans="1:25" s="337" customFormat="1" ht="15" customHeight="1" x14ac:dyDescent="0.2">
      <c r="A398" s="299" t="str">
        <f>IF('İşçi Bilgileri'!A396="","",'İşçi Bilgileri'!A396)</f>
        <v/>
      </c>
      <c r="B398" s="300" t="str">
        <f>IF($A398="","",VLOOKUP($A398,'İşçi Bilgileri'!$A$2:$D$700,4,FALSE))</f>
        <v/>
      </c>
      <c r="C398" s="301" t="str">
        <f>CONCATENATE(IF($A398="","",VLOOKUP($A398,'İşçi Bilgileri'!$A$2:$D$700,2,FALSE))," ",IF($A398="","",VLOOKUP($A398,'İşçi Bilgileri'!$A$2:$D$700,3,FALSE)))</f>
        <v xml:space="preserve"> </v>
      </c>
      <c r="D398" s="137" t="str">
        <f>IF($A398="","",VERİLER!$C$5)</f>
        <v/>
      </c>
      <c r="E398" s="138" t="str">
        <f>IF($A398="","",Puantaj!AJ403)</f>
        <v/>
      </c>
      <c r="F398" s="137">
        <f t="shared" si="73"/>
        <v>0</v>
      </c>
      <c r="G398" s="137"/>
      <c r="H398" s="137">
        <f t="shared" si="74"/>
        <v>0</v>
      </c>
      <c r="I398" s="137">
        <f t="shared" si="75"/>
        <v>0</v>
      </c>
      <c r="J398" s="137">
        <f>IF(F398&gt;VERİLER!$C$7,'İşçi Bilgileri'!M396+(F398-VERİLER!$C$7),0)</f>
        <v>0</v>
      </c>
      <c r="K398" s="137">
        <f>IF(VERİLER!$C$11&gt;0,ROUND(J398*0.15,2),0)</f>
        <v>0</v>
      </c>
      <c r="L398" s="359">
        <f t="shared" si="76"/>
        <v>0</v>
      </c>
      <c r="M398" s="139">
        <f t="shared" si="77"/>
        <v>0</v>
      </c>
      <c r="N398" s="137">
        <f t="shared" si="78"/>
        <v>0</v>
      </c>
      <c r="O398" s="359">
        <f t="shared" si="79"/>
        <v>0</v>
      </c>
      <c r="P398" s="140">
        <f t="shared" si="80"/>
        <v>0</v>
      </c>
      <c r="Q398" s="140">
        <v>0</v>
      </c>
      <c r="R398" s="137">
        <f t="shared" si="81"/>
        <v>0</v>
      </c>
      <c r="S398" s="141">
        <f t="shared" si="82"/>
        <v>0</v>
      </c>
      <c r="T398" s="137">
        <f t="shared" si="83"/>
        <v>0</v>
      </c>
      <c r="U398" s="137">
        <f>ROUND(VERİLER!$F$9*T398,3)</f>
        <v>0</v>
      </c>
      <c r="V398" s="336">
        <f t="shared" si="84"/>
        <v>0</v>
      </c>
      <c r="W398" s="335"/>
      <c r="X398" s="335"/>
      <c r="Y398" s="335"/>
    </row>
    <row r="399" spans="1:25" s="337" customFormat="1" ht="15" customHeight="1" x14ac:dyDescent="0.2">
      <c r="A399" s="299" t="str">
        <f>IF('İşçi Bilgileri'!A397="","",'İşçi Bilgileri'!A397)</f>
        <v/>
      </c>
      <c r="B399" s="300" t="str">
        <f>IF($A399="","",VLOOKUP($A399,'İşçi Bilgileri'!$A$2:$D$700,4,FALSE))</f>
        <v/>
      </c>
      <c r="C399" s="301" t="str">
        <f>CONCATENATE(IF($A399="","",VLOOKUP($A399,'İşçi Bilgileri'!$A$2:$D$700,2,FALSE))," ",IF($A399="","",VLOOKUP($A399,'İşçi Bilgileri'!$A$2:$D$700,3,FALSE)))</f>
        <v xml:space="preserve"> </v>
      </c>
      <c r="D399" s="137" t="str">
        <f>IF($A399="","",VERİLER!$C$5)</f>
        <v/>
      </c>
      <c r="E399" s="138" t="str">
        <f>IF($A399="","",Puantaj!AJ404)</f>
        <v/>
      </c>
      <c r="F399" s="137">
        <f t="shared" si="73"/>
        <v>0</v>
      </c>
      <c r="G399" s="137"/>
      <c r="H399" s="137">
        <f t="shared" si="74"/>
        <v>0</v>
      </c>
      <c r="I399" s="137">
        <f t="shared" si="75"/>
        <v>0</v>
      </c>
      <c r="J399" s="137">
        <f>IF(F399&gt;VERİLER!$C$7,'İşçi Bilgileri'!M397+(F399-VERİLER!$C$7),0)</f>
        <v>0</v>
      </c>
      <c r="K399" s="137">
        <f>IF(VERİLER!$C$11&gt;0,ROUND(J399*0.15,2),0)</f>
        <v>0</v>
      </c>
      <c r="L399" s="359">
        <f t="shared" si="76"/>
        <v>0</v>
      </c>
      <c r="M399" s="139">
        <f t="shared" si="77"/>
        <v>0</v>
      </c>
      <c r="N399" s="137">
        <f t="shared" si="78"/>
        <v>0</v>
      </c>
      <c r="O399" s="359">
        <f t="shared" si="79"/>
        <v>0</v>
      </c>
      <c r="P399" s="140">
        <f t="shared" si="80"/>
        <v>0</v>
      </c>
      <c r="Q399" s="140">
        <v>0</v>
      </c>
      <c r="R399" s="137">
        <f t="shared" si="81"/>
        <v>0</v>
      </c>
      <c r="S399" s="141">
        <f t="shared" si="82"/>
        <v>0</v>
      </c>
      <c r="T399" s="137">
        <f t="shared" si="83"/>
        <v>0</v>
      </c>
      <c r="U399" s="137">
        <f>ROUND(VERİLER!$F$9*T399,3)</f>
        <v>0</v>
      </c>
      <c r="V399" s="336">
        <f t="shared" si="84"/>
        <v>0</v>
      </c>
      <c r="W399" s="335"/>
      <c r="X399" s="335"/>
      <c r="Y399" s="335"/>
    </row>
    <row r="400" spans="1:25" s="337" customFormat="1" ht="15" customHeight="1" x14ac:dyDescent="0.2">
      <c r="A400" s="299" t="str">
        <f>IF('İşçi Bilgileri'!A398="","",'İşçi Bilgileri'!A398)</f>
        <v/>
      </c>
      <c r="B400" s="300" t="str">
        <f>IF($A400="","",VLOOKUP($A400,'İşçi Bilgileri'!$A$2:$D$700,4,FALSE))</f>
        <v/>
      </c>
      <c r="C400" s="301" t="str">
        <f>CONCATENATE(IF($A400="","",VLOOKUP($A400,'İşçi Bilgileri'!$A$2:$D$700,2,FALSE))," ",IF($A400="","",VLOOKUP($A400,'İşçi Bilgileri'!$A$2:$D$700,3,FALSE)))</f>
        <v xml:space="preserve"> </v>
      </c>
      <c r="D400" s="137" t="str">
        <f>IF($A400="","",VERİLER!$C$5)</f>
        <v/>
      </c>
      <c r="E400" s="138" t="str">
        <f>IF($A400="","",Puantaj!AJ405)</f>
        <v/>
      </c>
      <c r="F400" s="137">
        <f t="shared" si="73"/>
        <v>0</v>
      </c>
      <c r="G400" s="137"/>
      <c r="H400" s="137">
        <f t="shared" si="74"/>
        <v>0</v>
      </c>
      <c r="I400" s="137">
        <f t="shared" si="75"/>
        <v>0</v>
      </c>
      <c r="J400" s="137">
        <f>IF(F400&gt;VERİLER!$C$7,'İşçi Bilgileri'!M398+(F400-VERİLER!$C$7),0)</f>
        <v>0</v>
      </c>
      <c r="K400" s="137">
        <f>IF(VERİLER!$C$11&gt;0,ROUND(J400*0.15,2),0)</f>
        <v>0</v>
      </c>
      <c r="L400" s="359">
        <f t="shared" si="76"/>
        <v>0</v>
      </c>
      <c r="M400" s="139">
        <f t="shared" si="77"/>
        <v>0</v>
      </c>
      <c r="N400" s="137">
        <f t="shared" si="78"/>
        <v>0</v>
      </c>
      <c r="O400" s="359">
        <f t="shared" si="79"/>
        <v>0</v>
      </c>
      <c r="P400" s="140">
        <f t="shared" si="80"/>
        <v>0</v>
      </c>
      <c r="Q400" s="140">
        <v>0</v>
      </c>
      <c r="R400" s="137">
        <f t="shared" si="81"/>
        <v>0</v>
      </c>
      <c r="S400" s="141">
        <f t="shared" si="82"/>
        <v>0</v>
      </c>
      <c r="T400" s="137">
        <f t="shared" si="83"/>
        <v>0</v>
      </c>
      <c r="U400" s="137">
        <f>ROUND(VERİLER!$F$9*T400,3)</f>
        <v>0</v>
      </c>
      <c r="V400" s="336">
        <f t="shared" si="84"/>
        <v>0</v>
      </c>
      <c r="W400" s="335"/>
      <c r="X400" s="335"/>
      <c r="Y400" s="335"/>
    </row>
    <row r="401" spans="1:25" s="337" customFormat="1" ht="15" customHeight="1" x14ac:dyDescent="0.2">
      <c r="A401" s="299" t="str">
        <f>IF('İşçi Bilgileri'!A399="","",'İşçi Bilgileri'!A399)</f>
        <v/>
      </c>
      <c r="B401" s="300" t="str">
        <f>IF($A401="","",VLOOKUP($A401,'İşçi Bilgileri'!$A$2:$D$700,4,FALSE))</f>
        <v/>
      </c>
      <c r="C401" s="301" t="str">
        <f>CONCATENATE(IF($A401="","",VLOOKUP($A401,'İşçi Bilgileri'!$A$2:$D$700,2,FALSE))," ",IF($A401="","",VLOOKUP($A401,'İşçi Bilgileri'!$A$2:$D$700,3,FALSE)))</f>
        <v xml:space="preserve"> </v>
      </c>
      <c r="D401" s="137" t="str">
        <f>IF($A401="","",VERİLER!$C$5)</f>
        <v/>
      </c>
      <c r="E401" s="138" t="str">
        <f>IF($A401="","",Puantaj!AJ406)</f>
        <v/>
      </c>
      <c r="F401" s="137">
        <f t="shared" si="73"/>
        <v>0</v>
      </c>
      <c r="G401" s="137"/>
      <c r="H401" s="137">
        <f t="shared" si="74"/>
        <v>0</v>
      </c>
      <c r="I401" s="137">
        <f t="shared" si="75"/>
        <v>0</v>
      </c>
      <c r="J401" s="137">
        <f>IF(F401&gt;VERİLER!$C$7,'İşçi Bilgileri'!M399+(F401-VERİLER!$C$7),0)</f>
        <v>0</v>
      </c>
      <c r="K401" s="137">
        <f>IF(VERİLER!$C$11&gt;0,ROUND(J401*0.15,2),0)</f>
        <v>0</v>
      </c>
      <c r="L401" s="359">
        <f t="shared" si="76"/>
        <v>0</v>
      </c>
      <c r="M401" s="139">
        <f t="shared" si="77"/>
        <v>0</v>
      </c>
      <c r="N401" s="137">
        <f t="shared" si="78"/>
        <v>0</v>
      </c>
      <c r="O401" s="359">
        <f t="shared" si="79"/>
        <v>0</v>
      </c>
      <c r="P401" s="140">
        <f t="shared" si="80"/>
        <v>0</v>
      </c>
      <c r="Q401" s="140">
        <v>0</v>
      </c>
      <c r="R401" s="137">
        <f t="shared" si="81"/>
        <v>0</v>
      </c>
      <c r="S401" s="141">
        <f t="shared" si="82"/>
        <v>0</v>
      </c>
      <c r="T401" s="137">
        <f t="shared" si="83"/>
        <v>0</v>
      </c>
      <c r="U401" s="137">
        <f>ROUND(VERİLER!$F$9*T401,3)</f>
        <v>0</v>
      </c>
      <c r="V401" s="336">
        <f t="shared" si="84"/>
        <v>0</v>
      </c>
      <c r="W401" s="335"/>
      <c r="X401" s="335"/>
      <c r="Y401" s="335"/>
    </row>
    <row r="402" spans="1:25" s="337" customFormat="1" ht="15" customHeight="1" x14ac:dyDescent="0.2">
      <c r="A402" s="299" t="str">
        <f>IF('İşçi Bilgileri'!A400="","",'İşçi Bilgileri'!A400)</f>
        <v/>
      </c>
      <c r="B402" s="300" t="str">
        <f>IF($A402="","",VLOOKUP($A402,'İşçi Bilgileri'!$A$2:$D$700,4,FALSE))</f>
        <v/>
      </c>
      <c r="C402" s="301" t="str">
        <f>CONCATENATE(IF($A402="","",VLOOKUP($A402,'İşçi Bilgileri'!$A$2:$D$700,2,FALSE))," ",IF($A402="","",VLOOKUP($A402,'İşçi Bilgileri'!$A$2:$D$700,3,FALSE)))</f>
        <v xml:space="preserve"> </v>
      </c>
      <c r="D402" s="137" t="str">
        <f>IF($A402="","",VERİLER!$C$5)</f>
        <v/>
      </c>
      <c r="E402" s="138" t="str">
        <f>IF($A402="","",Puantaj!AJ407)</f>
        <v/>
      </c>
      <c r="F402" s="137">
        <f t="shared" si="73"/>
        <v>0</v>
      </c>
      <c r="G402" s="137"/>
      <c r="H402" s="137">
        <f t="shared" si="74"/>
        <v>0</v>
      </c>
      <c r="I402" s="137">
        <f t="shared" si="75"/>
        <v>0</v>
      </c>
      <c r="J402" s="137">
        <f>IF(F402&gt;VERİLER!$C$7,'İşçi Bilgileri'!M400+(F402-VERİLER!$C$7),0)</f>
        <v>0</v>
      </c>
      <c r="K402" s="137">
        <f>IF(VERİLER!$C$11&gt;0,ROUND(J402*0.15,2),0)</f>
        <v>0</v>
      </c>
      <c r="L402" s="359">
        <f t="shared" si="76"/>
        <v>0</v>
      </c>
      <c r="M402" s="139">
        <f t="shared" si="77"/>
        <v>0</v>
      </c>
      <c r="N402" s="137">
        <f t="shared" si="78"/>
        <v>0</v>
      </c>
      <c r="O402" s="359">
        <f t="shared" si="79"/>
        <v>0</v>
      </c>
      <c r="P402" s="140">
        <f t="shared" si="80"/>
        <v>0</v>
      </c>
      <c r="Q402" s="140">
        <v>0</v>
      </c>
      <c r="R402" s="137">
        <f t="shared" si="81"/>
        <v>0</v>
      </c>
      <c r="S402" s="141">
        <f t="shared" si="82"/>
        <v>0</v>
      </c>
      <c r="T402" s="137">
        <f t="shared" si="83"/>
        <v>0</v>
      </c>
      <c r="U402" s="137">
        <f>ROUND(VERİLER!$F$9*T402,3)</f>
        <v>0</v>
      </c>
      <c r="V402" s="336">
        <f t="shared" si="84"/>
        <v>0</v>
      </c>
      <c r="W402" s="335"/>
      <c r="X402" s="335"/>
      <c r="Y402" s="335"/>
    </row>
    <row r="403" spans="1:25" s="337" customFormat="1" ht="15" customHeight="1" x14ac:dyDescent="0.2">
      <c r="A403" s="299" t="str">
        <f>IF('İşçi Bilgileri'!A401="","",'İşçi Bilgileri'!A401)</f>
        <v/>
      </c>
      <c r="B403" s="300" t="str">
        <f>IF($A403="","",VLOOKUP($A403,'İşçi Bilgileri'!$A$2:$D$700,4,FALSE))</f>
        <v/>
      </c>
      <c r="C403" s="301" t="str">
        <f>CONCATENATE(IF($A403="","",VLOOKUP($A403,'İşçi Bilgileri'!$A$2:$D$700,2,FALSE))," ",IF($A403="","",VLOOKUP($A403,'İşçi Bilgileri'!$A$2:$D$700,3,FALSE)))</f>
        <v xml:space="preserve"> </v>
      </c>
      <c r="D403" s="137" t="str">
        <f>IF($A403="","",VERİLER!$C$5)</f>
        <v/>
      </c>
      <c r="E403" s="138" t="str">
        <f>IF($A403="","",Puantaj!AJ408)</f>
        <v/>
      </c>
      <c r="F403" s="137">
        <f t="shared" si="73"/>
        <v>0</v>
      </c>
      <c r="G403" s="137"/>
      <c r="H403" s="137">
        <f t="shared" si="74"/>
        <v>0</v>
      </c>
      <c r="I403" s="137">
        <f t="shared" si="75"/>
        <v>0</v>
      </c>
      <c r="J403" s="137">
        <f>IF(F403&gt;VERİLER!$C$7,'İşçi Bilgileri'!M401+(F403-VERİLER!$C$7),0)</f>
        <v>0</v>
      </c>
      <c r="K403" s="137">
        <f>IF(VERİLER!$C$11&gt;0,ROUND(J403*0.15,2),0)</f>
        <v>0</v>
      </c>
      <c r="L403" s="359">
        <f t="shared" si="76"/>
        <v>0</v>
      </c>
      <c r="M403" s="139">
        <f t="shared" si="77"/>
        <v>0</v>
      </c>
      <c r="N403" s="137">
        <f t="shared" si="78"/>
        <v>0</v>
      </c>
      <c r="O403" s="359">
        <f t="shared" si="79"/>
        <v>0</v>
      </c>
      <c r="P403" s="140">
        <f t="shared" si="80"/>
        <v>0</v>
      </c>
      <c r="Q403" s="140">
        <v>0</v>
      </c>
      <c r="R403" s="137">
        <f t="shared" si="81"/>
        <v>0</v>
      </c>
      <c r="S403" s="141">
        <f t="shared" si="82"/>
        <v>0</v>
      </c>
      <c r="T403" s="137">
        <f t="shared" si="83"/>
        <v>0</v>
      </c>
      <c r="U403" s="137">
        <f>ROUND(VERİLER!$F$9*T403,3)</f>
        <v>0</v>
      </c>
      <c r="V403" s="336">
        <f t="shared" si="84"/>
        <v>0</v>
      </c>
      <c r="W403" s="335"/>
      <c r="X403" s="335"/>
      <c r="Y403" s="335"/>
    </row>
    <row r="404" spans="1:25" s="337" customFormat="1" ht="15" customHeight="1" x14ac:dyDescent="0.2">
      <c r="A404" s="299" t="str">
        <f>IF('İşçi Bilgileri'!A402="","",'İşçi Bilgileri'!A402)</f>
        <v/>
      </c>
      <c r="B404" s="300" t="str">
        <f>IF($A404="","",VLOOKUP($A404,'İşçi Bilgileri'!$A$2:$D$700,4,FALSE))</f>
        <v/>
      </c>
      <c r="C404" s="301" t="str">
        <f>CONCATENATE(IF($A404="","",VLOOKUP($A404,'İşçi Bilgileri'!$A$2:$D$700,2,FALSE))," ",IF($A404="","",VLOOKUP($A404,'İşçi Bilgileri'!$A$2:$D$700,3,FALSE)))</f>
        <v xml:space="preserve"> </v>
      </c>
      <c r="D404" s="137" t="str">
        <f>IF($A404="","",VERİLER!$C$5)</f>
        <v/>
      </c>
      <c r="E404" s="138" t="str">
        <f>IF($A404="","",Puantaj!AJ409)</f>
        <v/>
      </c>
      <c r="F404" s="137">
        <f t="shared" si="73"/>
        <v>0</v>
      </c>
      <c r="G404" s="137"/>
      <c r="H404" s="137">
        <f t="shared" si="74"/>
        <v>0</v>
      </c>
      <c r="I404" s="137">
        <f t="shared" si="75"/>
        <v>0</v>
      </c>
      <c r="J404" s="137">
        <f>IF(F404&gt;VERİLER!$C$7,'İşçi Bilgileri'!M402+(F404-VERİLER!$C$7),0)</f>
        <v>0</v>
      </c>
      <c r="K404" s="137">
        <f>IF(VERİLER!$C$11&gt;0,ROUND(J404*0.15,2),0)</f>
        <v>0</v>
      </c>
      <c r="L404" s="359">
        <f t="shared" si="76"/>
        <v>0</v>
      </c>
      <c r="M404" s="139">
        <f t="shared" si="77"/>
        <v>0</v>
      </c>
      <c r="N404" s="137">
        <f t="shared" si="78"/>
        <v>0</v>
      </c>
      <c r="O404" s="359">
        <f t="shared" si="79"/>
        <v>0</v>
      </c>
      <c r="P404" s="140">
        <f t="shared" si="80"/>
        <v>0</v>
      </c>
      <c r="Q404" s="140">
        <v>0</v>
      </c>
      <c r="R404" s="137">
        <f t="shared" si="81"/>
        <v>0</v>
      </c>
      <c r="S404" s="141">
        <f t="shared" si="82"/>
        <v>0</v>
      </c>
      <c r="T404" s="137">
        <f t="shared" si="83"/>
        <v>0</v>
      </c>
      <c r="U404" s="137">
        <f>ROUND(VERİLER!$F$9*T404,3)</f>
        <v>0</v>
      </c>
      <c r="V404" s="336">
        <f t="shared" si="84"/>
        <v>0</v>
      </c>
      <c r="W404" s="335"/>
      <c r="X404" s="335"/>
      <c r="Y404" s="335"/>
    </row>
    <row r="405" spans="1:25" s="337" customFormat="1" ht="15" customHeight="1" x14ac:dyDescent="0.2">
      <c r="A405" s="299" t="str">
        <f>IF('İşçi Bilgileri'!A403="","",'İşçi Bilgileri'!A403)</f>
        <v/>
      </c>
      <c r="B405" s="300" t="str">
        <f>IF($A405="","",VLOOKUP($A405,'İşçi Bilgileri'!$A$2:$D$700,4,FALSE))</f>
        <v/>
      </c>
      <c r="C405" s="301" t="str">
        <f>CONCATENATE(IF($A405="","",VLOOKUP($A405,'İşçi Bilgileri'!$A$2:$D$700,2,FALSE))," ",IF($A405="","",VLOOKUP($A405,'İşçi Bilgileri'!$A$2:$D$700,3,FALSE)))</f>
        <v xml:space="preserve"> </v>
      </c>
      <c r="D405" s="137" t="str">
        <f>IF($A405="","",VERİLER!$C$5)</f>
        <v/>
      </c>
      <c r="E405" s="138" t="str">
        <f>IF($A405="","",Puantaj!AJ410)</f>
        <v/>
      </c>
      <c r="F405" s="137">
        <f t="shared" si="73"/>
        <v>0</v>
      </c>
      <c r="G405" s="137"/>
      <c r="H405" s="137">
        <f t="shared" si="74"/>
        <v>0</v>
      </c>
      <c r="I405" s="137">
        <f t="shared" si="75"/>
        <v>0</v>
      </c>
      <c r="J405" s="137">
        <f>IF(F405&gt;VERİLER!$C$7,'İşçi Bilgileri'!M403+(F405-VERİLER!$C$7),0)</f>
        <v>0</v>
      </c>
      <c r="K405" s="137">
        <f>IF(VERİLER!$C$11&gt;0,ROUND(J405*0.15,2),0)</f>
        <v>0</v>
      </c>
      <c r="L405" s="359">
        <f t="shared" si="76"/>
        <v>0</v>
      </c>
      <c r="M405" s="139">
        <f t="shared" si="77"/>
        <v>0</v>
      </c>
      <c r="N405" s="137">
        <f t="shared" si="78"/>
        <v>0</v>
      </c>
      <c r="O405" s="359">
        <f t="shared" si="79"/>
        <v>0</v>
      </c>
      <c r="P405" s="140">
        <f t="shared" si="80"/>
        <v>0</v>
      </c>
      <c r="Q405" s="140">
        <v>0</v>
      </c>
      <c r="R405" s="137">
        <f t="shared" si="81"/>
        <v>0</v>
      </c>
      <c r="S405" s="141">
        <f t="shared" si="82"/>
        <v>0</v>
      </c>
      <c r="T405" s="137">
        <f t="shared" si="83"/>
        <v>0</v>
      </c>
      <c r="U405" s="137">
        <f>ROUND(VERİLER!$F$9*T405,3)</f>
        <v>0</v>
      </c>
      <c r="V405" s="336">
        <f t="shared" si="84"/>
        <v>0</v>
      </c>
      <c r="W405" s="335"/>
      <c r="X405" s="335"/>
      <c r="Y405" s="335"/>
    </row>
    <row r="406" spans="1:25" s="337" customFormat="1" ht="15" customHeight="1" x14ac:dyDescent="0.2">
      <c r="A406" s="299" t="str">
        <f>IF('İşçi Bilgileri'!A404="","",'İşçi Bilgileri'!A404)</f>
        <v/>
      </c>
      <c r="B406" s="300" t="str">
        <f>IF($A406="","",VLOOKUP($A406,'İşçi Bilgileri'!$A$2:$D$700,4,FALSE))</f>
        <v/>
      </c>
      <c r="C406" s="301" t="str">
        <f>CONCATENATE(IF($A406="","",VLOOKUP($A406,'İşçi Bilgileri'!$A$2:$D$700,2,FALSE))," ",IF($A406="","",VLOOKUP($A406,'İşçi Bilgileri'!$A$2:$D$700,3,FALSE)))</f>
        <v xml:space="preserve"> </v>
      </c>
      <c r="D406" s="137" t="str">
        <f>IF($A406="","",VERİLER!$C$5)</f>
        <v/>
      </c>
      <c r="E406" s="138" t="str">
        <f>IF($A406="","",Puantaj!AJ411)</f>
        <v/>
      </c>
      <c r="F406" s="137">
        <f t="shared" si="73"/>
        <v>0</v>
      </c>
      <c r="G406" s="137"/>
      <c r="H406" s="137">
        <f t="shared" si="74"/>
        <v>0</v>
      </c>
      <c r="I406" s="137">
        <f t="shared" si="75"/>
        <v>0</v>
      </c>
      <c r="J406" s="137">
        <f>IF(F406&gt;VERİLER!$C$7,'İşçi Bilgileri'!M404+(F406-VERİLER!$C$7),0)</f>
        <v>0</v>
      </c>
      <c r="K406" s="137">
        <f>IF(VERİLER!$C$11&gt;0,ROUND(J406*0.15,2),0)</f>
        <v>0</v>
      </c>
      <c r="L406" s="359">
        <f t="shared" si="76"/>
        <v>0</v>
      </c>
      <c r="M406" s="139">
        <f t="shared" si="77"/>
        <v>0</v>
      </c>
      <c r="N406" s="137">
        <f t="shared" si="78"/>
        <v>0</v>
      </c>
      <c r="O406" s="359">
        <f t="shared" si="79"/>
        <v>0</v>
      </c>
      <c r="P406" s="140">
        <f t="shared" si="80"/>
        <v>0</v>
      </c>
      <c r="Q406" s="140">
        <v>0</v>
      </c>
      <c r="R406" s="137">
        <f t="shared" si="81"/>
        <v>0</v>
      </c>
      <c r="S406" s="141">
        <f t="shared" si="82"/>
        <v>0</v>
      </c>
      <c r="T406" s="137">
        <f t="shared" si="83"/>
        <v>0</v>
      </c>
      <c r="U406" s="137">
        <f>ROUND(VERİLER!$F$9*T406,3)</f>
        <v>0</v>
      </c>
      <c r="V406" s="336">
        <f t="shared" si="84"/>
        <v>0</v>
      </c>
      <c r="W406" s="335"/>
      <c r="X406" s="335"/>
      <c r="Y406" s="335"/>
    </row>
    <row r="407" spans="1:25" s="337" customFormat="1" ht="15" customHeight="1" x14ac:dyDescent="0.2">
      <c r="A407" s="299" t="str">
        <f>IF('İşçi Bilgileri'!A405="","",'İşçi Bilgileri'!A405)</f>
        <v/>
      </c>
      <c r="B407" s="300" t="str">
        <f>IF($A407="","",VLOOKUP($A407,'İşçi Bilgileri'!$A$2:$D$700,4,FALSE))</f>
        <v/>
      </c>
      <c r="C407" s="301" t="str">
        <f>CONCATENATE(IF($A407="","",VLOOKUP($A407,'İşçi Bilgileri'!$A$2:$D$700,2,FALSE))," ",IF($A407="","",VLOOKUP($A407,'İşçi Bilgileri'!$A$2:$D$700,3,FALSE)))</f>
        <v xml:space="preserve"> </v>
      </c>
      <c r="D407" s="137" t="str">
        <f>IF($A407="","",VERİLER!$C$5)</f>
        <v/>
      </c>
      <c r="E407" s="138" t="str">
        <f>IF($A407="","",Puantaj!AJ412)</f>
        <v/>
      </c>
      <c r="F407" s="137">
        <f t="shared" si="73"/>
        <v>0</v>
      </c>
      <c r="G407" s="137"/>
      <c r="H407" s="137">
        <f t="shared" si="74"/>
        <v>0</v>
      </c>
      <c r="I407" s="137">
        <f t="shared" si="75"/>
        <v>0</v>
      </c>
      <c r="J407" s="137">
        <f>IF(F407&gt;VERİLER!$C$7,'İşçi Bilgileri'!M405+(F407-VERİLER!$C$7),0)</f>
        <v>0</v>
      </c>
      <c r="K407" s="137">
        <f>IF(VERİLER!$C$11&gt;0,ROUND(J407*0.15,2),0)</f>
        <v>0</v>
      </c>
      <c r="L407" s="359">
        <f t="shared" si="76"/>
        <v>0</v>
      </c>
      <c r="M407" s="139">
        <f t="shared" si="77"/>
        <v>0</v>
      </c>
      <c r="N407" s="137">
        <f t="shared" si="78"/>
        <v>0</v>
      </c>
      <c r="O407" s="359">
        <f t="shared" si="79"/>
        <v>0</v>
      </c>
      <c r="P407" s="140">
        <f t="shared" si="80"/>
        <v>0</v>
      </c>
      <c r="Q407" s="140">
        <v>0</v>
      </c>
      <c r="R407" s="137">
        <f t="shared" si="81"/>
        <v>0</v>
      </c>
      <c r="S407" s="141">
        <f t="shared" si="82"/>
        <v>0</v>
      </c>
      <c r="T407" s="137">
        <f t="shared" si="83"/>
        <v>0</v>
      </c>
      <c r="U407" s="137">
        <f>ROUND(VERİLER!$F$9*T407,3)</f>
        <v>0</v>
      </c>
      <c r="V407" s="336">
        <f t="shared" si="84"/>
        <v>0</v>
      </c>
      <c r="W407" s="335"/>
      <c r="X407" s="335"/>
      <c r="Y407" s="335"/>
    </row>
    <row r="408" spans="1:25" s="337" customFormat="1" ht="15" customHeight="1" x14ac:dyDescent="0.2">
      <c r="A408" s="299" t="str">
        <f>IF('İşçi Bilgileri'!A406="","",'İşçi Bilgileri'!A406)</f>
        <v/>
      </c>
      <c r="B408" s="300" t="str">
        <f>IF($A408="","",VLOOKUP($A408,'İşçi Bilgileri'!$A$2:$D$700,4,FALSE))</f>
        <v/>
      </c>
      <c r="C408" s="301" t="str">
        <f>CONCATENATE(IF($A408="","",VLOOKUP($A408,'İşçi Bilgileri'!$A$2:$D$700,2,FALSE))," ",IF($A408="","",VLOOKUP($A408,'İşçi Bilgileri'!$A$2:$D$700,3,FALSE)))</f>
        <v xml:space="preserve"> </v>
      </c>
      <c r="D408" s="137" t="str">
        <f>IF($A408="","",VERİLER!$C$5)</f>
        <v/>
      </c>
      <c r="E408" s="138" t="str">
        <f>IF($A408="","",Puantaj!AJ413)</f>
        <v/>
      </c>
      <c r="F408" s="137">
        <f t="shared" si="73"/>
        <v>0</v>
      </c>
      <c r="G408" s="137"/>
      <c r="H408" s="137">
        <f t="shared" si="74"/>
        <v>0</v>
      </c>
      <c r="I408" s="137">
        <f t="shared" si="75"/>
        <v>0</v>
      </c>
      <c r="J408" s="137">
        <f>IF(F408&gt;VERİLER!$C$7,'İşçi Bilgileri'!M406+(F408-VERİLER!$C$7),0)</f>
        <v>0</v>
      </c>
      <c r="K408" s="137">
        <f>IF(VERİLER!$C$11&gt;0,ROUND(J408*0.15,2),0)</f>
        <v>0</v>
      </c>
      <c r="L408" s="359">
        <f t="shared" si="76"/>
        <v>0</v>
      </c>
      <c r="M408" s="139">
        <f t="shared" si="77"/>
        <v>0</v>
      </c>
      <c r="N408" s="137">
        <f t="shared" si="78"/>
        <v>0</v>
      </c>
      <c r="O408" s="359">
        <f t="shared" si="79"/>
        <v>0</v>
      </c>
      <c r="P408" s="140">
        <f t="shared" si="80"/>
        <v>0</v>
      </c>
      <c r="Q408" s="140">
        <v>0</v>
      </c>
      <c r="R408" s="137">
        <f t="shared" si="81"/>
        <v>0</v>
      </c>
      <c r="S408" s="141">
        <f t="shared" si="82"/>
        <v>0</v>
      </c>
      <c r="T408" s="137">
        <f t="shared" si="83"/>
        <v>0</v>
      </c>
      <c r="U408" s="137">
        <f>ROUND(VERİLER!$F$9*T408,3)</f>
        <v>0</v>
      </c>
      <c r="V408" s="336">
        <f t="shared" si="84"/>
        <v>0</v>
      </c>
      <c r="W408" s="335"/>
      <c r="X408" s="335"/>
      <c r="Y408" s="335"/>
    </row>
    <row r="409" spans="1:25" s="337" customFormat="1" ht="15" customHeight="1" x14ac:dyDescent="0.2">
      <c r="A409" s="299" t="str">
        <f>IF('İşçi Bilgileri'!A407="","",'İşçi Bilgileri'!A407)</f>
        <v/>
      </c>
      <c r="B409" s="300" t="str">
        <f>IF($A409="","",VLOOKUP($A409,'İşçi Bilgileri'!$A$2:$D$700,4,FALSE))</f>
        <v/>
      </c>
      <c r="C409" s="301" t="str">
        <f>CONCATENATE(IF($A409="","",VLOOKUP($A409,'İşçi Bilgileri'!$A$2:$D$700,2,FALSE))," ",IF($A409="","",VLOOKUP($A409,'İşçi Bilgileri'!$A$2:$D$700,3,FALSE)))</f>
        <v xml:space="preserve"> </v>
      </c>
      <c r="D409" s="137" t="str">
        <f>IF($A409="","",VERİLER!$C$5)</f>
        <v/>
      </c>
      <c r="E409" s="138" t="str">
        <f>IF($A409="","",Puantaj!AJ414)</f>
        <v/>
      </c>
      <c r="F409" s="137">
        <f t="shared" si="73"/>
        <v>0</v>
      </c>
      <c r="G409" s="137"/>
      <c r="H409" s="137">
        <f t="shared" si="74"/>
        <v>0</v>
      </c>
      <c r="I409" s="137">
        <f t="shared" si="75"/>
        <v>0</v>
      </c>
      <c r="J409" s="137">
        <f>IF(F409&gt;VERİLER!$C$7,'İşçi Bilgileri'!M407+(F409-VERİLER!$C$7),0)</f>
        <v>0</v>
      </c>
      <c r="K409" s="137">
        <f>IF(VERİLER!$C$11&gt;0,ROUND(J409*0.15,2),0)</f>
        <v>0</v>
      </c>
      <c r="L409" s="359">
        <f t="shared" si="76"/>
        <v>0</v>
      </c>
      <c r="M409" s="139">
        <f t="shared" si="77"/>
        <v>0</v>
      </c>
      <c r="N409" s="137">
        <f t="shared" si="78"/>
        <v>0</v>
      </c>
      <c r="O409" s="359">
        <f t="shared" si="79"/>
        <v>0</v>
      </c>
      <c r="P409" s="140">
        <f t="shared" si="80"/>
        <v>0</v>
      </c>
      <c r="Q409" s="140">
        <v>0</v>
      </c>
      <c r="R409" s="137">
        <f t="shared" si="81"/>
        <v>0</v>
      </c>
      <c r="S409" s="141">
        <f t="shared" si="82"/>
        <v>0</v>
      </c>
      <c r="T409" s="137">
        <f t="shared" si="83"/>
        <v>0</v>
      </c>
      <c r="U409" s="137">
        <f>ROUND(VERİLER!$F$9*T409,3)</f>
        <v>0</v>
      </c>
      <c r="V409" s="336">
        <f t="shared" si="84"/>
        <v>0</v>
      </c>
      <c r="W409" s="335"/>
      <c r="X409" s="335"/>
      <c r="Y409" s="335"/>
    </row>
    <row r="410" spans="1:25" s="337" customFormat="1" ht="15" customHeight="1" x14ac:dyDescent="0.2">
      <c r="A410" s="299" t="str">
        <f>IF('İşçi Bilgileri'!A408="","",'İşçi Bilgileri'!A408)</f>
        <v/>
      </c>
      <c r="B410" s="300" t="str">
        <f>IF($A410="","",VLOOKUP($A410,'İşçi Bilgileri'!$A$2:$D$700,4,FALSE))</f>
        <v/>
      </c>
      <c r="C410" s="301" t="str">
        <f>CONCATENATE(IF($A410="","",VLOOKUP($A410,'İşçi Bilgileri'!$A$2:$D$700,2,FALSE))," ",IF($A410="","",VLOOKUP($A410,'İşçi Bilgileri'!$A$2:$D$700,3,FALSE)))</f>
        <v xml:space="preserve"> </v>
      </c>
      <c r="D410" s="137" t="str">
        <f>IF($A410="","",VERİLER!$C$5)</f>
        <v/>
      </c>
      <c r="E410" s="138" t="str">
        <f>IF($A410="","",Puantaj!AJ415)</f>
        <v/>
      </c>
      <c r="F410" s="137">
        <f t="shared" si="73"/>
        <v>0</v>
      </c>
      <c r="G410" s="137"/>
      <c r="H410" s="137">
        <f t="shared" si="74"/>
        <v>0</v>
      </c>
      <c r="I410" s="137">
        <f t="shared" si="75"/>
        <v>0</v>
      </c>
      <c r="J410" s="137">
        <f>IF(F410&gt;VERİLER!$C$7,'İşçi Bilgileri'!M408+(F410-VERİLER!$C$7),0)</f>
        <v>0</v>
      </c>
      <c r="K410" s="137">
        <f>IF(VERİLER!$C$11&gt;0,ROUND(J410*0.15,2),0)</f>
        <v>0</v>
      </c>
      <c r="L410" s="359">
        <f t="shared" si="76"/>
        <v>0</v>
      </c>
      <c r="M410" s="139">
        <f t="shared" si="77"/>
        <v>0</v>
      </c>
      <c r="N410" s="137">
        <f t="shared" si="78"/>
        <v>0</v>
      </c>
      <c r="O410" s="359">
        <f t="shared" si="79"/>
        <v>0</v>
      </c>
      <c r="P410" s="140">
        <f t="shared" si="80"/>
        <v>0</v>
      </c>
      <c r="Q410" s="140">
        <v>0</v>
      </c>
      <c r="R410" s="137">
        <f t="shared" si="81"/>
        <v>0</v>
      </c>
      <c r="S410" s="141">
        <f t="shared" si="82"/>
        <v>0</v>
      </c>
      <c r="T410" s="137">
        <f t="shared" si="83"/>
        <v>0</v>
      </c>
      <c r="U410" s="137">
        <f>ROUND(VERİLER!$F$9*T410,3)</f>
        <v>0</v>
      </c>
      <c r="V410" s="336">
        <f t="shared" si="84"/>
        <v>0</v>
      </c>
      <c r="W410" s="335"/>
      <c r="X410" s="335"/>
      <c r="Y410" s="335"/>
    </row>
    <row r="411" spans="1:25" s="337" customFormat="1" ht="15" customHeight="1" x14ac:dyDescent="0.2">
      <c r="A411" s="299" t="str">
        <f>IF('İşçi Bilgileri'!A409="","",'İşçi Bilgileri'!A409)</f>
        <v/>
      </c>
      <c r="B411" s="300" t="str">
        <f>IF($A411="","",VLOOKUP($A411,'İşçi Bilgileri'!$A$2:$D$700,4,FALSE))</f>
        <v/>
      </c>
      <c r="C411" s="301" t="str">
        <f>CONCATENATE(IF($A411="","",VLOOKUP($A411,'İşçi Bilgileri'!$A$2:$D$700,2,FALSE))," ",IF($A411="","",VLOOKUP($A411,'İşçi Bilgileri'!$A$2:$D$700,3,FALSE)))</f>
        <v xml:space="preserve"> </v>
      </c>
      <c r="D411" s="137" t="str">
        <f>IF($A411="","",VERİLER!$C$5)</f>
        <v/>
      </c>
      <c r="E411" s="138" t="str">
        <f>IF($A411="","",Puantaj!AJ416)</f>
        <v/>
      </c>
      <c r="F411" s="137">
        <f t="shared" si="73"/>
        <v>0</v>
      </c>
      <c r="G411" s="137"/>
      <c r="H411" s="137">
        <f t="shared" si="74"/>
        <v>0</v>
      </c>
      <c r="I411" s="137">
        <f t="shared" si="75"/>
        <v>0</v>
      </c>
      <c r="J411" s="137">
        <f>IF(F411&gt;VERİLER!$C$7,'İşçi Bilgileri'!M409+(F411-VERİLER!$C$7),0)</f>
        <v>0</v>
      </c>
      <c r="K411" s="137">
        <f>IF(VERİLER!$C$11&gt;0,ROUND(J411*0.15,2),0)</f>
        <v>0</v>
      </c>
      <c r="L411" s="359">
        <f t="shared" si="76"/>
        <v>0</v>
      </c>
      <c r="M411" s="139">
        <f t="shared" si="77"/>
        <v>0</v>
      </c>
      <c r="N411" s="137">
        <f t="shared" si="78"/>
        <v>0</v>
      </c>
      <c r="O411" s="359">
        <f t="shared" si="79"/>
        <v>0</v>
      </c>
      <c r="P411" s="140">
        <f t="shared" si="80"/>
        <v>0</v>
      </c>
      <c r="Q411" s="140">
        <v>0</v>
      </c>
      <c r="R411" s="137">
        <f t="shared" si="81"/>
        <v>0</v>
      </c>
      <c r="S411" s="141">
        <f t="shared" si="82"/>
        <v>0</v>
      </c>
      <c r="T411" s="137">
        <f t="shared" si="83"/>
        <v>0</v>
      </c>
      <c r="U411" s="137">
        <f>ROUND(VERİLER!$F$9*T411,3)</f>
        <v>0</v>
      </c>
      <c r="V411" s="336">
        <f t="shared" si="84"/>
        <v>0</v>
      </c>
      <c r="W411" s="335"/>
      <c r="X411" s="335"/>
      <c r="Y411" s="335"/>
    </row>
    <row r="412" spans="1:25" s="337" customFormat="1" ht="15" customHeight="1" x14ac:dyDescent="0.2">
      <c r="A412" s="299" t="str">
        <f>IF('İşçi Bilgileri'!A410="","",'İşçi Bilgileri'!A410)</f>
        <v/>
      </c>
      <c r="B412" s="300" t="str">
        <f>IF($A412="","",VLOOKUP($A412,'İşçi Bilgileri'!$A$2:$D$700,4,FALSE))</f>
        <v/>
      </c>
      <c r="C412" s="301" t="str">
        <f>CONCATENATE(IF($A412="","",VLOOKUP($A412,'İşçi Bilgileri'!$A$2:$D$700,2,FALSE))," ",IF($A412="","",VLOOKUP($A412,'İşçi Bilgileri'!$A$2:$D$700,3,FALSE)))</f>
        <v xml:space="preserve"> </v>
      </c>
      <c r="D412" s="137" t="str">
        <f>IF($A412="","",VERİLER!$C$5)</f>
        <v/>
      </c>
      <c r="E412" s="138" t="str">
        <f>IF($A412="","",Puantaj!AJ417)</f>
        <v/>
      </c>
      <c r="F412" s="137">
        <f t="shared" si="73"/>
        <v>0</v>
      </c>
      <c r="G412" s="137"/>
      <c r="H412" s="137">
        <f t="shared" si="74"/>
        <v>0</v>
      </c>
      <c r="I412" s="137">
        <f t="shared" si="75"/>
        <v>0</v>
      </c>
      <c r="J412" s="137">
        <f>IF(F412&gt;VERİLER!$C$7,'İşçi Bilgileri'!M410+(F412-VERİLER!$C$7),0)</f>
        <v>0</v>
      </c>
      <c r="K412" s="137">
        <f>IF(VERİLER!$C$11&gt;0,ROUND(J412*0.15,2),0)</f>
        <v>0</v>
      </c>
      <c r="L412" s="359">
        <f t="shared" si="76"/>
        <v>0</v>
      </c>
      <c r="M412" s="139">
        <f t="shared" si="77"/>
        <v>0</v>
      </c>
      <c r="N412" s="137">
        <f t="shared" si="78"/>
        <v>0</v>
      </c>
      <c r="O412" s="359">
        <f t="shared" si="79"/>
        <v>0</v>
      </c>
      <c r="P412" s="140">
        <f t="shared" si="80"/>
        <v>0</v>
      </c>
      <c r="Q412" s="140">
        <v>0</v>
      </c>
      <c r="R412" s="137">
        <f t="shared" si="81"/>
        <v>0</v>
      </c>
      <c r="S412" s="141">
        <f t="shared" si="82"/>
        <v>0</v>
      </c>
      <c r="T412" s="137">
        <f t="shared" si="83"/>
        <v>0</v>
      </c>
      <c r="U412" s="137">
        <f>ROUND(VERİLER!$F$9*T412,3)</f>
        <v>0</v>
      </c>
      <c r="V412" s="336">
        <f t="shared" si="84"/>
        <v>0</v>
      </c>
      <c r="W412" s="335"/>
      <c r="X412" s="335"/>
      <c r="Y412" s="335"/>
    </row>
    <row r="413" spans="1:25" s="337" customFormat="1" ht="15" customHeight="1" x14ac:dyDescent="0.2">
      <c r="A413" s="299" t="str">
        <f>IF('İşçi Bilgileri'!A411="","",'İşçi Bilgileri'!A411)</f>
        <v/>
      </c>
      <c r="B413" s="300" t="str">
        <f>IF($A413="","",VLOOKUP($A413,'İşçi Bilgileri'!$A$2:$D$700,4,FALSE))</f>
        <v/>
      </c>
      <c r="C413" s="301" t="str">
        <f>CONCATENATE(IF($A413="","",VLOOKUP($A413,'İşçi Bilgileri'!$A$2:$D$700,2,FALSE))," ",IF($A413="","",VLOOKUP($A413,'İşçi Bilgileri'!$A$2:$D$700,3,FALSE)))</f>
        <v xml:space="preserve"> </v>
      </c>
      <c r="D413" s="137" t="str">
        <f>IF($A413="","",VERİLER!$C$5)</f>
        <v/>
      </c>
      <c r="E413" s="138" t="str">
        <f>IF($A413="","",Puantaj!AJ418)</f>
        <v/>
      </c>
      <c r="F413" s="137">
        <f t="shared" si="73"/>
        <v>0</v>
      </c>
      <c r="G413" s="137"/>
      <c r="H413" s="137">
        <f t="shared" si="74"/>
        <v>0</v>
      </c>
      <c r="I413" s="137">
        <f t="shared" si="75"/>
        <v>0</v>
      </c>
      <c r="J413" s="137">
        <f>IF(F413&gt;VERİLER!$C$7,'İşçi Bilgileri'!M411+(F413-VERİLER!$C$7),0)</f>
        <v>0</v>
      </c>
      <c r="K413" s="137">
        <f>IF(VERİLER!$C$11&gt;0,ROUND(J413*0.15,2),0)</f>
        <v>0</v>
      </c>
      <c r="L413" s="359">
        <f t="shared" si="76"/>
        <v>0</v>
      </c>
      <c r="M413" s="139">
        <f t="shared" si="77"/>
        <v>0</v>
      </c>
      <c r="N413" s="137">
        <f t="shared" si="78"/>
        <v>0</v>
      </c>
      <c r="O413" s="359">
        <f t="shared" si="79"/>
        <v>0</v>
      </c>
      <c r="P413" s="140">
        <f t="shared" si="80"/>
        <v>0</v>
      </c>
      <c r="Q413" s="140">
        <v>0</v>
      </c>
      <c r="R413" s="137">
        <f t="shared" si="81"/>
        <v>0</v>
      </c>
      <c r="S413" s="141">
        <f t="shared" si="82"/>
        <v>0</v>
      </c>
      <c r="T413" s="137">
        <f t="shared" si="83"/>
        <v>0</v>
      </c>
      <c r="U413" s="137">
        <f>ROUND(VERİLER!$F$9*T413,3)</f>
        <v>0</v>
      </c>
      <c r="V413" s="336">
        <f t="shared" si="84"/>
        <v>0</v>
      </c>
      <c r="W413" s="335"/>
      <c r="X413" s="335"/>
      <c r="Y413" s="335"/>
    </row>
    <row r="414" spans="1:25" s="337" customFormat="1" ht="15" customHeight="1" x14ac:dyDescent="0.2">
      <c r="A414" s="299" t="str">
        <f>IF('İşçi Bilgileri'!A412="","",'İşçi Bilgileri'!A412)</f>
        <v/>
      </c>
      <c r="B414" s="300" t="str">
        <f>IF($A414="","",VLOOKUP($A414,'İşçi Bilgileri'!$A$2:$D$700,4,FALSE))</f>
        <v/>
      </c>
      <c r="C414" s="301" t="str">
        <f>CONCATENATE(IF($A414="","",VLOOKUP($A414,'İşçi Bilgileri'!$A$2:$D$700,2,FALSE))," ",IF($A414="","",VLOOKUP($A414,'İşçi Bilgileri'!$A$2:$D$700,3,FALSE)))</f>
        <v xml:space="preserve"> </v>
      </c>
      <c r="D414" s="137" t="str">
        <f>IF($A414="","",VERİLER!$C$5)</f>
        <v/>
      </c>
      <c r="E414" s="138" t="str">
        <f>IF($A414="","",Puantaj!AJ419)</f>
        <v/>
      </c>
      <c r="F414" s="137">
        <f t="shared" si="73"/>
        <v>0</v>
      </c>
      <c r="G414" s="137"/>
      <c r="H414" s="137">
        <f t="shared" si="74"/>
        <v>0</v>
      </c>
      <c r="I414" s="137">
        <f t="shared" si="75"/>
        <v>0</v>
      </c>
      <c r="J414" s="137">
        <f>IF(F414&gt;VERİLER!$C$7,'İşçi Bilgileri'!M412+(F414-VERİLER!$C$7),0)</f>
        <v>0</v>
      </c>
      <c r="K414" s="137">
        <f>IF(VERİLER!$C$11&gt;0,ROUND(J414*0.15,2),0)</f>
        <v>0</v>
      </c>
      <c r="L414" s="359">
        <f t="shared" si="76"/>
        <v>0</v>
      </c>
      <c r="M414" s="139">
        <f t="shared" si="77"/>
        <v>0</v>
      </c>
      <c r="N414" s="137">
        <f t="shared" si="78"/>
        <v>0</v>
      </c>
      <c r="O414" s="359">
        <f t="shared" si="79"/>
        <v>0</v>
      </c>
      <c r="P414" s="140">
        <f t="shared" si="80"/>
        <v>0</v>
      </c>
      <c r="Q414" s="140">
        <v>0</v>
      </c>
      <c r="R414" s="137">
        <f t="shared" si="81"/>
        <v>0</v>
      </c>
      <c r="S414" s="141">
        <f t="shared" si="82"/>
        <v>0</v>
      </c>
      <c r="T414" s="137">
        <f t="shared" si="83"/>
        <v>0</v>
      </c>
      <c r="U414" s="137">
        <f>ROUND(VERİLER!$F$9*T414,3)</f>
        <v>0</v>
      </c>
      <c r="V414" s="336">
        <f t="shared" si="84"/>
        <v>0</v>
      </c>
      <c r="W414" s="335"/>
      <c r="X414" s="335"/>
      <c r="Y414" s="335"/>
    </row>
    <row r="415" spans="1:25" s="337" customFormat="1" ht="15" customHeight="1" x14ac:dyDescent="0.2">
      <c r="A415" s="299" t="str">
        <f>IF('İşçi Bilgileri'!A413="","",'İşçi Bilgileri'!A413)</f>
        <v/>
      </c>
      <c r="B415" s="300" t="str">
        <f>IF($A415="","",VLOOKUP($A415,'İşçi Bilgileri'!$A$2:$D$700,4,FALSE))</f>
        <v/>
      </c>
      <c r="C415" s="301" t="str">
        <f>CONCATENATE(IF($A415="","",VLOOKUP($A415,'İşçi Bilgileri'!$A$2:$D$700,2,FALSE))," ",IF($A415="","",VLOOKUP($A415,'İşçi Bilgileri'!$A$2:$D$700,3,FALSE)))</f>
        <v xml:space="preserve"> </v>
      </c>
      <c r="D415" s="137" t="str">
        <f>IF($A415="","",VERİLER!$C$5)</f>
        <v/>
      </c>
      <c r="E415" s="138" t="str">
        <f>IF($A415="","",Puantaj!AJ420)</f>
        <v/>
      </c>
      <c r="F415" s="137">
        <f t="shared" si="73"/>
        <v>0</v>
      </c>
      <c r="G415" s="137"/>
      <c r="H415" s="137">
        <f t="shared" si="74"/>
        <v>0</v>
      </c>
      <c r="I415" s="137">
        <f t="shared" si="75"/>
        <v>0</v>
      </c>
      <c r="J415" s="137">
        <f>IF(F415&gt;VERİLER!$C$7,'İşçi Bilgileri'!M413+(F415-VERİLER!$C$7),0)</f>
        <v>0</v>
      </c>
      <c r="K415" s="137">
        <f>IF(VERİLER!$C$11&gt;0,ROUND(J415*0.15,2),0)</f>
        <v>0</v>
      </c>
      <c r="L415" s="359">
        <f t="shared" si="76"/>
        <v>0</v>
      </c>
      <c r="M415" s="139">
        <f t="shared" si="77"/>
        <v>0</v>
      </c>
      <c r="N415" s="137">
        <f t="shared" si="78"/>
        <v>0</v>
      </c>
      <c r="O415" s="359">
        <f t="shared" si="79"/>
        <v>0</v>
      </c>
      <c r="P415" s="140">
        <f t="shared" si="80"/>
        <v>0</v>
      </c>
      <c r="Q415" s="140">
        <v>0</v>
      </c>
      <c r="R415" s="137">
        <f t="shared" si="81"/>
        <v>0</v>
      </c>
      <c r="S415" s="141">
        <f t="shared" si="82"/>
        <v>0</v>
      </c>
      <c r="T415" s="137">
        <f t="shared" si="83"/>
        <v>0</v>
      </c>
      <c r="U415" s="137">
        <f>ROUND(VERİLER!$F$9*T415,3)</f>
        <v>0</v>
      </c>
      <c r="V415" s="336">
        <f t="shared" si="84"/>
        <v>0</v>
      </c>
      <c r="W415" s="335"/>
      <c r="X415" s="335"/>
      <c r="Y415" s="335"/>
    </row>
    <row r="416" spans="1:25" s="337" customFormat="1" ht="15" customHeight="1" x14ac:dyDescent="0.2">
      <c r="A416" s="299" t="str">
        <f>IF('İşçi Bilgileri'!A414="","",'İşçi Bilgileri'!A414)</f>
        <v/>
      </c>
      <c r="B416" s="300" t="str">
        <f>IF($A416="","",VLOOKUP($A416,'İşçi Bilgileri'!$A$2:$D$700,4,FALSE))</f>
        <v/>
      </c>
      <c r="C416" s="301" t="str">
        <f>CONCATENATE(IF($A416="","",VLOOKUP($A416,'İşçi Bilgileri'!$A$2:$D$700,2,FALSE))," ",IF($A416="","",VLOOKUP($A416,'İşçi Bilgileri'!$A$2:$D$700,3,FALSE)))</f>
        <v xml:space="preserve"> </v>
      </c>
      <c r="D416" s="137" t="str">
        <f>IF($A416="","",VERİLER!$C$5)</f>
        <v/>
      </c>
      <c r="E416" s="138" t="str">
        <f>IF($A416="","",Puantaj!AJ421)</f>
        <v/>
      </c>
      <c r="F416" s="137">
        <f t="shared" si="73"/>
        <v>0</v>
      </c>
      <c r="G416" s="137"/>
      <c r="H416" s="137">
        <f t="shared" si="74"/>
        <v>0</v>
      </c>
      <c r="I416" s="137">
        <f t="shared" si="75"/>
        <v>0</v>
      </c>
      <c r="J416" s="137">
        <f>IF(F416&gt;VERİLER!$C$7,'İşçi Bilgileri'!M414+(F416-VERİLER!$C$7),0)</f>
        <v>0</v>
      </c>
      <c r="K416" s="137">
        <f>IF(VERİLER!$C$11&gt;0,ROUND(J416*0.15,2),0)</f>
        <v>0</v>
      </c>
      <c r="L416" s="359">
        <f t="shared" si="76"/>
        <v>0</v>
      </c>
      <c r="M416" s="139">
        <f t="shared" si="77"/>
        <v>0</v>
      </c>
      <c r="N416" s="137">
        <f t="shared" si="78"/>
        <v>0</v>
      </c>
      <c r="O416" s="359">
        <f t="shared" si="79"/>
        <v>0</v>
      </c>
      <c r="P416" s="140">
        <f t="shared" si="80"/>
        <v>0</v>
      </c>
      <c r="Q416" s="140">
        <v>0</v>
      </c>
      <c r="R416" s="137">
        <f t="shared" si="81"/>
        <v>0</v>
      </c>
      <c r="S416" s="141">
        <f t="shared" si="82"/>
        <v>0</v>
      </c>
      <c r="T416" s="137">
        <f t="shared" si="83"/>
        <v>0</v>
      </c>
      <c r="U416" s="137">
        <f>ROUND(VERİLER!$F$9*T416,3)</f>
        <v>0</v>
      </c>
      <c r="V416" s="336">
        <f t="shared" si="84"/>
        <v>0</v>
      </c>
      <c r="W416" s="335"/>
      <c r="X416" s="335"/>
      <c r="Y416" s="335"/>
    </row>
    <row r="417" spans="1:25" s="337" customFormat="1" ht="15" customHeight="1" x14ac:dyDescent="0.2">
      <c r="A417" s="299" t="str">
        <f>IF('İşçi Bilgileri'!A415="","",'İşçi Bilgileri'!A415)</f>
        <v/>
      </c>
      <c r="B417" s="300" t="str">
        <f>IF($A417="","",VLOOKUP($A417,'İşçi Bilgileri'!$A$2:$D$700,4,FALSE))</f>
        <v/>
      </c>
      <c r="C417" s="301" t="str">
        <f>CONCATENATE(IF($A417="","",VLOOKUP($A417,'İşçi Bilgileri'!$A$2:$D$700,2,FALSE))," ",IF($A417="","",VLOOKUP($A417,'İşçi Bilgileri'!$A$2:$D$700,3,FALSE)))</f>
        <v xml:space="preserve"> </v>
      </c>
      <c r="D417" s="137" t="str">
        <f>IF($A417="","",VERİLER!$C$5)</f>
        <v/>
      </c>
      <c r="E417" s="138" t="str">
        <f>IF($A417="","",Puantaj!AJ422)</f>
        <v/>
      </c>
      <c r="F417" s="137">
        <f t="shared" si="73"/>
        <v>0</v>
      </c>
      <c r="G417" s="137"/>
      <c r="H417" s="137">
        <f t="shared" si="74"/>
        <v>0</v>
      </c>
      <c r="I417" s="137">
        <f t="shared" si="75"/>
        <v>0</v>
      </c>
      <c r="J417" s="137">
        <f>IF(F417&gt;VERİLER!$C$7,'İşçi Bilgileri'!M415+(F417-VERİLER!$C$7),0)</f>
        <v>0</v>
      </c>
      <c r="K417" s="137">
        <f>IF(VERİLER!$C$11&gt;0,ROUND(J417*0.15,2),0)</f>
        <v>0</v>
      </c>
      <c r="L417" s="359">
        <f t="shared" si="76"/>
        <v>0</v>
      </c>
      <c r="M417" s="139">
        <f t="shared" si="77"/>
        <v>0</v>
      </c>
      <c r="N417" s="137">
        <f t="shared" si="78"/>
        <v>0</v>
      </c>
      <c r="O417" s="359">
        <f t="shared" si="79"/>
        <v>0</v>
      </c>
      <c r="P417" s="140">
        <f t="shared" si="80"/>
        <v>0</v>
      </c>
      <c r="Q417" s="140">
        <v>0</v>
      </c>
      <c r="R417" s="137">
        <f t="shared" si="81"/>
        <v>0</v>
      </c>
      <c r="S417" s="141">
        <f t="shared" si="82"/>
        <v>0</v>
      </c>
      <c r="T417" s="137">
        <f t="shared" si="83"/>
        <v>0</v>
      </c>
      <c r="U417" s="137">
        <f>ROUND(VERİLER!$F$9*T417,3)</f>
        <v>0</v>
      </c>
      <c r="V417" s="336">
        <f t="shared" si="84"/>
        <v>0</v>
      </c>
      <c r="W417" s="335"/>
      <c r="X417" s="335"/>
      <c r="Y417" s="335"/>
    </row>
    <row r="418" spans="1:25" s="337" customFormat="1" ht="15" customHeight="1" x14ac:dyDescent="0.2">
      <c r="A418" s="299" t="str">
        <f>IF('İşçi Bilgileri'!A416="","",'İşçi Bilgileri'!A416)</f>
        <v/>
      </c>
      <c r="B418" s="300" t="str">
        <f>IF($A418="","",VLOOKUP($A418,'İşçi Bilgileri'!$A$2:$D$700,4,FALSE))</f>
        <v/>
      </c>
      <c r="C418" s="301" t="str">
        <f>CONCATENATE(IF($A418="","",VLOOKUP($A418,'İşçi Bilgileri'!$A$2:$D$700,2,FALSE))," ",IF($A418="","",VLOOKUP($A418,'İşçi Bilgileri'!$A$2:$D$700,3,FALSE)))</f>
        <v xml:space="preserve"> </v>
      </c>
      <c r="D418" s="137" t="str">
        <f>IF($A418="","",VERİLER!$C$5)</f>
        <v/>
      </c>
      <c r="E418" s="138" t="str">
        <f>IF($A418="","",Puantaj!AJ423)</f>
        <v/>
      </c>
      <c r="F418" s="137">
        <f t="shared" si="73"/>
        <v>0</v>
      </c>
      <c r="G418" s="137"/>
      <c r="H418" s="137">
        <f t="shared" si="74"/>
        <v>0</v>
      </c>
      <c r="I418" s="137">
        <f t="shared" si="75"/>
        <v>0</v>
      </c>
      <c r="J418" s="137">
        <f>IF(F418&gt;VERİLER!$C$7,'İşçi Bilgileri'!M416+(F418-VERİLER!$C$7),0)</f>
        <v>0</v>
      </c>
      <c r="K418" s="137">
        <f>IF(VERİLER!$C$11&gt;0,ROUND(J418*0.15,2),0)</f>
        <v>0</v>
      </c>
      <c r="L418" s="359">
        <f t="shared" si="76"/>
        <v>0</v>
      </c>
      <c r="M418" s="139">
        <f t="shared" si="77"/>
        <v>0</v>
      </c>
      <c r="N418" s="137">
        <f t="shared" si="78"/>
        <v>0</v>
      </c>
      <c r="O418" s="359">
        <f t="shared" si="79"/>
        <v>0</v>
      </c>
      <c r="P418" s="140">
        <f t="shared" si="80"/>
        <v>0</v>
      </c>
      <c r="Q418" s="140">
        <v>0</v>
      </c>
      <c r="R418" s="137">
        <f t="shared" si="81"/>
        <v>0</v>
      </c>
      <c r="S418" s="141">
        <f t="shared" si="82"/>
        <v>0</v>
      </c>
      <c r="T418" s="137">
        <f t="shared" si="83"/>
        <v>0</v>
      </c>
      <c r="U418" s="137">
        <f>ROUND(VERİLER!$F$9*T418,3)</f>
        <v>0</v>
      </c>
      <c r="V418" s="336">
        <f t="shared" si="84"/>
        <v>0</v>
      </c>
      <c r="W418" s="335"/>
      <c r="X418" s="335"/>
      <c r="Y418" s="335"/>
    </row>
    <row r="419" spans="1:25" s="337" customFormat="1" ht="15" customHeight="1" x14ac:dyDescent="0.2">
      <c r="A419" s="299" t="str">
        <f>IF('İşçi Bilgileri'!A417="","",'İşçi Bilgileri'!A417)</f>
        <v/>
      </c>
      <c r="B419" s="300" t="str">
        <f>IF($A419="","",VLOOKUP($A419,'İşçi Bilgileri'!$A$2:$D$700,4,FALSE))</f>
        <v/>
      </c>
      <c r="C419" s="301" t="str">
        <f>CONCATENATE(IF($A419="","",VLOOKUP($A419,'İşçi Bilgileri'!$A$2:$D$700,2,FALSE))," ",IF($A419="","",VLOOKUP($A419,'İşçi Bilgileri'!$A$2:$D$700,3,FALSE)))</f>
        <v xml:space="preserve"> </v>
      </c>
      <c r="D419" s="137" t="str">
        <f>IF($A419="","",VERİLER!$C$5)</f>
        <v/>
      </c>
      <c r="E419" s="138" t="str">
        <f>IF($A419="","",Puantaj!AJ424)</f>
        <v/>
      </c>
      <c r="F419" s="137">
        <f t="shared" si="73"/>
        <v>0</v>
      </c>
      <c r="G419" s="137"/>
      <c r="H419" s="137">
        <f t="shared" si="74"/>
        <v>0</v>
      </c>
      <c r="I419" s="137">
        <f t="shared" si="75"/>
        <v>0</v>
      </c>
      <c r="J419" s="137">
        <f>IF(F419&gt;VERİLER!$C$7,'İşçi Bilgileri'!M417+(F419-VERİLER!$C$7),0)</f>
        <v>0</v>
      </c>
      <c r="K419" s="137">
        <f>IF(VERİLER!$C$11&gt;0,ROUND(J419*0.15,2),0)</f>
        <v>0</v>
      </c>
      <c r="L419" s="359">
        <f t="shared" si="76"/>
        <v>0</v>
      </c>
      <c r="M419" s="139">
        <f t="shared" si="77"/>
        <v>0</v>
      </c>
      <c r="N419" s="137">
        <f t="shared" si="78"/>
        <v>0</v>
      </c>
      <c r="O419" s="359">
        <f t="shared" si="79"/>
        <v>0</v>
      </c>
      <c r="P419" s="140">
        <f t="shared" si="80"/>
        <v>0</v>
      </c>
      <c r="Q419" s="140">
        <v>0</v>
      </c>
      <c r="R419" s="137">
        <f t="shared" si="81"/>
        <v>0</v>
      </c>
      <c r="S419" s="141">
        <f t="shared" si="82"/>
        <v>0</v>
      </c>
      <c r="T419" s="137">
        <f t="shared" si="83"/>
        <v>0</v>
      </c>
      <c r="U419" s="137">
        <f>ROUND(VERİLER!$F$9*T419,3)</f>
        <v>0</v>
      </c>
      <c r="V419" s="336">
        <f t="shared" si="84"/>
        <v>0</v>
      </c>
      <c r="W419" s="335"/>
      <c r="X419" s="335"/>
      <c r="Y419" s="335"/>
    </row>
    <row r="420" spans="1:25" s="337" customFormat="1" ht="15" customHeight="1" x14ac:dyDescent="0.2">
      <c r="A420" s="299" t="str">
        <f>IF('İşçi Bilgileri'!A418="","",'İşçi Bilgileri'!A418)</f>
        <v/>
      </c>
      <c r="B420" s="300" t="str">
        <f>IF($A420="","",VLOOKUP($A420,'İşçi Bilgileri'!$A$2:$D$700,4,FALSE))</f>
        <v/>
      </c>
      <c r="C420" s="301" t="str">
        <f>CONCATENATE(IF($A420="","",VLOOKUP($A420,'İşçi Bilgileri'!$A$2:$D$700,2,FALSE))," ",IF($A420="","",VLOOKUP($A420,'İşçi Bilgileri'!$A$2:$D$700,3,FALSE)))</f>
        <v xml:space="preserve"> </v>
      </c>
      <c r="D420" s="137" t="str">
        <f>IF($A420="","",VERİLER!$C$5)</f>
        <v/>
      </c>
      <c r="E420" s="138" t="str">
        <f>IF($A420="","",Puantaj!AJ425)</f>
        <v/>
      </c>
      <c r="F420" s="137">
        <f t="shared" si="73"/>
        <v>0</v>
      </c>
      <c r="G420" s="137"/>
      <c r="H420" s="137">
        <f t="shared" si="74"/>
        <v>0</v>
      </c>
      <c r="I420" s="137">
        <f t="shared" si="75"/>
        <v>0</v>
      </c>
      <c r="J420" s="137">
        <f>IF(F420&gt;VERİLER!$C$7,'İşçi Bilgileri'!M418+(F420-VERİLER!$C$7),0)</f>
        <v>0</v>
      </c>
      <c r="K420" s="137">
        <f>IF(VERİLER!$C$11&gt;0,ROUND(J420*0.15,2),0)</f>
        <v>0</v>
      </c>
      <c r="L420" s="359">
        <f t="shared" si="76"/>
        <v>0</v>
      </c>
      <c r="M420" s="139">
        <f t="shared" si="77"/>
        <v>0</v>
      </c>
      <c r="N420" s="137">
        <f t="shared" si="78"/>
        <v>0</v>
      </c>
      <c r="O420" s="359">
        <f t="shared" si="79"/>
        <v>0</v>
      </c>
      <c r="P420" s="140">
        <f t="shared" si="80"/>
        <v>0</v>
      </c>
      <c r="Q420" s="140">
        <v>0</v>
      </c>
      <c r="R420" s="137">
        <f t="shared" si="81"/>
        <v>0</v>
      </c>
      <c r="S420" s="141">
        <f t="shared" si="82"/>
        <v>0</v>
      </c>
      <c r="T420" s="137">
        <f t="shared" si="83"/>
        <v>0</v>
      </c>
      <c r="U420" s="137">
        <f>ROUND(VERİLER!$F$9*T420,3)</f>
        <v>0</v>
      </c>
      <c r="V420" s="336">
        <f t="shared" si="84"/>
        <v>0</v>
      </c>
      <c r="W420" s="335"/>
      <c r="X420" s="335"/>
      <c r="Y420" s="335"/>
    </row>
    <row r="421" spans="1:25" s="337" customFormat="1" ht="15" customHeight="1" x14ac:dyDescent="0.2">
      <c r="A421" s="299" t="str">
        <f>IF('İşçi Bilgileri'!A419="","",'İşçi Bilgileri'!A419)</f>
        <v/>
      </c>
      <c r="B421" s="300" t="str">
        <f>IF($A421="","",VLOOKUP($A421,'İşçi Bilgileri'!$A$2:$D$700,4,FALSE))</f>
        <v/>
      </c>
      <c r="C421" s="301" t="str">
        <f>CONCATENATE(IF($A421="","",VLOOKUP($A421,'İşçi Bilgileri'!$A$2:$D$700,2,FALSE))," ",IF($A421="","",VLOOKUP($A421,'İşçi Bilgileri'!$A$2:$D$700,3,FALSE)))</f>
        <v xml:space="preserve"> </v>
      </c>
      <c r="D421" s="137" t="str">
        <f>IF($A421="","",VERİLER!$C$5)</f>
        <v/>
      </c>
      <c r="E421" s="138" t="str">
        <f>IF($A421="","",Puantaj!AJ426)</f>
        <v/>
      </c>
      <c r="F421" s="137">
        <f t="shared" si="73"/>
        <v>0</v>
      </c>
      <c r="G421" s="137"/>
      <c r="H421" s="137">
        <f t="shared" si="74"/>
        <v>0</v>
      </c>
      <c r="I421" s="137">
        <f t="shared" si="75"/>
        <v>0</v>
      </c>
      <c r="J421" s="137">
        <f>IF(F421&gt;VERİLER!$C$7,'İşçi Bilgileri'!M419+(F421-VERİLER!$C$7),0)</f>
        <v>0</v>
      </c>
      <c r="K421" s="137">
        <f>IF(VERİLER!$C$11&gt;0,ROUND(J421*0.15,2),0)</f>
        <v>0</v>
      </c>
      <c r="L421" s="359">
        <f t="shared" si="76"/>
        <v>0</v>
      </c>
      <c r="M421" s="139">
        <f t="shared" si="77"/>
        <v>0</v>
      </c>
      <c r="N421" s="137">
        <f t="shared" si="78"/>
        <v>0</v>
      </c>
      <c r="O421" s="359">
        <f t="shared" si="79"/>
        <v>0</v>
      </c>
      <c r="P421" s="140">
        <f t="shared" si="80"/>
        <v>0</v>
      </c>
      <c r="Q421" s="140">
        <v>0</v>
      </c>
      <c r="R421" s="137">
        <f t="shared" si="81"/>
        <v>0</v>
      </c>
      <c r="S421" s="141">
        <f t="shared" si="82"/>
        <v>0</v>
      </c>
      <c r="T421" s="137">
        <f t="shared" si="83"/>
        <v>0</v>
      </c>
      <c r="U421" s="137">
        <f>ROUND(VERİLER!$F$9*T421,3)</f>
        <v>0</v>
      </c>
      <c r="V421" s="336">
        <f t="shared" si="84"/>
        <v>0</v>
      </c>
      <c r="W421" s="335"/>
      <c r="X421" s="335"/>
      <c r="Y421" s="335"/>
    </row>
    <row r="422" spans="1:25" s="337" customFormat="1" ht="15" customHeight="1" x14ac:dyDescent="0.2">
      <c r="A422" s="299" t="str">
        <f>IF('İşçi Bilgileri'!A420="","",'İşçi Bilgileri'!A420)</f>
        <v/>
      </c>
      <c r="B422" s="300" t="str">
        <f>IF($A422="","",VLOOKUP($A422,'İşçi Bilgileri'!$A$2:$D$700,4,FALSE))</f>
        <v/>
      </c>
      <c r="C422" s="301" t="str">
        <f>CONCATENATE(IF($A422="","",VLOOKUP($A422,'İşçi Bilgileri'!$A$2:$D$700,2,FALSE))," ",IF($A422="","",VLOOKUP($A422,'İşçi Bilgileri'!$A$2:$D$700,3,FALSE)))</f>
        <v xml:space="preserve"> </v>
      </c>
      <c r="D422" s="137" t="str">
        <f>IF($A422="","",VERİLER!$C$5)</f>
        <v/>
      </c>
      <c r="E422" s="138" t="str">
        <f>IF($A422="","",Puantaj!AJ427)</f>
        <v/>
      </c>
      <c r="F422" s="137">
        <f t="shared" si="73"/>
        <v>0</v>
      </c>
      <c r="G422" s="137"/>
      <c r="H422" s="137">
        <f t="shared" si="74"/>
        <v>0</v>
      </c>
      <c r="I422" s="137">
        <f t="shared" si="75"/>
        <v>0</v>
      </c>
      <c r="J422" s="137">
        <f>IF(F422&gt;VERİLER!$C$7,'İşçi Bilgileri'!M420+(F422-VERİLER!$C$7),0)</f>
        <v>0</v>
      </c>
      <c r="K422" s="137">
        <f>IF(VERİLER!$C$11&gt;0,ROUND(J422*0.15,2),0)</f>
        <v>0</v>
      </c>
      <c r="L422" s="359">
        <f t="shared" si="76"/>
        <v>0</v>
      </c>
      <c r="M422" s="139">
        <f t="shared" si="77"/>
        <v>0</v>
      </c>
      <c r="N422" s="137">
        <f t="shared" si="78"/>
        <v>0</v>
      </c>
      <c r="O422" s="359">
        <f t="shared" si="79"/>
        <v>0</v>
      </c>
      <c r="P422" s="140">
        <f t="shared" si="80"/>
        <v>0</v>
      </c>
      <c r="Q422" s="140">
        <v>0</v>
      </c>
      <c r="R422" s="137">
        <f t="shared" si="81"/>
        <v>0</v>
      </c>
      <c r="S422" s="141">
        <f t="shared" si="82"/>
        <v>0</v>
      </c>
      <c r="T422" s="137">
        <f t="shared" si="83"/>
        <v>0</v>
      </c>
      <c r="U422" s="137">
        <f>ROUND(VERİLER!$F$9*T422,3)</f>
        <v>0</v>
      </c>
      <c r="V422" s="336">
        <f t="shared" si="84"/>
        <v>0</v>
      </c>
      <c r="W422" s="335"/>
      <c r="X422" s="335"/>
      <c r="Y422" s="335"/>
    </row>
    <row r="423" spans="1:25" s="337" customFormat="1" ht="15" customHeight="1" x14ac:dyDescent="0.2">
      <c r="A423" s="299" t="str">
        <f>IF('İşçi Bilgileri'!A421="","",'İşçi Bilgileri'!A421)</f>
        <v/>
      </c>
      <c r="B423" s="300" t="str">
        <f>IF($A423="","",VLOOKUP($A423,'İşçi Bilgileri'!$A$2:$D$700,4,FALSE))</f>
        <v/>
      </c>
      <c r="C423" s="301" t="str">
        <f>CONCATENATE(IF($A423="","",VLOOKUP($A423,'İşçi Bilgileri'!$A$2:$D$700,2,FALSE))," ",IF($A423="","",VLOOKUP($A423,'İşçi Bilgileri'!$A$2:$D$700,3,FALSE)))</f>
        <v xml:space="preserve"> </v>
      </c>
      <c r="D423" s="137" t="str">
        <f>IF($A423="","",VERİLER!$C$5)</f>
        <v/>
      </c>
      <c r="E423" s="138" t="str">
        <f>IF($A423="","",Puantaj!AJ428)</f>
        <v/>
      </c>
      <c r="F423" s="137">
        <f t="shared" si="73"/>
        <v>0</v>
      </c>
      <c r="G423" s="137"/>
      <c r="H423" s="137">
        <f t="shared" si="74"/>
        <v>0</v>
      </c>
      <c r="I423" s="137">
        <f t="shared" si="75"/>
        <v>0</v>
      </c>
      <c r="J423" s="137">
        <f>IF(F423&gt;VERİLER!$C$7,'İşçi Bilgileri'!M421+(F423-VERİLER!$C$7),0)</f>
        <v>0</v>
      </c>
      <c r="K423" s="137">
        <f>IF(VERİLER!$C$11&gt;0,ROUND(J423*0.15,2),0)</f>
        <v>0</v>
      </c>
      <c r="L423" s="359">
        <f t="shared" si="76"/>
        <v>0</v>
      </c>
      <c r="M423" s="139">
        <f t="shared" si="77"/>
        <v>0</v>
      </c>
      <c r="N423" s="137">
        <f t="shared" si="78"/>
        <v>0</v>
      </c>
      <c r="O423" s="359">
        <f t="shared" si="79"/>
        <v>0</v>
      </c>
      <c r="P423" s="140">
        <f t="shared" si="80"/>
        <v>0</v>
      </c>
      <c r="Q423" s="140">
        <v>0</v>
      </c>
      <c r="R423" s="137">
        <f t="shared" si="81"/>
        <v>0</v>
      </c>
      <c r="S423" s="141">
        <f t="shared" si="82"/>
        <v>0</v>
      </c>
      <c r="T423" s="137">
        <f t="shared" si="83"/>
        <v>0</v>
      </c>
      <c r="U423" s="137">
        <f>ROUND(VERİLER!$F$9*T423,3)</f>
        <v>0</v>
      </c>
      <c r="V423" s="336">
        <f t="shared" si="84"/>
        <v>0</v>
      </c>
      <c r="W423" s="335"/>
      <c r="X423" s="335"/>
      <c r="Y423" s="335"/>
    </row>
    <row r="424" spans="1:25" s="337" customFormat="1" ht="15" customHeight="1" x14ac:dyDescent="0.2">
      <c r="A424" s="299" t="str">
        <f>IF('İşçi Bilgileri'!A422="","",'İşçi Bilgileri'!A422)</f>
        <v/>
      </c>
      <c r="B424" s="300" t="str">
        <f>IF($A424="","",VLOOKUP($A424,'İşçi Bilgileri'!$A$2:$D$700,4,FALSE))</f>
        <v/>
      </c>
      <c r="C424" s="301" t="str">
        <f>CONCATENATE(IF($A424="","",VLOOKUP($A424,'İşçi Bilgileri'!$A$2:$D$700,2,FALSE))," ",IF($A424="","",VLOOKUP($A424,'İşçi Bilgileri'!$A$2:$D$700,3,FALSE)))</f>
        <v xml:space="preserve"> </v>
      </c>
      <c r="D424" s="137" t="str">
        <f>IF($A424="","",VERİLER!$C$5)</f>
        <v/>
      </c>
      <c r="E424" s="138" t="str">
        <f>IF($A424="","",Puantaj!AJ429)</f>
        <v/>
      </c>
      <c r="F424" s="137">
        <f t="shared" si="73"/>
        <v>0</v>
      </c>
      <c r="G424" s="137"/>
      <c r="H424" s="137">
        <f t="shared" si="74"/>
        <v>0</v>
      </c>
      <c r="I424" s="137">
        <f t="shared" si="75"/>
        <v>0</v>
      </c>
      <c r="J424" s="137">
        <f>IF(F424&gt;VERİLER!$C$7,'İşçi Bilgileri'!M422+(F424-VERİLER!$C$7),0)</f>
        <v>0</v>
      </c>
      <c r="K424" s="137">
        <f>IF(VERİLER!$C$11&gt;0,ROUND(J424*0.15,2),0)</f>
        <v>0</v>
      </c>
      <c r="L424" s="359">
        <f t="shared" si="76"/>
        <v>0</v>
      </c>
      <c r="M424" s="139">
        <f t="shared" si="77"/>
        <v>0</v>
      </c>
      <c r="N424" s="137">
        <f t="shared" si="78"/>
        <v>0</v>
      </c>
      <c r="O424" s="359">
        <f t="shared" si="79"/>
        <v>0</v>
      </c>
      <c r="P424" s="140">
        <f t="shared" si="80"/>
        <v>0</v>
      </c>
      <c r="Q424" s="140">
        <v>0</v>
      </c>
      <c r="R424" s="137">
        <f t="shared" si="81"/>
        <v>0</v>
      </c>
      <c r="S424" s="141">
        <f t="shared" si="82"/>
        <v>0</v>
      </c>
      <c r="T424" s="137">
        <f t="shared" si="83"/>
        <v>0</v>
      </c>
      <c r="U424" s="137">
        <f>ROUND(VERİLER!$F$9*T424,3)</f>
        <v>0</v>
      </c>
      <c r="V424" s="336">
        <f t="shared" si="84"/>
        <v>0</v>
      </c>
      <c r="W424" s="335"/>
      <c r="X424" s="335"/>
      <c r="Y424" s="335"/>
    </row>
    <row r="425" spans="1:25" s="337" customFormat="1" ht="15" customHeight="1" x14ac:dyDescent="0.2">
      <c r="A425" s="299" t="str">
        <f>IF('İşçi Bilgileri'!A423="","",'İşçi Bilgileri'!A423)</f>
        <v/>
      </c>
      <c r="B425" s="300" t="str">
        <f>IF($A425="","",VLOOKUP($A425,'İşçi Bilgileri'!$A$2:$D$700,4,FALSE))</f>
        <v/>
      </c>
      <c r="C425" s="301" t="str">
        <f>CONCATENATE(IF($A425="","",VLOOKUP($A425,'İşçi Bilgileri'!$A$2:$D$700,2,FALSE))," ",IF($A425="","",VLOOKUP($A425,'İşçi Bilgileri'!$A$2:$D$700,3,FALSE)))</f>
        <v xml:space="preserve"> </v>
      </c>
      <c r="D425" s="137" t="str">
        <f>IF($A425="","",VERİLER!$C$5)</f>
        <v/>
      </c>
      <c r="E425" s="138" t="str">
        <f>IF($A425="","",Puantaj!AJ430)</f>
        <v/>
      </c>
      <c r="F425" s="137">
        <f t="shared" si="73"/>
        <v>0</v>
      </c>
      <c r="G425" s="137"/>
      <c r="H425" s="137">
        <f t="shared" si="74"/>
        <v>0</v>
      </c>
      <c r="I425" s="137">
        <f t="shared" si="75"/>
        <v>0</v>
      </c>
      <c r="J425" s="137">
        <f>IF(F425&gt;VERİLER!$C$7,'İşçi Bilgileri'!M423+(F425-VERİLER!$C$7),0)</f>
        <v>0</v>
      </c>
      <c r="K425" s="137">
        <f>IF(VERİLER!$C$11&gt;0,ROUND(J425*0.15,2),0)</f>
        <v>0</v>
      </c>
      <c r="L425" s="359">
        <f t="shared" si="76"/>
        <v>0</v>
      </c>
      <c r="M425" s="139">
        <f t="shared" si="77"/>
        <v>0</v>
      </c>
      <c r="N425" s="137">
        <f t="shared" si="78"/>
        <v>0</v>
      </c>
      <c r="O425" s="359">
        <f t="shared" si="79"/>
        <v>0</v>
      </c>
      <c r="P425" s="140">
        <f t="shared" si="80"/>
        <v>0</v>
      </c>
      <c r="Q425" s="140">
        <v>0</v>
      </c>
      <c r="R425" s="137">
        <f t="shared" si="81"/>
        <v>0</v>
      </c>
      <c r="S425" s="141">
        <f t="shared" si="82"/>
        <v>0</v>
      </c>
      <c r="T425" s="137">
        <f t="shared" si="83"/>
        <v>0</v>
      </c>
      <c r="U425" s="137">
        <f>ROUND(VERİLER!$F$9*T425,3)</f>
        <v>0</v>
      </c>
      <c r="V425" s="336">
        <f t="shared" si="84"/>
        <v>0</v>
      </c>
      <c r="W425" s="335"/>
      <c r="X425" s="335"/>
      <c r="Y425" s="335"/>
    </row>
    <row r="426" spans="1:25" s="337" customFormat="1" ht="15" customHeight="1" x14ac:dyDescent="0.2">
      <c r="A426" s="299" t="str">
        <f>IF('İşçi Bilgileri'!A424="","",'İşçi Bilgileri'!A424)</f>
        <v/>
      </c>
      <c r="B426" s="300" t="str">
        <f>IF($A426="","",VLOOKUP($A426,'İşçi Bilgileri'!$A$2:$D$700,4,FALSE))</f>
        <v/>
      </c>
      <c r="C426" s="301" t="str">
        <f>CONCATENATE(IF($A426="","",VLOOKUP($A426,'İşçi Bilgileri'!$A$2:$D$700,2,FALSE))," ",IF($A426="","",VLOOKUP($A426,'İşçi Bilgileri'!$A$2:$D$700,3,FALSE)))</f>
        <v xml:space="preserve"> </v>
      </c>
      <c r="D426" s="137" t="str">
        <f>IF($A426="","",VERİLER!$C$5)</f>
        <v/>
      </c>
      <c r="E426" s="138" t="str">
        <f>IF($A426="","",Puantaj!AJ431)</f>
        <v/>
      </c>
      <c r="F426" s="137">
        <f t="shared" si="73"/>
        <v>0</v>
      </c>
      <c r="G426" s="137"/>
      <c r="H426" s="137">
        <f t="shared" si="74"/>
        <v>0</v>
      </c>
      <c r="I426" s="137">
        <f t="shared" si="75"/>
        <v>0</v>
      </c>
      <c r="J426" s="137">
        <f>IF(F426&gt;VERİLER!$C$7,'İşçi Bilgileri'!M424+(F426-VERİLER!$C$7),0)</f>
        <v>0</v>
      </c>
      <c r="K426" s="137">
        <f>IF(VERİLER!$C$11&gt;0,ROUND(J426*0.15,2),0)</f>
        <v>0</v>
      </c>
      <c r="L426" s="359">
        <f t="shared" si="76"/>
        <v>0</v>
      </c>
      <c r="M426" s="139">
        <f t="shared" si="77"/>
        <v>0</v>
      </c>
      <c r="N426" s="137">
        <f t="shared" si="78"/>
        <v>0</v>
      </c>
      <c r="O426" s="359">
        <f t="shared" si="79"/>
        <v>0</v>
      </c>
      <c r="P426" s="140">
        <f t="shared" si="80"/>
        <v>0</v>
      </c>
      <c r="Q426" s="140">
        <v>0</v>
      </c>
      <c r="R426" s="137">
        <f t="shared" si="81"/>
        <v>0</v>
      </c>
      <c r="S426" s="141">
        <f t="shared" si="82"/>
        <v>0</v>
      </c>
      <c r="T426" s="137">
        <f t="shared" si="83"/>
        <v>0</v>
      </c>
      <c r="U426" s="137">
        <f>ROUND(VERİLER!$F$9*T426,3)</f>
        <v>0</v>
      </c>
      <c r="V426" s="336">
        <f t="shared" si="84"/>
        <v>0</v>
      </c>
      <c r="W426" s="335"/>
      <c r="X426" s="335"/>
      <c r="Y426" s="335"/>
    </row>
    <row r="427" spans="1:25" s="337" customFormat="1" ht="15" customHeight="1" x14ac:dyDescent="0.2">
      <c r="A427" s="299" t="str">
        <f>IF('İşçi Bilgileri'!A425="","",'İşçi Bilgileri'!A425)</f>
        <v/>
      </c>
      <c r="B427" s="300" t="str">
        <f>IF($A427="","",VLOOKUP($A427,'İşçi Bilgileri'!$A$2:$D$700,4,FALSE))</f>
        <v/>
      </c>
      <c r="C427" s="301" t="str">
        <f>CONCATENATE(IF($A427="","",VLOOKUP($A427,'İşçi Bilgileri'!$A$2:$D$700,2,FALSE))," ",IF($A427="","",VLOOKUP($A427,'İşçi Bilgileri'!$A$2:$D$700,3,FALSE)))</f>
        <v xml:space="preserve"> </v>
      </c>
      <c r="D427" s="137" t="str">
        <f>IF($A427="","",VERİLER!$C$5)</f>
        <v/>
      </c>
      <c r="E427" s="138" t="str">
        <f>IF($A427="","",Puantaj!AJ432)</f>
        <v/>
      </c>
      <c r="F427" s="137">
        <f t="shared" si="73"/>
        <v>0</v>
      </c>
      <c r="G427" s="137"/>
      <c r="H427" s="137">
        <f t="shared" si="74"/>
        <v>0</v>
      </c>
      <c r="I427" s="137">
        <f t="shared" si="75"/>
        <v>0</v>
      </c>
      <c r="J427" s="137">
        <f>IF(F427&gt;VERİLER!$C$7,'İşçi Bilgileri'!M425+(F427-VERİLER!$C$7),0)</f>
        <v>0</v>
      </c>
      <c r="K427" s="137">
        <f>IF(VERİLER!$C$11&gt;0,ROUND(J427*0.15,2),0)</f>
        <v>0</v>
      </c>
      <c r="L427" s="359">
        <f t="shared" si="76"/>
        <v>0</v>
      </c>
      <c r="M427" s="139">
        <f t="shared" si="77"/>
        <v>0</v>
      </c>
      <c r="N427" s="137">
        <f t="shared" si="78"/>
        <v>0</v>
      </c>
      <c r="O427" s="359">
        <f t="shared" si="79"/>
        <v>0</v>
      </c>
      <c r="P427" s="140">
        <f t="shared" si="80"/>
        <v>0</v>
      </c>
      <c r="Q427" s="140">
        <v>0</v>
      </c>
      <c r="R427" s="137">
        <f t="shared" si="81"/>
        <v>0</v>
      </c>
      <c r="S427" s="141">
        <f t="shared" si="82"/>
        <v>0</v>
      </c>
      <c r="T427" s="137">
        <f t="shared" si="83"/>
        <v>0</v>
      </c>
      <c r="U427" s="137">
        <f>ROUND(VERİLER!$F$9*T427,3)</f>
        <v>0</v>
      </c>
      <c r="V427" s="336">
        <f t="shared" si="84"/>
        <v>0</v>
      </c>
      <c r="W427" s="335"/>
      <c r="X427" s="335"/>
      <c r="Y427" s="335"/>
    </row>
    <row r="428" spans="1:25" s="337" customFormat="1" ht="15" customHeight="1" x14ac:dyDescent="0.2">
      <c r="A428" s="299" t="str">
        <f>IF('İşçi Bilgileri'!A426="","",'İşçi Bilgileri'!A426)</f>
        <v/>
      </c>
      <c r="B428" s="300" t="str">
        <f>IF($A428="","",VLOOKUP($A428,'İşçi Bilgileri'!$A$2:$D$700,4,FALSE))</f>
        <v/>
      </c>
      <c r="C428" s="301" t="str">
        <f>CONCATENATE(IF($A428="","",VLOOKUP($A428,'İşçi Bilgileri'!$A$2:$D$700,2,FALSE))," ",IF($A428="","",VLOOKUP($A428,'İşçi Bilgileri'!$A$2:$D$700,3,FALSE)))</f>
        <v xml:space="preserve"> </v>
      </c>
      <c r="D428" s="137" t="str">
        <f>IF($A428="","",VERİLER!$C$5)</f>
        <v/>
      </c>
      <c r="E428" s="138" t="str">
        <f>IF($A428="","",Puantaj!AJ433)</f>
        <v/>
      </c>
      <c r="F428" s="137">
        <f t="shared" si="73"/>
        <v>0</v>
      </c>
      <c r="G428" s="137"/>
      <c r="H428" s="137">
        <f t="shared" si="74"/>
        <v>0</v>
      </c>
      <c r="I428" s="137">
        <f t="shared" si="75"/>
        <v>0</v>
      </c>
      <c r="J428" s="137">
        <f>IF(F428&gt;VERİLER!$C$7,'İşçi Bilgileri'!M426+(F428-VERİLER!$C$7),0)</f>
        <v>0</v>
      </c>
      <c r="K428" s="137">
        <f>IF(VERİLER!$C$11&gt;0,ROUND(J428*0.15,2),0)</f>
        <v>0</v>
      </c>
      <c r="L428" s="359">
        <f t="shared" si="76"/>
        <v>0</v>
      </c>
      <c r="M428" s="139">
        <f t="shared" si="77"/>
        <v>0</v>
      </c>
      <c r="N428" s="137">
        <f t="shared" si="78"/>
        <v>0</v>
      </c>
      <c r="O428" s="359">
        <f t="shared" si="79"/>
        <v>0</v>
      </c>
      <c r="P428" s="140">
        <f t="shared" si="80"/>
        <v>0</v>
      </c>
      <c r="Q428" s="140">
        <v>0</v>
      </c>
      <c r="R428" s="137">
        <f t="shared" si="81"/>
        <v>0</v>
      </c>
      <c r="S428" s="141">
        <f t="shared" si="82"/>
        <v>0</v>
      </c>
      <c r="T428" s="137">
        <f t="shared" si="83"/>
        <v>0</v>
      </c>
      <c r="U428" s="137">
        <f>ROUND(VERİLER!$F$9*T428,3)</f>
        <v>0</v>
      </c>
      <c r="V428" s="336">
        <f t="shared" si="84"/>
        <v>0</v>
      </c>
      <c r="W428" s="335"/>
      <c r="X428" s="335"/>
      <c r="Y428" s="335"/>
    </row>
    <row r="429" spans="1:25" s="337" customFormat="1" ht="15" customHeight="1" x14ac:dyDescent="0.2">
      <c r="A429" s="299" t="str">
        <f>IF('İşçi Bilgileri'!A427="","",'İşçi Bilgileri'!A427)</f>
        <v/>
      </c>
      <c r="B429" s="300" t="str">
        <f>IF($A429="","",VLOOKUP($A429,'İşçi Bilgileri'!$A$2:$D$700,4,FALSE))</f>
        <v/>
      </c>
      <c r="C429" s="301" t="str">
        <f>CONCATENATE(IF($A429="","",VLOOKUP($A429,'İşçi Bilgileri'!$A$2:$D$700,2,FALSE))," ",IF($A429="","",VLOOKUP($A429,'İşçi Bilgileri'!$A$2:$D$700,3,FALSE)))</f>
        <v xml:space="preserve"> </v>
      </c>
      <c r="D429" s="137" t="str">
        <f>IF($A429="","",VERİLER!$C$5)</f>
        <v/>
      </c>
      <c r="E429" s="138" t="str">
        <f>IF($A429="","",Puantaj!AJ434)</f>
        <v/>
      </c>
      <c r="F429" s="137">
        <f t="shared" si="73"/>
        <v>0</v>
      </c>
      <c r="G429" s="137"/>
      <c r="H429" s="137">
        <f t="shared" si="74"/>
        <v>0</v>
      </c>
      <c r="I429" s="137">
        <f t="shared" si="75"/>
        <v>0</v>
      </c>
      <c r="J429" s="137">
        <f>IF(F429&gt;VERİLER!$C$7,'İşçi Bilgileri'!M427+(F429-VERİLER!$C$7),0)</f>
        <v>0</v>
      </c>
      <c r="K429" s="137">
        <f>IF(VERİLER!$C$11&gt;0,ROUND(J429*0.15,2),0)</f>
        <v>0</v>
      </c>
      <c r="L429" s="359">
        <f t="shared" si="76"/>
        <v>0</v>
      </c>
      <c r="M429" s="139">
        <f t="shared" si="77"/>
        <v>0</v>
      </c>
      <c r="N429" s="137">
        <f t="shared" si="78"/>
        <v>0</v>
      </c>
      <c r="O429" s="359">
        <f t="shared" si="79"/>
        <v>0</v>
      </c>
      <c r="P429" s="140">
        <f t="shared" si="80"/>
        <v>0</v>
      </c>
      <c r="Q429" s="140">
        <v>0</v>
      </c>
      <c r="R429" s="137">
        <f t="shared" si="81"/>
        <v>0</v>
      </c>
      <c r="S429" s="141">
        <f t="shared" si="82"/>
        <v>0</v>
      </c>
      <c r="T429" s="137">
        <f t="shared" si="83"/>
        <v>0</v>
      </c>
      <c r="U429" s="137">
        <f>ROUND(VERİLER!$F$9*T429,3)</f>
        <v>0</v>
      </c>
      <c r="V429" s="336">
        <f t="shared" si="84"/>
        <v>0</v>
      </c>
      <c r="W429" s="335"/>
      <c r="X429" s="335"/>
      <c r="Y429" s="335"/>
    </row>
    <row r="430" spans="1:25" s="337" customFormat="1" ht="15" customHeight="1" x14ac:dyDescent="0.2">
      <c r="A430" s="299" t="str">
        <f>IF('İşçi Bilgileri'!A428="","",'İşçi Bilgileri'!A428)</f>
        <v/>
      </c>
      <c r="B430" s="300" t="str">
        <f>IF($A430="","",VLOOKUP($A430,'İşçi Bilgileri'!$A$2:$D$700,4,FALSE))</f>
        <v/>
      </c>
      <c r="C430" s="301" t="str">
        <f>CONCATENATE(IF($A430="","",VLOOKUP($A430,'İşçi Bilgileri'!$A$2:$D$700,2,FALSE))," ",IF($A430="","",VLOOKUP($A430,'İşçi Bilgileri'!$A$2:$D$700,3,FALSE)))</f>
        <v xml:space="preserve"> </v>
      </c>
      <c r="D430" s="137" t="str">
        <f>IF($A430="","",VERİLER!$C$5)</f>
        <v/>
      </c>
      <c r="E430" s="138" t="str">
        <f>IF($A430="","",Puantaj!AJ435)</f>
        <v/>
      </c>
      <c r="F430" s="137">
        <f t="shared" si="73"/>
        <v>0</v>
      </c>
      <c r="G430" s="137"/>
      <c r="H430" s="137">
        <f t="shared" si="74"/>
        <v>0</v>
      </c>
      <c r="I430" s="137">
        <f t="shared" si="75"/>
        <v>0</v>
      </c>
      <c r="J430" s="137">
        <f>IF(F430&gt;VERİLER!$C$7,'İşçi Bilgileri'!M428+(F430-VERİLER!$C$7),0)</f>
        <v>0</v>
      </c>
      <c r="K430" s="137">
        <f>IF(VERİLER!$C$11&gt;0,ROUND(J430*0.15,2),0)</f>
        <v>0</v>
      </c>
      <c r="L430" s="359">
        <f t="shared" si="76"/>
        <v>0</v>
      </c>
      <c r="M430" s="139">
        <f t="shared" si="77"/>
        <v>0</v>
      </c>
      <c r="N430" s="137">
        <f t="shared" si="78"/>
        <v>0</v>
      </c>
      <c r="O430" s="359">
        <f t="shared" si="79"/>
        <v>0</v>
      </c>
      <c r="P430" s="140">
        <f t="shared" si="80"/>
        <v>0</v>
      </c>
      <c r="Q430" s="140">
        <v>0</v>
      </c>
      <c r="R430" s="137">
        <f t="shared" si="81"/>
        <v>0</v>
      </c>
      <c r="S430" s="141">
        <f t="shared" si="82"/>
        <v>0</v>
      </c>
      <c r="T430" s="137">
        <f t="shared" si="83"/>
        <v>0</v>
      </c>
      <c r="U430" s="137">
        <f>ROUND(VERİLER!$F$9*T430,3)</f>
        <v>0</v>
      </c>
      <c r="V430" s="336">
        <f t="shared" si="84"/>
        <v>0</v>
      </c>
      <c r="W430" s="335"/>
      <c r="X430" s="335"/>
      <c r="Y430" s="335"/>
    </row>
    <row r="431" spans="1:25" s="337" customFormat="1" ht="15" customHeight="1" x14ac:dyDescent="0.2">
      <c r="A431" s="299" t="str">
        <f>IF('İşçi Bilgileri'!A429="","",'İşçi Bilgileri'!A429)</f>
        <v/>
      </c>
      <c r="B431" s="300" t="str">
        <f>IF($A431="","",VLOOKUP($A431,'İşçi Bilgileri'!$A$2:$D$700,4,FALSE))</f>
        <v/>
      </c>
      <c r="C431" s="301" t="str">
        <f>CONCATENATE(IF($A431="","",VLOOKUP($A431,'İşçi Bilgileri'!$A$2:$D$700,2,FALSE))," ",IF($A431="","",VLOOKUP($A431,'İşçi Bilgileri'!$A$2:$D$700,3,FALSE)))</f>
        <v xml:space="preserve"> </v>
      </c>
      <c r="D431" s="137" t="str">
        <f>IF($A431="","",VERİLER!$C$5)</f>
        <v/>
      </c>
      <c r="E431" s="138" t="str">
        <f>IF($A431="","",Puantaj!AJ436)</f>
        <v/>
      </c>
      <c r="F431" s="137">
        <f t="shared" si="73"/>
        <v>0</v>
      </c>
      <c r="G431" s="137"/>
      <c r="H431" s="137">
        <f t="shared" si="74"/>
        <v>0</v>
      </c>
      <c r="I431" s="137">
        <f t="shared" si="75"/>
        <v>0</v>
      </c>
      <c r="J431" s="137">
        <f>IF(F431&gt;VERİLER!$C$7,'İşçi Bilgileri'!M429+(F431-VERİLER!$C$7),0)</f>
        <v>0</v>
      </c>
      <c r="K431" s="137">
        <f>IF(VERİLER!$C$11&gt;0,ROUND(J431*0.15,2),0)</f>
        <v>0</v>
      </c>
      <c r="L431" s="359">
        <f t="shared" si="76"/>
        <v>0</v>
      </c>
      <c r="M431" s="139">
        <f t="shared" si="77"/>
        <v>0</v>
      </c>
      <c r="N431" s="137">
        <f t="shared" si="78"/>
        <v>0</v>
      </c>
      <c r="O431" s="359">
        <f t="shared" si="79"/>
        <v>0</v>
      </c>
      <c r="P431" s="140">
        <f t="shared" si="80"/>
        <v>0</v>
      </c>
      <c r="Q431" s="140">
        <v>0</v>
      </c>
      <c r="R431" s="137">
        <f t="shared" si="81"/>
        <v>0</v>
      </c>
      <c r="S431" s="141">
        <f t="shared" si="82"/>
        <v>0</v>
      </c>
      <c r="T431" s="137">
        <f t="shared" si="83"/>
        <v>0</v>
      </c>
      <c r="U431" s="137">
        <f>ROUND(VERİLER!$F$9*T431,3)</f>
        <v>0</v>
      </c>
      <c r="V431" s="336">
        <f t="shared" si="84"/>
        <v>0</v>
      </c>
      <c r="W431" s="335"/>
      <c r="X431" s="335"/>
      <c r="Y431" s="335"/>
    </row>
    <row r="432" spans="1:25" s="337" customFormat="1" ht="15" customHeight="1" x14ac:dyDescent="0.2">
      <c r="A432" s="299" t="str">
        <f>IF('İşçi Bilgileri'!A430="","",'İşçi Bilgileri'!A430)</f>
        <v/>
      </c>
      <c r="B432" s="300" t="str">
        <f>IF($A432="","",VLOOKUP($A432,'İşçi Bilgileri'!$A$2:$D$700,4,FALSE))</f>
        <v/>
      </c>
      <c r="C432" s="301" t="str">
        <f>CONCATENATE(IF($A432="","",VLOOKUP($A432,'İşçi Bilgileri'!$A$2:$D$700,2,FALSE))," ",IF($A432="","",VLOOKUP($A432,'İşçi Bilgileri'!$A$2:$D$700,3,FALSE)))</f>
        <v xml:space="preserve"> </v>
      </c>
      <c r="D432" s="137" t="str">
        <f>IF($A432="","",VERİLER!$C$5)</f>
        <v/>
      </c>
      <c r="E432" s="138" t="str">
        <f>IF($A432="","",Puantaj!AJ437)</f>
        <v/>
      </c>
      <c r="F432" s="137">
        <f t="shared" si="73"/>
        <v>0</v>
      </c>
      <c r="G432" s="137"/>
      <c r="H432" s="137">
        <f t="shared" si="74"/>
        <v>0</v>
      </c>
      <c r="I432" s="137">
        <f t="shared" si="75"/>
        <v>0</v>
      </c>
      <c r="J432" s="137">
        <f>IF(F432&gt;VERİLER!$C$7,'İşçi Bilgileri'!M430+(F432-VERİLER!$C$7),0)</f>
        <v>0</v>
      </c>
      <c r="K432" s="137">
        <f>IF(VERİLER!$C$11&gt;0,ROUND(J432*0.15,2),0)</f>
        <v>0</v>
      </c>
      <c r="L432" s="359">
        <f t="shared" si="76"/>
        <v>0</v>
      </c>
      <c r="M432" s="139">
        <f t="shared" si="77"/>
        <v>0</v>
      </c>
      <c r="N432" s="137">
        <f t="shared" si="78"/>
        <v>0</v>
      </c>
      <c r="O432" s="359">
        <f t="shared" si="79"/>
        <v>0</v>
      </c>
      <c r="P432" s="140">
        <f t="shared" si="80"/>
        <v>0</v>
      </c>
      <c r="Q432" s="140">
        <v>0</v>
      </c>
      <c r="R432" s="137">
        <f t="shared" si="81"/>
        <v>0</v>
      </c>
      <c r="S432" s="141">
        <f t="shared" si="82"/>
        <v>0</v>
      </c>
      <c r="T432" s="137">
        <f t="shared" si="83"/>
        <v>0</v>
      </c>
      <c r="U432" s="137">
        <f>ROUND(VERİLER!$F$9*T432,3)</f>
        <v>0</v>
      </c>
      <c r="V432" s="336">
        <f t="shared" si="84"/>
        <v>0</v>
      </c>
      <c r="W432" s="335"/>
      <c r="X432" s="335"/>
      <c r="Y432" s="335"/>
    </row>
    <row r="433" spans="1:25" s="337" customFormat="1" ht="15" customHeight="1" x14ac:dyDescent="0.2">
      <c r="A433" s="299" t="str">
        <f>IF('İşçi Bilgileri'!A431="","",'İşçi Bilgileri'!A431)</f>
        <v/>
      </c>
      <c r="B433" s="300" t="str">
        <f>IF($A433="","",VLOOKUP($A433,'İşçi Bilgileri'!$A$2:$D$700,4,FALSE))</f>
        <v/>
      </c>
      <c r="C433" s="301" t="str">
        <f>CONCATENATE(IF($A433="","",VLOOKUP($A433,'İşçi Bilgileri'!$A$2:$D$700,2,FALSE))," ",IF($A433="","",VLOOKUP($A433,'İşçi Bilgileri'!$A$2:$D$700,3,FALSE)))</f>
        <v xml:space="preserve"> </v>
      </c>
      <c r="D433" s="137" t="str">
        <f>IF($A433="","",VERİLER!$C$5)</f>
        <v/>
      </c>
      <c r="E433" s="138" t="str">
        <f>IF($A433="","",Puantaj!AJ438)</f>
        <v/>
      </c>
      <c r="F433" s="137">
        <f t="shared" si="73"/>
        <v>0</v>
      </c>
      <c r="G433" s="137"/>
      <c r="H433" s="137">
        <f t="shared" si="74"/>
        <v>0</v>
      </c>
      <c r="I433" s="137">
        <f t="shared" si="75"/>
        <v>0</v>
      </c>
      <c r="J433" s="137">
        <f>IF(F433&gt;VERİLER!$C$7,'İşçi Bilgileri'!M431+(F433-VERİLER!$C$7),0)</f>
        <v>0</v>
      </c>
      <c r="K433" s="137">
        <f>IF(VERİLER!$C$11&gt;0,ROUND(J433*0.15,2),0)</f>
        <v>0</v>
      </c>
      <c r="L433" s="359">
        <f t="shared" si="76"/>
        <v>0</v>
      </c>
      <c r="M433" s="139">
        <f t="shared" si="77"/>
        <v>0</v>
      </c>
      <c r="N433" s="137">
        <f t="shared" si="78"/>
        <v>0</v>
      </c>
      <c r="O433" s="359">
        <f t="shared" si="79"/>
        <v>0</v>
      </c>
      <c r="P433" s="140">
        <f t="shared" si="80"/>
        <v>0</v>
      </c>
      <c r="Q433" s="140">
        <v>0</v>
      </c>
      <c r="R433" s="137">
        <f t="shared" si="81"/>
        <v>0</v>
      </c>
      <c r="S433" s="141">
        <f t="shared" si="82"/>
        <v>0</v>
      </c>
      <c r="T433" s="137">
        <f t="shared" si="83"/>
        <v>0</v>
      </c>
      <c r="U433" s="137">
        <f>ROUND(VERİLER!$F$9*T433,3)</f>
        <v>0</v>
      </c>
      <c r="V433" s="336">
        <f t="shared" si="84"/>
        <v>0</v>
      </c>
      <c r="W433" s="335"/>
      <c r="X433" s="335"/>
      <c r="Y433" s="335"/>
    </row>
    <row r="434" spans="1:25" s="337" customFormat="1" ht="15" customHeight="1" x14ac:dyDescent="0.2">
      <c r="A434" s="299" t="str">
        <f>IF('İşçi Bilgileri'!A432="","",'İşçi Bilgileri'!A432)</f>
        <v/>
      </c>
      <c r="B434" s="300" t="str">
        <f>IF($A434="","",VLOOKUP($A434,'İşçi Bilgileri'!$A$2:$D$700,4,FALSE))</f>
        <v/>
      </c>
      <c r="C434" s="301" t="str">
        <f>CONCATENATE(IF($A434="","",VLOOKUP($A434,'İşçi Bilgileri'!$A$2:$D$700,2,FALSE))," ",IF($A434="","",VLOOKUP($A434,'İşçi Bilgileri'!$A$2:$D$700,3,FALSE)))</f>
        <v xml:space="preserve"> </v>
      </c>
      <c r="D434" s="137" t="str">
        <f>IF($A434="","",VERİLER!$C$5)</f>
        <v/>
      </c>
      <c r="E434" s="138" t="str">
        <f>IF($A434="","",Puantaj!AJ439)</f>
        <v/>
      </c>
      <c r="F434" s="137">
        <f t="shared" si="73"/>
        <v>0</v>
      </c>
      <c r="G434" s="137"/>
      <c r="H434" s="137">
        <f t="shared" si="74"/>
        <v>0</v>
      </c>
      <c r="I434" s="137">
        <f t="shared" si="75"/>
        <v>0</v>
      </c>
      <c r="J434" s="137">
        <f>IF(F434&gt;VERİLER!$C$7,'İşçi Bilgileri'!M432+(F434-VERİLER!$C$7),0)</f>
        <v>0</v>
      </c>
      <c r="K434" s="137">
        <f>IF(VERİLER!$C$11&gt;0,ROUND(J434*0.15,2),0)</f>
        <v>0</v>
      </c>
      <c r="L434" s="359">
        <f t="shared" si="76"/>
        <v>0</v>
      </c>
      <c r="M434" s="139">
        <f t="shared" si="77"/>
        <v>0</v>
      </c>
      <c r="N434" s="137">
        <f t="shared" si="78"/>
        <v>0</v>
      </c>
      <c r="O434" s="359">
        <f t="shared" si="79"/>
        <v>0</v>
      </c>
      <c r="P434" s="140">
        <f t="shared" si="80"/>
        <v>0</v>
      </c>
      <c r="Q434" s="140">
        <v>0</v>
      </c>
      <c r="R434" s="137">
        <f t="shared" si="81"/>
        <v>0</v>
      </c>
      <c r="S434" s="141">
        <f t="shared" si="82"/>
        <v>0</v>
      </c>
      <c r="T434" s="137">
        <f t="shared" si="83"/>
        <v>0</v>
      </c>
      <c r="U434" s="137">
        <f>ROUND(VERİLER!$F$9*T434,3)</f>
        <v>0</v>
      </c>
      <c r="V434" s="336">
        <f t="shared" si="84"/>
        <v>0</v>
      </c>
      <c r="W434" s="335"/>
      <c r="X434" s="335"/>
      <c r="Y434" s="335"/>
    </row>
    <row r="435" spans="1:25" s="337" customFormat="1" ht="15" customHeight="1" x14ac:dyDescent="0.2">
      <c r="A435" s="299" t="str">
        <f>IF('İşçi Bilgileri'!A433="","",'İşçi Bilgileri'!A433)</f>
        <v/>
      </c>
      <c r="B435" s="300" t="str">
        <f>IF($A435="","",VLOOKUP($A435,'İşçi Bilgileri'!$A$2:$D$700,4,FALSE))</f>
        <v/>
      </c>
      <c r="C435" s="301" t="str">
        <f>CONCATENATE(IF($A435="","",VLOOKUP($A435,'İşçi Bilgileri'!$A$2:$D$700,2,FALSE))," ",IF($A435="","",VLOOKUP($A435,'İşçi Bilgileri'!$A$2:$D$700,3,FALSE)))</f>
        <v xml:space="preserve"> </v>
      </c>
      <c r="D435" s="137" t="str">
        <f>IF($A435="","",VERİLER!$C$5)</f>
        <v/>
      </c>
      <c r="E435" s="138" t="str">
        <f>IF($A435="","",Puantaj!AJ440)</f>
        <v/>
      </c>
      <c r="F435" s="137">
        <f t="shared" si="73"/>
        <v>0</v>
      </c>
      <c r="G435" s="137"/>
      <c r="H435" s="137">
        <f t="shared" si="74"/>
        <v>0</v>
      </c>
      <c r="I435" s="137">
        <f t="shared" si="75"/>
        <v>0</v>
      </c>
      <c r="J435" s="137">
        <f>IF(F435&gt;VERİLER!$C$7,'İşçi Bilgileri'!M433+(F435-VERİLER!$C$7),0)</f>
        <v>0</v>
      </c>
      <c r="K435" s="137">
        <f>IF(VERİLER!$C$11&gt;0,ROUND(J435*0.15,2),0)</f>
        <v>0</v>
      </c>
      <c r="L435" s="359">
        <f t="shared" si="76"/>
        <v>0</v>
      </c>
      <c r="M435" s="139">
        <f t="shared" si="77"/>
        <v>0</v>
      </c>
      <c r="N435" s="137">
        <f t="shared" si="78"/>
        <v>0</v>
      </c>
      <c r="O435" s="359">
        <f t="shared" si="79"/>
        <v>0</v>
      </c>
      <c r="P435" s="140">
        <f t="shared" si="80"/>
        <v>0</v>
      </c>
      <c r="Q435" s="140">
        <v>0</v>
      </c>
      <c r="R435" s="137">
        <f t="shared" si="81"/>
        <v>0</v>
      </c>
      <c r="S435" s="141">
        <f t="shared" si="82"/>
        <v>0</v>
      </c>
      <c r="T435" s="137">
        <f t="shared" si="83"/>
        <v>0</v>
      </c>
      <c r="U435" s="137">
        <f>ROUND(VERİLER!$F$9*T435,3)</f>
        <v>0</v>
      </c>
      <c r="V435" s="336">
        <f t="shared" si="84"/>
        <v>0</v>
      </c>
      <c r="W435" s="335"/>
      <c r="X435" s="335"/>
      <c r="Y435" s="335"/>
    </row>
    <row r="436" spans="1:25" s="337" customFormat="1" ht="15" customHeight="1" x14ac:dyDescent="0.2">
      <c r="A436" s="299" t="str">
        <f>IF('İşçi Bilgileri'!A434="","",'İşçi Bilgileri'!A434)</f>
        <v/>
      </c>
      <c r="B436" s="300" t="str">
        <f>IF($A436="","",VLOOKUP($A436,'İşçi Bilgileri'!$A$2:$D$700,4,FALSE))</f>
        <v/>
      </c>
      <c r="C436" s="301" t="str">
        <f>CONCATENATE(IF($A436="","",VLOOKUP($A436,'İşçi Bilgileri'!$A$2:$D$700,2,FALSE))," ",IF($A436="","",VLOOKUP($A436,'İşçi Bilgileri'!$A$2:$D$700,3,FALSE)))</f>
        <v xml:space="preserve"> </v>
      </c>
      <c r="D436" s="137" t="str">
        <f>IF($A436="","",VERİLER!$C$5)</f>
        <v/>
      </c>
      <c r="E436" s="138" t="str">
        <f>IF($A436="","",Puantaj!AJ441)</f>
        <v/>
      </c>
      <c r="F436" s="137">
        <f t="shared" si="73"/>
        <v>0</v>
      </c>
      <c r="G436" s="137"/>
      <c r="H436" s="137">
        <f t="shared" si="74"/>
        <v>0</v>
      </c>
      <c r="I436" s="137">
        <f t="shared" si="75"/>
        <v>0</v>
      </c>
      <c r="J436" s="137">
        <f>IF(F436&gt;VERİLER!$C$7,'İşçi Bilgileri'!M434+(F436-VERİLER!$C$7),0)</f>
        <v>0</v>
      </c>
      <c r="K436" s="137">
        <f>IF(VERİLER!$C$11&gt;0,ROUND(J436*0.15,2),0)</f>
        <v>0</v>
      </c>
      <c r="L436" s="359">
        <f t="shared" si="76"/>
        <v>0</v>
      </c>
      <c r="M436" s="139">
        <f t="shared" si="77"/>
        <v>0</v>
      </c>
      <c r="N436" s="137">
        <f t="shared" si="78"/>
        <v>0</v>
      </c>
      <c r="O436" s="359">
        <f t="shared" si="79"/>
        <v>0</v>
      </c>
      <c r="P436" s="140">
        <f t="shared" si="80"/>
        <v>0</v>
      </c>
      <c r="Q436" s="140">
        <v>0</v>
      </c>
      <c r="R436" s="137">
        <f t="shared" si="81"/>
        <v>0</v>
      </c>
      <c r="S436" s="141">
        <f t="shared" si="82"/>
        <v>0</v>
      </c>
      <c r="T436" s="137">
        <f t="shared" si="83"/>
        <v>0</v>
      </c>
      <c r="U436" s="137">
        <f>ROUND(VERİLER!$F$9*T436,3)</f>
        <v>0</v>
      </c>
      <c r="V436" s="336">
        <f t="shared" si="84"/>
        <v>0</v>
      </c>
      <c r="W436" s="335"/>
      <c r="X436" s="335"/>
      <c r="Y436" s="335"/>
    </row>
    <row r="437" spans="1:25" s="337" customFormat="1" ht="15" customHeight="1" x14ac:dyDescent="0.2">
      <c r="A437" s="299" t="str">
        <f>IF('İşçi Bilgileri'!A435="","",'İşçi Bilgileri'!A435)</f>
        <v/>
      </c>
      <c r="B437" s="300" t="str">
        <f>IF($A437="","",VLOOKUP($A437,'İşçi Bilgileri'!$A$2:$D$700,4,FALSE))</f>
        <v/>
      </c>
      <c r="C437" s="301" t="str">
        <f>CONCATENATE(IF($A437="","",VLOOKUP($A437,'İşçi Bilgileri'!$A$2:$D$700,2,FALSE))," ",IF($A437="","",VLOOKUP($A437,'İşçi Bilgileri'!$A$2:$D$700,3,FALSE)))</f>
        <v xml:space="preserve"> </v>
      </c>
      <c r="D437" s="137" t="str">
        <f>IF($A437="","",VERİLER!$C$5)</f>
        <v/>
      </c>
      <c r="E437" s="138" t="str">
        <f>IF($A437="","",Puantaj!AJ442)</f>
        <v/>
      </c>
      <c r="F437" s="137">
        <f t="shared" si="73"/>
        <v>0</v>
      </c>
      <c r="G437" s="137"/>
      <c r="H437" s="137">
        <f t="shared" si="74"/>
        <v>0</v>
      </c>
      <c r="I437" s="137">
        <f t="shared" si="75"/>
        <v>0</v>
      </c>
      <c r="J437" s="137">
        <f>IF(F437&gt;VERİLER!$C$7,'İşçi Bilgileri'!M435+(F437-VERİLER!$C$7),0)</f>
        <v>0</v>
      </c>
      <c r="K437" s="137">
        <f>IF(VERİLER!$C$11&gt;0,ROUND(J437*0.15,2),0)</f>
        <v>0</v>
      </c>
      <c r="L437" s="359">
        <f t="shared" si="76"/>
        <v>0</v>
      </c>
      <c r="M437" s="139">
        <f t="shared" si="77"/>
        <v>0</v>
      </c>
      <c r="N437" s="137">
        <f t="shared" si="78"/>
        <v>0</v>
      </c>
      <c r="O437" s="359">
        <f t="shared" si="79"/>
        <v>0</v>
      </c>
      <c r="P437" s="140">
        <f t="shared" si="80"/>
        <v>0</v>
      </c>
      <c r="Q437" s="140">
        <v>0</v>
      </c>
      <c r="R437" s="137">
        <f t="shared" si="81"/>
        <v>0</v>
      </c>
      <c r="S437" s="141">
        <f t="shared" si="82"/>
        <v>0</v>
      </c>
      <c r="T437" s="137">
        <f t="shared" si="83"/>
        <v>0</v>
      </c>
      <c r="U437" s="137">
        <f>ROUND(VERİLER!$F$9*T437,3)</f>
        <v>0</v>
      </c>
      <c r="V437" s="336">
        <f t="shared" si="84"/>
        <v>0</v>
      </c>
      <c r="W437" s="335"/>
      <c r="X437" s="335"/>
      <c r="Y437" s="335"/>
    </row>
    <row r="438" spans="1:25" s="337" customFormat="1" ht="15" customHeight="1" x14ac:dyDescent="0.2">
      <c r="A438" s="299" t="str">
        <f>IF('İşçi Bilgileri'!A436="","",'İşçi Bilgileri'!A436)</f>
        <v/>
      </c>
      <c r="B438" s="300" t="str">
        <f>IF($A438="","",VLOOKUP($A438,'İşçi Bilgileri'!$A$2:$D$700,4,FALSE))</f>
        <v/>
      </c>
      <c r="C438" s="301" t="str">
        <f>CONCATENATE(IF($A438="","",VLOOKUP($A438,'İşçi Bilgileri'!$A$2:$D$700,2,FALSE))," ",IF($A438="","",VLOOKUP($A438,'İşçi Bilgileri'!$A$2:$D$700,3,FALSE)))</f>
        <v xml:space="preserve"> </v>
      </c>
      <c r="D438" s="137" t="str">
        <f>IF($A438="","",VERİLER!$C$5)</f>
        <v/>
      </c>
      <c r="E438" s="138" t="str">
        <f>IF($A438="","",Puantaj!AJ443)</f>
        <v/>
      </c>
      <c r="F438" s="137">
        <f t="shared" si="73"/>
        <v>0</v>
      </c>
      <c r="G438" s="137"/>
      <c r="H438" s="137">
        <f t="shared" si="74"/>
        <v>0</v>
      </c>
      <c r="I438" s="137">
        <f t="shared" si="75"/>
        <v>0</v>
      </c>
      <c r="J438" s="137">
        <f>IF(F438&gt;VERİLER!$C$7,'İşçi Bilgileri'!M436+(F438-VERİLER!$C$7),0)</f>
        <v>0</v>
      </c>
      <c r="K438" s="137">
        <f>IF(VERİLER!$C$11&gt;0,ROUND(J438*0.15,2),0)</f>
        <v>0</v>
      </c>
      <c r="L438" s="359">
        <f t="shared" si="76"/>
        <v>0</v>
      </c>
      <c r="M438" s="139">
        <f t="shared" si="77"/>
        <v>0</v>
      </c>
      <c r="N438" s="137">
        <f t="shared" si="78"/>
        <v>0</v>
      </c>
      <c r="O438" s="359">
        <f t="shared" si="79"/>
        <v>0</v>
      </c>
      <c r="P438" s="140">
        <f t="shared" si="80"/>
        <v>0</v>
      </c>
      <c r="Q438" s="140">
        <v>0</v>
      </c>
      <c r="R438" s="137">
        <f t="shared" si="81"/>
        <v>0</v>
      </c>
      <c r="S438" s="141">
        <f t="shared" si="82"/>
        <v>0</v>
      </c>
      <c r="T438" s="137">
        <f t="shared" si="83"/>
        <v>0</v>
      </c>
      <c r="U438" s="137">
        <f>ROUND(VERİLER!$F$9*T438,3)</f>
        <v>0</v>
      </c>
      <c r="V438" s="336">
        <f t="shared" si="84"/>
        <v>0</v>
      </c>
      <c r="W438" s="335"/>
      <c r="X438" s="335"/>
      <c r="Y438" s="335"/>
    </row>
    <row r="439" spans="1:25" s="337" customFormat="1" ht="15" customHeight="1" x14ac:dyDescent="0.2">
      <c r="A439" s="299" t="str">
        <f>IF('İşçi Bilgileri'!A437="","",'İşçi Bilgileri'!A437)</f>
        <v/>
      </c>
      <c r="B439" s="300" t="str">
        <f>IF($A439="","",VLOOKUP($A439,'İşçi Bilgileri'!$A$2:$D$700,4,FALSE))</f>
        <v/>
      </c>
      <c r="C439" s="301" t="str">
        <f>CONCATENATE(IF($A439="","",VLOOKUP($A439,'İşçi Bilgileri'!$A$2:$D$700,2,FALSE))," ",IF($A439="","",VLOOKUP($A439,'İşçi Bilgileri'!$A$2:$D$700,3,FALSE)))</f>
        <v xml:space="preserve"> </v>
      </c>
      <c r="D439" s="137" t="str">
        <f>IF($A439="","",VERİLER!$C$5)</f>
        <v/>
      </c>
      <c r="E439" s="138" t="str">
        <f>IF($A439="","",Puantaj!AJ444)</f>
        <v/>
      </c>
      <c r="F439" s="137">
        <f t="shared" si="73"/>
        <v>0</v>
      </c>
      <c r="G439" s="137"/>
      <c r="H439" s="137">
        <f t="shared" si="74"/>
        <v>0</v>
      </c>
      <c r="I439" s="137">
        <f t="shared" si="75"/>
        <v>0</v>
      </c>
      <c r="J439" s="137">
        <f>IF(F439&gt;VERİLER!$C$7,'İşçi Bilgileri'!M437+(F439-VERİLER!$C$7),0)</f>
        <v>0</v>
      </c>
      <c r="K439" s="137">
        <f>IF(VERİLER!$C$11&gt;0,ROUND(J439*0.15,2),0)</f>
        <v>0</v>
      </c>
      <c r="L439" s="359">
        <f t="shared" si="76"/>
        <v>0</v>
      </c>
      <c r="M439" s="139">
        <f t="shared" si="77"/>
        <v>0</v>
      </c>
      <c r="N439" s="137">
        <f t="shared" si="78"/>
        <v>0</v>
      </c>
      <c r="O439" s="359">
        <f t="shared" si="79"/>
        <v>0</v>
      </c>
      <c r="P439" s="140">
        <f t="shared" si="80"/>
        <v>0</v>
      </c>
      <c r="Q439" s="140">
        <v>0</v>
      </c>
      <c r="R439" s="137">
        <f t="shared" si="81"/>
        <v>0</v>
      </c>
      <c r="S439" s="141">
        <f t="shared" si="82"/>
        <v>0</v>
      </c>
      <c r="T439" s="137">
        <f t="shared" si="83"/>
        <v>0</v>
      </c>
      <c r="U439" s="137">
        <f>ROUND(VERİLER!$F$9*T439,3)</f>
        <v>0</v>
      </c>
      <c r="V439" s="336">
        <f t="shared" si="84"/>
        <v>0</v>
      </c>
      <c r="W439" s="335"/>
      <c r="X439" s="335"/>
      <c r="Y439" s="335"/>
    </row>
    <row r="440" spans="1:25" s="337" customFormat="1" ht="15" customHeight="1" x14ac:dyDescent="0.2">
      <c r="A440" s="299" t="str">
        <f>IF('İşçi Bilgileri'!A438="","",'İşçi Bilgileri'!A438)</f>
        <v/>
      </c>
      <c r="B440" s="300" t="str">
        <f>IF($A440="","",VLOOKUP($A440,'İşçi Bilgileri'!$A$2:$D$700,4,FALSE))</f>
        <v/>
      </c>
      <c r="C440" s="301" t="str">
        <f>CONCATENATE(IF($A440="","",VLOOKUP($A440,'İşçi Bilgileri'!$A$2:$D$700,2,FALSE))," ",IF($A440="","",VLOOKUP($A440,'İşçi Bilgileri'!$A$2:$D$700,3,FALSE)))</f>
        <v xml:space="preserve"> </v>
      </c>
      <c r="D440" s="137" t="str">
        <f>IF($A440="","",VERİLER!$C$5)</f>
        <v/>
      </c>
      <c r="E440" s="138" t="str">
        <f>IF($A440="","",Puantaj!AJ445)</f>
        <v/>
      </c>
      <c r="F440" s="137">
        <f t="shared" si="73"/>
        <v>0</v>
      </c>
      <c r="G440" s="137"/>
      <c r="H440" s="137">
        <f t="shared" si="74"/>
        <v>0</v>
      </c>
      <c r="I440" s="137">
        <f t="shared" si="75"/>
        <v>0</v>
      </c>
      <c r="J440" s="137">
        <f>IF(F440&gt;VERİLER!$C$7,'İşçi Bilgileri'!M438+(F440-VERİLER!$C$7),0)</f>
        <v>0</v>
      </c>
      <c r="K440" s="137">
        <f>IF(VERİLER!$C$11&gt;0,ROUND(J440*0.15,2),0)</f>
        <v>0</v>
      </c>
      <c r="L440" s="359">
        <f t="shared" si="76"/>
        <v>0</v>
      </c>
      <c r="M440" s="139">
        <f t="shared" si="77"/>
        <v>0</v>
      </c>
      <c r="N440" s="137">
        <f t="shared" si="78"/>
        <v>0</v>
      </c>
      <c r="O440" s="359">
        <f t="shared" si="79"/>
        <v>0</v>
      </c>
      <c r="P440" s="140">
        <f t="shared" si="80"/>
        <v>0</v>
      </c>
      <c r="Q440" s="140">
        <v>0</v>
      </c>
      <c r="R440" s="137">
        <f t="shared" si="81"/>
        <v>0</v>
      </c>
      <c r="S440" s="141">
        <f t="shared" si="82"/>
        <v>0</v>
      </c>
      <c r="T440" s="137">
        <f t="shared" si="83"/>
        <v>0</v>
      </c>
      <c r="U440" s="137">
        <f>ROUND(VERİLER!$F$9*T440,3)</f>
        <v>0</v>
      </c>
      <c r="V440" s="336">
        <f t="shared" si="84"/>
        <v>0</v>
      </c>
      <c r="W440" s="335"/>
      <c r="X440" s="335"/>
      <c r="Y440" s="335"/>
    </row>
    <row r="441" spans="1:25" s="337" customFormat="1" ht="15" customHeight="1" x14ac:dyDescent="0.2">
      <c r="A441" s="299" t="str">
        <f>IF('İşçi Bilgileri'!A439="","",'İşçi Bilgileri'!A439)</f>
        <v/>
      </c>
      <c r="B441" s="300" t="str">
        <f>IF($A441="","",VLOOKUP($A441,'İşçi Bilgileri'!$A$2:$D$700,4,FALSE))</f>
        <v/>
      </c>
      <c r="C441" s="301" t="str">
        <f>CONCATENATE(IF($A441="","",VLOOKUP($A441,'İşçi Bilgileri'!$A$2:$D$700,2,FALSE))," ",IF($A441="","",VLOOKUP($A441,'İşçi Bilgileri'!$A$2:$D$700,3,FALSE)))</f>
        <v xml:space="preserve"> </v>
      </c>
      <c r="D441" s="137" t="str">
        <f>IF($A441="","",VERİLER!$C$5)</f>
        <v/>
      </c>
      <c r="E441" s="138" t="str">
        <f>IF($A441="","",Puantaj!AJ446)</f>
        <v/>
      </c>
      <c r="F441" s="137">
        <f t="shared" si="73"/>
        <v>0</v>
      </c>
      <c r="G441" s="137"/>
      <c r="H441" s="137">
        <f t="shared" si="74"/>
        <v>0</v>
      </c>
      <c r="I441" s="137">
        <f t="shared" si="75"/>
        <v>0</v>
      </c>
      <c r="J441" s="137">
        <f>IF(F441&gt;VERİLER!$C$7,'İşçi Bilgileri'!M439+(F441-VERİLER!$C$7),0)</f>
        <v>0</v>
      </c>
      <c r="K441" s="137">
        <f>IF(VERİLER!$C$11&gt;0,ROUND(J441*0.15,2),0)</f>
        <v>0</v>
      </c>
      <c r="L441" s="359">
        <f t="shared" si="76"/>
        <v>0</v>
      </c>
      <c r="M441" s="139">
        <f t="shared" si="77"/>
        <v>0</v>
      </c>
      <c r="N441" s="137">
        <f t="shared" si="78"/>
        <v>0</v>
      </c>
      <c r="O441" s="359">
        <f t="shared" si="79"/>
        <v>0</v>
      </c>
      <c r="P441" s="140">
        <f t="shared" si="80"/>
        <v>0</v>
      </c>
      <c r="Q441" s="140">
        <v>0</v>
      </c>
      <c r="R441" s="137">
        <f t="shared" si="81"/>
        <v>0</v>
      </c>
      <c r="S441" s="141">
        <f t="shared" si="82"/>
        <v>0</v>
      </c>
      <c r="T441" s="137">
        <f t="shared" si="83"/>
        <v>0</v>
      </c>
      <c r="U441" s="137">
        <f>ROUND(VERİLER!$F$9*T441,3)</f>
        <v>0</v>
      </c>
      <c r="V441" s="336">
        <f t="shared" si="84"/>
        <v>0</v>
      </c>
      <c r="W441" s="335"/>
      <c r="X441" s="335"/>
      <c r="Y441" s="335"/>
    </row>
    <row r="442" spans="1:25" s="337" customFormat="1" ht="15" customHeight="1" x14ac:dyDescent="0.2">
      <c r="A442" s="299" t="str">
        <f>IF('İşçi Bilgileri'!A440="","",'İşçi Bilgileri'!A440)</f>
        <v/>
      </c>
      <c r="B442" s="300" t="str">
        <f>IF($A442="","",VLOOKUP($A442,'İşçi Bilgileri'!$A$2:$D$700,4,FALSE))</f>
        <v/>
      </c>
      <c r="C442" s="301" t="str">
        <f>CONCATENATE(IF($A442="","",VLOOKUP($A442,'İşçi Bilgileri'!$A$2:$D$700,2,FALSE))," ",IF($A442="","",VLOOKUP($A442,'İşçi Bilgileri'!$A$2:$D$700,3,FALSE)))</f>
        <v xml:space="preserve"> </v>
      </c>
      <c r="D442" s="137" t="str">
        <f>IF($A442="","",VERİLER!$C$5)</f>
        <v/>
      </c>
      <c r="E442" s="138" t="str">
        <f>IF($A442="","",Puantaj!AJ447)</f>
        <v/>
      </c>
      <c r="F442" s="137">
        <f t="shared" si="73"/>
        <v>0</v>
      </c>
      <c r="G442" s="137"/>
      <c r="H442" s="137">
        <f t="shared" si="74"/>
        <v>0</v>
      </c>
      <c r="I442" s="137">
        <f t="shared" si="75"/>
        <v>0</v>
      </c>
      <c r="J442" s="137">
        <f>IF(F442&gt;VERİLER!$C$7,'İşçi Bilgileri'!M440+(F442-VERİLER!$C$7),0)</f>
        <v>0</v>
      </c>
      <c r="K442" s="137">
        <f>IF(VERİLER!$C$11&gt;0,ROUND(J442*0.15,2),0)</f>
        <v>0</v>
      </c>
      <c r="L442" s="359">
        <f t="shared" si="76"/>
        <v>0</v>
      </c>
      <c r="M442" s="139">
        <f t="shared" si="77"/>
        <v>0</v>
      </c>
      <c r="N442" s="137">
        <f t="shared" si="78"/>
        <v>0</v>
      </c>
      <c r="O442" s="359">
        <f t="shared" si="79"/>
        <v>0</v>
      </c>
      <c r="P442" s="140">
        <f t="shared" si="80"/>
        <v>0</v>
      </c>
      <c r="Q442" s="140">
        <v>0</v>
      </c>
      <c r="R442" s="137">
        <f t="shared" si="81"/>
        <v>0</v>
      </c>
      <c r="S442" s="141">
        <f t="shared" si="82"/>
        <v>0</v>
      </c>
      <c r="T442" s="137">
        <f t="shared" si="83"/>
        <v>0</v>
      </c>
      <c r="U442" s="137">
        <f>ROUND(VERİLER!$F$9*T442,3)</f>
        <v>0</v>
      </c>
      <c r="V442" s="336">
        <f t="shared" si="84"/>
        <v>0</v>
      </c>
      <c r="W442" s="335"/>
      <c r="X442" s="335"/>
      <c r="Y442" s="335"/>
    </row>
    <row r="443" spans="1:25" s="143" customFormat="1" ht="15" customHeight="1" x14ac:dyDescent="0.2">
      <c r="A443" s="299" t="str">
        <f>IF('İşçi Bilgileri'!A441="","",'İşçi Bilgileri'!A441)</f>
        <v/>
      </c>
      <c r="B443" s="300" t="str">
        <f>IF($A443="","",VLOOKUP($A443,'İşçi Bilgileri'!$A$2:$D$700,4,FALSE))</f>
        <v/>
      </c>
      <c r="C443" s="301" t="str">
        <f>CONCATENATE(IF($A443="","",VLOOKUP($A443,'İşçi Bilgileri'!$A$2:$D$700,2,FALSE))," ",IF($A443="","",VLOOKUP($A443,'İşçi Bilgileri'!$A$2:$D$700,3,FALSE)))</f>
        <v xml:space="preserve"> </v>
      </c>
      <c r="D443" s="137" t="str">
        <f>IF($A443="","",VERİLER!$C$5)</f>
        <v/>
      </c>
      <c r="E443" s="138" t="str">
        <f>IF($A443="","",Puantaj!AJ448)</f>
        <v/>
      </c>
      <c r="F443" s="137">
        <f t="shared" si="73"/>
        <v>0</v>
      </c>
      <c r="G443" s="137"/>
      <c r="H443" s="137">
        <f t="shared" si="74"/>
        <v>0</v>
      </c>
      <c r="I443" s="137">
        <f t="shared" si="75"/>
        <v>0</v>
      </c>
      <c r="J443" s="137">
        <f>IF(F443&gt;VERİLER!$C$7,'İşçi Bilgileri'!M441+(F443-VERİLER!$C$7),0)</f>
        <v>0</v>
      </c>
      <c r="K443" s="137">
        <f>IF(VERİLER!$C$11&gt;0,ROUND(J443*0.15,2),0)</f>
        <v>0</v>
      </c>
      <c r="L443" s="359">
        <f t="shared" si="76"/>
        <v>0</v>
      </c>
      <c r="M443" s="139">
        <f t="shared" si="77"/>
        <v>0</v>
      </c>
      <c r="N443" s="137">
        <f t="shared" si="78"/>
        <v>0</v>
      </c>
      <c r="O443" s="359">
        <f t="shared" si="79"/>
        <v>0</v>
      </c>
      <c r="P443" s="140">
        <f t="shared" si="80"/>
        <v>0</v>
      </c>
      <c r="Q443" s="140">
        <v>0</v>
      </c>
      <c r="R443" s="137">
        <f t="shared" si="81"/>
        <v>0</v>
      </c>
      <c r="S443" s="141">
        <f t="shared" si="82"/>
        <v>0</v>
      </c>
      <c r="T443" s="137">
        <f t="shared" si="83"/>
        <v>0</v>
      </c>
      <c r="U443" s="137">
        <f>ROUND(VERİLER!$F$9*T443,3)</f>
        <v>0</v>
      </c>
      <c r="V443" s="336">
        <f t="shared" si="84"/>
        <v>0</v>
      </c>
      <c r="W443" s="113"/>
      <c r="X443" s="113"/>
      <c r="Y443" s="113"/>
    </row>
    <row r="444" spans="1:25" s="143" customFormat="1" ht="15" customHeight="1" x14ac:dyDescent="0.2">
      <c r="A444" s="299" t="str">
        <f>IF('İşçi Bilgileri'!A442="","",'İşçi Bilgileri'!A442)</f>
        <v/>
      </c>
      <c r="B444" s="300" t="str">
        <f>IF($A444="","",VLOOKUP($A444,'İşçi Bilgileri'!$A$2:$D$700,4,FALSE))</f>
        <v/>
      </c>
      <c r="C444" s="301" t="str">
        <f>CONCATENATE(IF($A444="","",VLOOKUP($A444,'İşçi Bilgileri'!$A$2:$D$700,2,FALSE))," ",IF($A444="","",VLOOKUP($A444,'İşçi Bilgileri'!$A$2:$D$700,3,FALSE)))</f>
        <v xml:space="preserve"> </v>
      </c>
      <c r="D444" s="137" t="str">
        <f>IF($A444="","",VERİLER!$C$5)</f>
        <v/>
      </c>
      <c r="E444" s="138" t="str">
        <f>IF($A444="","",Puantaj!AJ449)</f>
        <v/>
      </c>
      <c r="F444" s="137">
        <f t="shared" si="73"/>
        <v>0</v>
      </c>
      <c r="G444" s="137"/>
      <c r="H444" s="137">
        <f t="shared" si="74"/>
        <v>0</v>
      </c>
      <c r="I444" s="137">
        <f t="shared" si="75"/>
        <v>0</v>
      </c>
      <c r="J444" s="137">
        <f>IF(F444&gt;VERİLER!$C$7,'İşçi Bilgileri'!M442+(F444-VERİLER!$C$7),0)</f>
        <v>0</v>
      </c>
      <c r="K444" s="137">
        <f>IF(VERİLER!$C$11&gt;0,ROUND(J444*0.15,2),0)</f>
        <v>0</v>
      </c>
      <c r="L444" s="359">
        <f t="shared" si="76"/>
        <v>0</v>
      </c>
      <c r="M444" s="139">
        <f t="shared" si="77"/>
        <v>0</v>
      </c>
      <c r="N444" s="137">
        <f t="shared" si="78"/>
        <v>0</v>
      </c>
      <c r="O444" s="359">
        <f t="shared" si="79"/>
        <v>0</v>
      </c>
      <c r="P444" s="140">
        <f t="shared" si="80"/>
        <v>0</v>
      </c>
      <c r="Q444" s="140">
        <v>0</v>
      </c>
      <c r="R444" s="137">
        <f t="shared" si="81"/>
        <v>0</v>
      </c>
      <c r="S444" s="141">
        <f t="shared" si="82"/>
        <v>0</v>
      </c>
      <c r="T444" s="137">
        <f t="shared" si="83"/>
        <v>0</v>
      </c>
      <c r="U444" s="137">
        <f>ROUND(VERİLER!$F$9*T444,3)</f>
        <v>0</v>
      </c>
      <c r="V444" s="336">
        <f t="shared" si="84"/>
        <v>0</v>
      </c>
      <c r="W444" s="113"/>
      <c r="X444" s="113"/>
      <c r="Y444" s="113"/>
    </row>
    <row r="445" spans="1:25" s="143" customFormat="1" ht="15" customHeight="1" x14ac:dyDescent="0.2">
      <c r="A445" s="299" t="str">
        <f>IF('İşçi Bilgileri'!A443="","",'İşçi Bilgileri'!A443)</f>
        <v/>
      </c>
      <c r="B445" s="300" t="str">
        <f>IF($A445="","",VLOOKUP($A445,'İşçi Bilgileri'!$A$2:$D$700,4,FALSE))</f>
        <v/>
      </c>
      <c r="C445" s="301" t="str">
        <f>CONCATENATE(IF($A445="","",VLOOKUP($A445,'İşçi Bilgileri'!$A$2:$D$700,2,FALSE))," ",IF($A445="","",VLOOKUP($A445,'İşçi Bilgileri'!$A$2:$D$700,3,FALSE)))</f>
        <v xml:space="preserve"> </v>
      </c>
      <c r="D445" s="137" t="str">
        <f>IF($A445="","",VERİLER!$C$5)</f>
        <v/>
      </c>
      <c r="E445" s="138" t="str">
        <f>IF($A445="","",Puantaj!AJ450)</f>
        <v/>
      </c>
      <c r="F445" s="137">
        <f t="shared" si="73"/>
        <v>0</v>
      </c>
      <c r="G445" s="137"/>
      <c r="H445" s="137">
        <f t="shared" si="74"/>
        <v>0</v>
      </c>
      <c r="I445" s="137">
        <f t="shared" si="75"/>
        <v>0</v>
      </c>
      <c r="J445" s="137">
        <f>IF(F445&gt;VERİLER!$C$7,'İşçi Bilgileri'!M443+(F445-VERİLER!$C$7),0)</f>
        <v>0</v>
      </c>
      <c r="K445" s="137">
        <f>IF(VERİLER!$C$11&gt;0,ROUND(J445*0.15,2),0)</f>
        <v>0</v>
      </c>
      <c r="L445" s="359">
        <f t="shared" si="76"/>
        <v>0</v>
      </c>
      <c r="M445" s="139">
        <f t="shared" si="77"/>
        <v>0</v>
      </c>
      <c r="N445" s="137">
        <f t="shared" si="78"/>
        <v>0</v>
      </c>
      <c r="O445" s="359">
        <f t="shared" si="79"/>
        <v>0</v>
      </c>
      <c r="P445" s="140">
        <f t="shared" si="80"/>
        <v>0</v>
      </c>
      <c r="Q445" s="140">
        <v>0</v>
      </c>
      <c r="R445" s="137">
        <f t="shared" si="81"/>
        <v>0</v>
      </c>
      <c r="S445" s="141">
        <f t="shared" si="82"/>
        <v>0</v>
      </c>
      <c r="T445" s="137">
        <f t="shared" si="83"/>
        <v>0</v>
      </c>
      <c r="U445" s="137">
        <f>ROUND(VERİLER!$F$9*T445,3)</f>
        <v>0</v>
      </c>
      <c r="V445" s="336">
        <f t="shared" si="84"/>
        <v>0</v>
      </c>
      <c r="W445" s="113"/>
      <c r="X445" s="113"/>
      <c r="Y445" s="113"/>
    </row>
    <row r="446" spans="1:25" s="143" customFormat="1" ht="15" customHeight="1" x14ac:dyDescent="0.2">
      <c r="A446" s="299" t="str">
        <f>IF('İşçi Bilgileri'!A444="","",'İşçi Bilgileri'!A444)</f>
        <v/>
      </c>
      <c r="B446" s="300" t="str">
        <f>IF($A446="","",VLOOKUP($A446,'İşçi Bilgileri'!$A$2:$D$700,4,FALSE))</f>
        <v/>
      </c>
      <c r="C446" s="301" t="str">
        <f>CONCATENATE(IF($A446="","",VLOOKUP($A446,'İşçi Bilgileri'!$A$2:$D$700,2,FALSE))," ",IF($A446="","",VLOOKUP($A446,'İşçi Bilgileri'!$A$2:$D$700,3,FALSE)))</f>
        <v xml:space="preserve"> </v>
      </c>
      <c r="D446" s="137" t="str">
        <f>IF($A446="","",VERİLER!$C$5)</f>
        <v/>
      </c>
      <c r="E446" s="138" t="str">
        <f>IF($A446="","",Puantaj!AJ451)</f>
        <v/>
      </c>
      <c r="F446" s="137">
        <f t="shared" si="73"/>
        <v>0</v>
      </c>
      <c r="G446" s="137"/>
      <c r="H446" s="137">
        <f t="shared" si="74"/>
        <v>0</v>
      </c>
      <c r="I446" s="137">
        <f t="shared" si="75"/>
        <v>0</v>
      </c>
      <c r="J446" s="137">
        <f>IF(F446&gt;VERİLER!$C$7,'İşçi Bilgileri'!M444+(F446-VERİLER!$C$7),0)</f>
        <v>0</v>
      </c>
      <c r="K446" s="137">
        <f>IF(VERİLER!$C$11&gt;0,ROUND(J446*0.15,2),0)</f>
        <v>0</v>
      </c>
      <c r="L446" s="359">
        <f t="shared" si="76"/>
        <v>0</v>
      </c>
      <c r="M446" s="139">
        <f t="shared" si="77"/>
        <v>0</v>
      </c>
      <c r="N446" s="137">
        <f t="shared" si="78"/>
        <v>0</v>
      </c>
      <c r="O446" s="359">
        <f t="shared" si="79"/>
        <v>0</v>
      </c>
      <c r="P446" s="140">
        <f t="shared" si="80"/>
        <v>0</v>
      </c>
      <c r="Q446" s="140">
        <v>0</v>
      </c>
      <c r="R446" s="137">
        <f t="shared" si="81"/>
        <v>0</v>
      </c>
      <c r="S446" s="141">
        <f t="shared" si="82"/>
        <v>0</v>
      </c>
      <c r="T446" s="137">
        <f t="shared" si="83"/>
        <v>0</v>
      </c>
      <c r="U446" s="137">
        <f>ROUND(VERİLER!$F$9*T446,3)</f>
        <v>0</v>
      </c>
      <c r="V446" s="336">
        <f t="shared" si="84"/>
        <v>0</v>
      </c>
      <c r="W446" s="113"/>
      <c r="X446" s="113"/>
      <c r="Y446" s="113"/>
    </row>
    <row r="447" spans="1:25" s="143" customFormat="1" ht="15" customHeight="1" x14ac:dyDescent="0.2">
      <c r="A447" s="299" t="str">
        <f>IF('İşçi Bilgileri'!A445="","",'İşçi Bilgileri'!A445)</f>
        <v/>
      </c>
      <c r="B447" s="300" t="str">
        <f>IF($A447="","",VLOOKUP($A447,'İşçi Bilgileri'!$A$2:$D$700,4,FALSE))</f>
        <v/>
      </c>
      <c r="C447" s="301" t="str">
        <f>CONCATENATE(IF($A447="","",VLOOKUP($A447,'İşçi Bilgileri'!$A$2:$D$700,2,FALSE))," ",IF($A447="","",VLOOKUP($A447,'İşçi Bilgileri'!$A$2:$D$700,3,FALSE)))</f>
        <v xml:space="preserve"> </v>
      </c>
      <c r="D447" s="137" t="str">
        <f>IF($A447="","",VERİLER!$C$5)</f>
        <v/>
      </c>
      <c r="E447" s="138" t="str">
        <f>IF($A447="","",Puantaj!AJ452)</f>
        <v/>
      </c>
      <c r="F447" s="137">
        <f t="shared" si="73"/>
        <v>0</v>
      </c>
      <c r="G447" s="137"/>
      <c r="H447" s="137">
        <f t="shared" si="74"/>
        <v>0</v>
      </c>
      <c r="I447" s="137">
        <f t="shared" si="75"/>
        <v>0</v>
      </c>
      <c r="J447" s="137">
        <f>IF(F447&gt;VERİLER!$C$7,'İşçi Bilgileri'!M445+(F447-VERİLER!$C$7),0)</f>
        <v>0</v>
      </c>
      <c r="K447" s="137">
        <f>IF(VERİLER!$C$11&gt;0,ROUND(J447*0.15,2),0)</f>
        <v>0</v>
      </c>
      <c r="L447" s="359">
        <f t="shared" si="76"/>
        <v>0</v>
      </c>
      <c r="M447" s="139">
        <f t="shared" si="77"/>
        <v>0</v>
      </c>
      <c r="N447" s="137">
        <f t="shared" si="78"/>
        <v>0</v>
      </c>
      <c r="O447" s="359">
        <f t="shared" si="79"/>
        <v>0</v>
      </c>
      <c r="P447" s="140">
        <f t="shared" si="80"/>
        <v>0</v>
      </c>
      <c r="Q447" s="140">
        <v>0</v>
      </c>
      <c r="R447" s="137">
        <f t="shared" si="81"/>
        <v>0</v>
      </c>
      <c r="S447" s="141">
        <f t="shared" si="82"/>
        <v>0</v>
      </c>
      <c r="T447" s="137">
        <f t="shared" si="83"/>
        <v>0</v>
      </c>
      <c r="U447" s="137">
        <f>ROUND(VERİLER!$F$9*T447,3)</f>
        <v>0</v>
      </c>
      <c r="V447" s="336">
        <f t="shared" si="84"/>
        <v>0</v>
      </c>
      <c r="W447" s="113"/>
      <c r="X447" s="113"/>
      <c r="Y447" s="113"/>
    </row>
    <row r="448" spans="1:25" s="143" customFormat="1" ht="15" customHeight="1" x14ac:dyDescent="0.2">
      <c r="A448" s="299" t="str">
        <f>IF('İşçi Bilgileri'!A446="","",'İşçi Bilgileri'!A446)</f>
        <v/>
      </c>
      <c r="B448" s="300" t="str">
        <f>IF($A448="","",VLOOKUP($A448,'İşçi Bilgileri'!$A$2:$D$700,4,FALSE))</f>
        <v/>
      </c>
      <c r="C448" s="301" t="str">
        <f>CONCATENATE(IF($A448="","",VLOOKUP($A448,'İşçi Bilgileri'!$A$2:$D$700,2,FALSE))," ",IF($A448="","",VLOOKUP($A448,'İşçi Bilgileri'!$A$2:$D$700,3,FALSE)))</f>
        <v xml:space="preserve"> </v>
      </c>
      <c r="D448" s="137" t="str">
        <f>IF($A448="","",VERİLER!$C$5)</f>
        <v/>
      </c>
      <c r="E448" s="138" t="str">
        <f>IF($A448="","",Puantaj!AJ453)</f>
        <v/>
      </c>
      <c r="F448" s="137">
        <f t="shared" si="73"/>
        <v>0</v>
      </c>
      <c r="G448" s="137"/>
      <c r="H448" s="137">
        <f t="shared" si="74"/>
        <v>0</v>
      </c>
      <c r="I448" s="137">
        <f t="shared" si="75"/>
        <v>0</v>
      </c>
      <c r="J448" s="137">
        <f>IF(F448&gt;VERİLER!$C$7,'İşçi Bilgileri'!M446+(F448-VERİLER!$C$7),0)</f>
        <v>0</v>
      </c>
      <c r="K448" s="137">
        <f>IF(VERİLER!$C$11&gt;0,ROUND(J448*0.15,2),0)</f>
        <v>0</v>
      </c>
      <c r="L448" s="359">
        <f t="shared" si="76"/>
        <v>0</v>
      </c>
      <c r="M448" s="139">
        <f t="shared" si="77"/>
        <v>0</v>
      </c>
      <c r="N448" s="137">
        <f t="shared" si="78"/>
        <v>0</v>
      </c>
      <c r="O448" s="359">
        <f t="shared" si="79"/>
        <v>0</v>
      </c>
      <c r="P448" s="140">
        <f t="shared" si="80"/>
        <v>0</v>
      </c>
      <c r="Q448" s="140">
        <v>0</v>
      </c>
      <c r="R448" s="137">
        <f t="shared" si="81"/>
        <v>0</v>
      </c>
      <c r="S448" s="141">
        <f t="shared" si="82"/>
        <v>0</v>
      </c>
      <c r="T448" s="137">
        <f t="shared" si="83"/>
        <v>0</v>
      </c>
      <c r="U448" s="137">
        <f>ROUND(VERİLER!$F$9*T448,3)</f>
        <v>0</v>
      </c>
      <c r="V448" s="336">
        <f t="shared" si="84"/>
        <v>0</v>
      </c>
      <c r="W448" s="113"/>
      <c r="X448" s="113"/>
      <c r="Y448" s="113"/>
    </row>
    <row r="449" spans="1:25" s="143" customFormat="1" ht="15.75" customHeight="1" x14ac:dyDescent="0.2">
      <c r="A449" s="299" t="str">
        <f>IF('İşçi Bilgileri'!A447="","",'İşçi Bilgileri'!A447)</f>
        <v/>
      </c>
      <c r="B449" s="300" t="str">
        <f>IF($A449="","",VLOOKUP($A449,'İşçi Bilgileri'!$A$2:$D$700,4,FALSE))</f>
        <v/>
      </c>
      <c r="C449" s="301" t="str">
        <f>CONCATENATE(IF($A449="","",VLOOKUP($A449,'İşçi Bilgileri'!$A$2:$D$700,2,FALSE))," ",IF($A449="","",VLOOKUP($A449,'İşçi Bilgileri'!$A$2:$D$700,3,FALSE)))</f>
        <v xml:space="preserve"> </v>
      </c>
      <c r="D449" s="137" t="str">
        <f>IF($A449="","",VERİLER!$C$5)</f>
        <v/>
      </c>
      <c r="E449" s="138" t="str">
        <f>IF($A449="","",Puantaj!AJ454)</f>
        <v/>
      </c>
      <c r="F449" s="137">
        <f t="shared" si="73"/>
        <v>0</v>
      </c>
      <c r="G449" s="137"/>
      <c r="H449" s="137">
        <f t="shared" si="74"/>
        <v>0</v>
      </c>
      <c r="I449" s="137">
        <f t="shared" si="75"/>
        <v>0</v>
      </c>
      <c r="J449" s="137">
        <f>IF(F449&gt;VERİLER!$C$7,'İşçi Bilgileri'!M447+(F449-VERİLER!$C$7),0)</f>
        <v>0</v>
      </c>
      <c r="K449" s="137">
        <f>IF(VERİLER!$C$11&gt;0,ROUND(J449*0.15,2),0)</f>
        <v>0</v>
      </c>
      <c r="L449" s="359">
        <f t="shared" si="76"/>
        <v>0</v>
      </c>
      <c r="M449" s="139">
        <f t="shared" si="77"/>
        <v>0</v>
      </c>
      <c r="N449" s="137">
        <f t="shared" si="78"/>
        <v>0</v>
      </c>
      <c r="O449" s="359">
        <f t="shared" si="79"/>
        <v>0</v>
      </c>
      <c r="P449" s="140">
        <f t="shared" si="80"/>
        <v>0</v>
      </c>
      <c r="Q449" s="140">
        <v>0</v>
      </c>
      <c r="R449" s="137">
        <f t="shared" si="81"/>
        <v>0</v>
      </c>
      <c r="S449" s="141">
        <f t="shared" si="82"/>
        <v>0</v>
      </c>
      <c r="T449" s="137">
        <f t="shared" si="83"/>
        <v>0</v>
      </c>
      <c r="U449" s="137">
        <f>ROUND(VERİLER!$F$9*T449,3)</f>
        <v>0</v>
      </c>
      <c r="V449" s="336">
        <f t="shared" si="84"/>
        <v>0</v>
      </c>
      <c r="W449" s="113"/>
      <c r="X449" s="113"/>
      <c r="Y449" s="113"/>
    </row>
    <row r="450" spans="1:25" s="143" customFormat="1" ht="15.75" customHeight="1" x14ac:dyDescent="0.2">
      <c r="A450" s="299" t="str">
        <f>IF('İşçi Bilgileri'!A448="","",'İşçi Bilgileri'!A448)</f>
        <v/>
      </c>
      <c r="B450" s="300" t="str">
        <f>IF($A450="","",VLOOKUP($A450,'İşçi Bilgileri'!$A$2:$D$700,4,FALSE))</f>
        <v/>
      </c>
      <c r="C450" s="301" t="str">
        <f>CONCATENATE(IF($A450="","",VLOOKUP($A450,'İşçi Bilgileri'!$A$2:$D$700,2,FALSE))," ",IF($A450="","",VLOOKUP($A450,'İşçi Bilgileri'!$A$2:$D$700,3,FALSE)))</f>
        <v xml:space="preserve"> </v>
      </c>
      <c r="D450" s="137" t="str">
        <f>IF($A450="","",VERİLER!$C$5)</f>
        <v/>
      </c>
      <c r="E450" s="138" t="str">
        <f>IF($A450="","",Puantaj!AJ455)</f>
        <v/>
      </c>
      <c r="F450" s="137">
        <f t="shared" si="73"/>
        <v>0</v>
      </c>
      <c r="G450" s="137"/>
      <c r="H450" s="137">
        <f t="shared" si="74"/>
        <v>0</v>
      </c>
      <c r="I450" s="137">
        <f t="shared" si="75"/>
        <v>0</v>
      </c>
      <c r="J450" s="137">
        <f>IF(F450&gt;VERİLER!$C$7,'İşçi Bilgileri'!M448+(F450-VERİLER!$C$7),0)</f>
        <v>0</v>
      </c>
      <c r="K450" s="137">
        <f>IF(VERİLER!$C$11&gt;0,ROUND(J450*0.15,2),0)</f>
        <v>0</v>
      </c>
      <c r="L450" s="359">
        <f t="shared" si="76"/>
        <v>0</v>
      </c>
      <c r="M450" s="139">
        <f t="shared" si="77"/>
        <v>0</v>
      </c>
      <c r="N450" s="137">
        <f t="shared" si="78"/>
        <v>0</v>
      </c>
      <c r="O450" s="359">
        <f t="shared" si="79"/>
        <v>0</v>
      </c>
      <c r="P450" s="140">
        <f t="shared" si="80"/>
        <v>0</v>
      </c>
      <c r="Q450" s="140">
        <v>0</v>
      </c>
      <c r="R450" s="137">
        <f t="shared" si="81"/>
        <v>0</v>
      </c>
      <c r="S450" s="141">
        <f t="shared" si="82"/>
        <v>0</v>
      </c>
      <c r="T450" s="137">
        <f t="shared" si="83"/>
        <v>0</v>
      </c>
      <c r="U450" s="137">
        <f>ROUND(VERİLER!$F$9*T450,3)</f>
        <v>0</v>
      </c>
      <c r="V450" s="336">
        <f t="shared" si="84"/>
        <v>0</v>
      </c>
      <c r="W450" s="113"/>
      <c r="X450" s="113"/>
      <c r="Y450" s="113"/>
    </row>
    <row r="451" spans="1:25" s="143" customFormat="1" ht="15.75" customHeight="1" x14ac:dyDescent="0.2">
      <c r="A451" s="299" t="str">
        <f>IF('İşçi Bilgileri'!A449="","",'İşçi Bilgileri'!A449)</f>
        <v/>
      </c>
      <c r="B451" s="300" t="str">
        <f>IF($A451="","",VLOOKUP($A451,'İşçi Bilgileri'!$A$2:$D$700,4,FALSE))</f>
        <v/>
      </c>
      <c r="C451" s="301" t="str">
        <f>CONCATENATE(IF($A451="","",VLOOKUP($A451,'İşçi Bilgileri'!$A$2:$D$700,2,FALSE))," ",IF($A451="","",VLOOKUP($A451,'İşçi Bilgileri'!$A$2:$D$700,3,FALSE)))</f>
        <v xml:space="preserve"> </v>
      </c>
      <c r="D451" s="137" t="str">
        <f>IF($A451="","",VERİLER!$C$5)</f>
        <v/>
      </c>
      <c r="E451" s="138" t="str">
        <f>IF($A451="","",Puantaj!AJ456)</f>
        <v/>
      </c>
      <c r="F451" s="137">
        <f t="shared" si="73"/>
        <v>0</v>
      </c>
      <c r="G451" s="137"/>
      <c r="H451" s="137">
        <f t="shared" si="74"/>
        <v>0</v>
      </c>
      <c r="I451" s="137">
        <f t="shared" si="75"/>
        <v>0</v>
      </c>
      <c r="J451" s="137">
        <f>IF(F451&gt;VERİLER!$C$7,'İşçi Bilgileri'!M449+(F451-VERİLER!$C$7),0)</f>
        <v>0</v>
      </c>
      <c r="K451" s="137">
        <f>IF(VERİLER!$C$11&gt;0,ROUND(J451*0.15,2),0)</f>
        <v>0</v>
      </c>
      <c r="L451" s="359">
        <f t="shared" si="76"/>
        <v>0</v>
      </c>
      <c r="M451" s="139">
        <f t="shared" si="77"/>
        <v>0</v>
      </c>
      <c r="N451" s="137">
        <f t="shared" si="78"/>
        <v>0</v>
      </c>
      <c r="O451" s="359">
        <f t="shared" si="79"/>
        <v>0</v>
      </c>
      <c r="P451" s="140">
        <f t="shared" si="80"/>
        <v>0</v>
      </c>
      <c r="Q451" s="140">
        <v>0</v>
      </c>
      <c r="R451" s="137">
        <f t="shared" si="81"/>
        <v>0</v>
      </c>
      <c r="S451" s="141">
        <f t="shared" si="82"/>
        <v>0</v>
      </c>
      <c r="T451" s="137">
        <f t="shared" si="83"/>
        <v>0</v>
      </c>
      <c r="U451" s="137">
        <f>ROUND(VERİLER!$F$9*T451,3)</f>
        <v>0</v>
      </c>
      <c r="V451" s="336">
        <f t="shared" si="84"/>
        <v>0</v>
      </c>
      <c r="W451" s="113"/>
      <c r="X451" s="113"/>
      <c r="Y451" s="113"/>
    </row>
    <row r="452" spans="1:25" s="143" customFormat="1" ht="15.75" customHeight="1" x14ac:dyDescent="0.2">
      <c r="A452" s="299" t="str">
        <f>IF('İşçi Bilgileri'!A450="","",'İşçi Bilgileri'!A450)</f>
        <v/>
      </c>
      <c r="B452" s="300" t="str">
        <f>IF($A452="","",VLOOKUP($A452,'İşçi Bilgileri'!$A$2:$D$700,4,FALSE))</f>
        <v/>
      </c>
      <c r="C452" s="301" t="str">
        <f>CONCATENATE(IF($A452="","",VLOOKUP($A452,'İşçi Bilgileri'!$A$2:$D$700,2,FALSE))," ",IF($A452="","",VLOOKUP($A452,'İşçi Bilgileri'!$A$2:$D$700,3,FALSE)))</f>
        <v xml:space="preserve"> </v>
      </c>
      <c r="D452" s="137" t="str">
        <f>IF($A452="","",VERİLER!$C$5)</f>
        <v/>
      </c>
      <c r="E452" s="138" t="str">
        <f>IF($A452="","",Puantaj!AJ457)</f>
        <v/>
      </c>
      <c r="F452" s="137">
        <f t="shared" si="73"/>
        <v>0</v>
      </c>
      <c r="G452" s="137"/>
      <c r="H452" s="137">
        <f t="shared" si="74"/>
        <v>0</v>
      </c>
      <c r="I452" s="137">
        <f t="shared" si="75"/>
        <v>0</v>
      </c>
      <c r="J452" s="137">
        <f>IF(F452&gt;VERİLER!$C$7,'İşçi Bilgileri'!M450+(F452-VERİLER!$C$7),0)</f>
        <v>0</v>
      </c>
      <c r="K452" s="137">
        <f>IF(VERİLER!$C$11&gt;0,ROUND(J452*0.15,2),0)</f>
        <v>0</v>
      </c>
      <c r="L452" s="359">
        <f t="shared" si="76"/>
        <v>0</v>
      </c>
      <c r="M452" s="139">
        <f t="shared" si="77"/>
        <v>0</v>
      </c>
      <c r="N452" s="137">
        <f t="shared" si="78"/>
        <v>0</v>
      </c>
      <c r="O452" s="359">
        <f t="shared" si="79"/>
        <v>0</v>
      </c>
      <c r="P452" s="140">
        <f t="shared" si="80"/>
        <v>0</v>
      </c>
      <c r="Q452" s="140">
        <v>0</v>
      </c>
      <c r="R452" s="137">
        <f t="shared" si="81"/>
        <v>0</v>
      </c>
      <c r="S452" s="141">
        <f t="shared" si="82"/>
        <v>0</v>
      </c>
      <c r="T452" s="137">
        <f t="shared" si="83"/>
        <v>0</v>
      </c>
      <c r="U452" s="137">
        <f>ROUND(VERİLER!$F$9*T452,3)</f>
        <v>0</v>
      </c>
      <c r="V452" s="336">
        <f t="shared" si="84"/>
        <v>0</v>
      </c>
      <c r="W452" s="113"/>
      <c r="X452" s="113"/>
      <c r="Y452" s="113"/>
    </row>
    <row r="453" spans="1:25" s="143" customFormat="1" ht="1.5" customHeight="1" x14ac:dyDescent="0.2">
      <c r="A453" s="231"/>
      <c r="B453" s="232"/>
      <c r="C453" s="233"/>
      <c r="D453" s="234"/>
      <c r="E453" s="235"/>
      <c r="F453" s="236"/>
      <c r="G453" s="236"/>
      <c r="H453" s="236"/>
      <c r="I453" s="236"/>
      <c r="J453" s="236"/>
      <c r="K453" s="236"/>
      <c r="L453" s="359">
        <f t="shared" ref="L431:L453" si="85">K453</f>
        <v>0</v>
      </c>
      <c r="M453" s="237"/>
      <c r="N453" s="236"/>
      <c r="O453" s="359">
        <f t="shared" ref="O431:O453" si="86">N453</f>
        <v>0</v>
      </c>
      <c r="P453" s="238"/>
      <c r="Q453" s="238"/>
      <c r="R453" s="236"/>
      <c r="S453" s="239"/>
      <c r="T453" s="236"/>
      <c r="U453" s="236"/>
      <c r="V453" s="240"/>
      <c r="W453" s="113"/>
      <c r="X453" s="113"/>
      <c r="Y453" s="113"/>
    </row>
    <row r="454" spans="1:25" s="115" customFormat="1" ht="15.75" customHeight="1" thickBot="1" x14ac:dyDescent="0.25">
      <c r="A454" s="136"/>
      <c r="B454" s="144"/>
      <c r="C454" s="144" t="s">
        <v>16</v>
      </c>
      <c r="D454" s="145"/>
      <c r="E454" s="565">
        <f>ROUND(SUM(E4:E452),2)</f>
        <v>0</v>
      </c>
      <c r="F454" s="565">
        <f>ROUND(SUM(F4:F452),2)</f>
        <v>0</v>
      </c>
      <c r="G454" s="146">
        <f>ROUND(SUM(G4:G449),2)</f>
        <v>0</v>
      </c>
      <c r="H454" s="302">
        <f>ROUND(SUM(H4:H452),2)</f>
        <v>0</v>
      </c>
      <c r="I454" s="146">
        <f t="shared" ref="I454:P454" si="87">ROUND(SUM(I4:I452),2)</f>
        <v>0</v>
      </c>
      <c r="J454" s="146">
        <f t="shared" si="87"/>
        <v>0</v>
      </c>
      <c r="K454" s="146">
        <f t="shared" si="87"/>
        <v>0</v>
      </c>
      <c r="L454" s="146"/>
      <c r="M454" s="146">
        <f t="shared" si="87"/>
        <v>0</v>
      </c>
      <c r="N454" s="146">
        <f t="shared" si="87"/>
        <v>0</v>
      </c>
      <c r="O454" s="146"/>
      <c r="P454" s="146">
        <f t="shared" si="87"/>
        <v>0</v>
      </c>
      <c r="Q454" s="146">
        <f>ROUND(SUM(Q4:Q449),2)</f>
        <v>0</v>
      </c>
      <c r="R454" s="146">
        <f>H454+I454</f>
        <v>0</v>
      </c>
      <c r="S454" s="566">
        <f>ROUND(SUM(S4:S452),2)</f>
        <v>0</v>
      </c>
      <c r="T454" s="146">
        <f t="shared" ref="T454:U454" si="88">ROUND(SUM(T4:T452),2)</f>
        <v>0</v>
      </c>
      <c r="U454" s="146">
        <f t="shared" si="88"/>
        <v>0</v>
      </c>
      <c r="V454" s="566">
        <f>ROUND(SUM(V4:V452),2)</f>
        <v>0</v>
      </c>
      <c r="W454" s="114"/>
      <c r="X454" s="114"/>
      <c r="Y454" s="114"/>
    </row>
    <row r="455" spans="1:25" ht="2.25" customHeight="1" x14ac:dyDescent="0.2"/>
    <row r="456" spans="1:25" ht="42.75" customHeight="1" x14ac:dyDescent="0.2">
      <c r="A456" s="200"/>
      <c r="B456" s="200"/>
      <c r="C456" s="200"/>
      <c r="D456" s="200"/>
      <c r="E456" s="200"/>
      <c r="F456" s="200"/>
      <c r="G456" s="200"/>
      <c r="H456" s="200"/>
      <c r="I456" s="200"/>
      <c r="J456" s="200"/>
      <c r="K456" s="200"/>
      <c r="L456" s="200"/>
      <c r="M456" s="200"/>
      <c r="N456" s="200"/>
      <c r="O456" s="200"/>
      <c r="P456" s="200"/>
      <c r="Q456" s="200"/>
      <c r="R456" s="200"/>
      <c r="S456" s="200"/>
      <c r="T456" s="200"/>
      <c r="U456" s="200"/>
      <c r="V456" s="200"/>
    </row>
    <row r="457" spans="1:25" ht="15" x14ac:dyDescent="0.2">
      <c r="A457" s="200"/>
      <c r="B457" s="418" t="s">
        <v>150</v>
      </c>
      <c r="C457" s="418"/>
      <c r="D457" s="43"/>
      <c r="E457" s="43"/>
      <c r="F457" s="43"/>
      <c r="H457" s="418" t="s">
        <v>151</v>
      </c>
      <c r="I457" s="418"/>
      <c r="J457" s="418"/>
      <c r="K457" s="43"/>
      <c r="L457" s="43"/>
      <c r="M457" s="43"/>
      <c r="N457" s="43"/>
      <c r="O457" s="43"/>
      <c r="P457" s="43"/>
      <c r="Q457" s="200"/>
      <c r="R457" s="444" t="s">
        <v>121</v>
      </c>
      <c r="S457" s="444"/>
      <c r="T457" s="444"/>
      <c r="U457" s="200"/>
      <c r="V457" s="200"/>
    </row>
    <row r="458" spans="1:25" ht="5.25" customHeight="1" x14ac:dyDescent="0.2">
      <c r="A458" s="200"/>
      <c r="B458" s="201"/>
      <c r="C458" s="43"/>
      <c r="D458" s="43"/>
      <c r="E458" s="43"/>
      <c r="F458" s="43"/>
      <c r="H458" s="43"/>
      <c r="I458" s="201"/>
      <c r="J458" s="43"/>
      <c r="K458" s="43"/>
      <c r="L458" s="43"/>
      <c r="M458" s="43"/>
      <c r="N458" s="43"/>
      <c r="O458" s="43"/>
      <c r="P458" s="43"/>
      <c r="Q458" s="200"/>
      <c r="U458" s="200"/>
      <c r="V458" s="200"/>
    </row>
    <row r="459" spans="1:25" ht="6.75" customHeight="1" x14ac:dyDescent="0.2">
      <c r="A459" s="200"/>
      <c r="B459" s="201"/>
      <c r="C459" s="43"/>
      <c r="D459" s="43"/>
      <c r="E459" s="43"/>
      <c r="F459" s="43"/>
      <c r="H459" s="43"/>
      <c r="I459" s="201"/>
      <c r="J459" s="43"/>
      <c r="K459" s="43"/>
      <c r="L459" s="43"/>
      <c r="M459" s="43"/>
      <c r="N459" s="43"/>
      <c r="O459" s="43"/>
      <c r="P459" s="43"/>
      <c r="Q459" s="200"/>
      <c r="U459" s="200"/>
      <c r="V459" s="200"/>
    </row>
    <row r="460" spans="1:25" ht="15" x14ac:dyDescent="0.2">
      <c r="A460" s="200"/>
      <c r="B460" s="433" t="s">
        <v>179</v>
      </c>
      <c r="C460" s="418"/>
      <c r="D460" s="43"/>
      <c r="E460" s="43"/>
      <c r="F460" s="43"/>
      <c r="H460" s="433" t="s">
        <v>165</v>
      </c>
      <c r="I460" s="418"/>
      <c r="J460" s="418"/>
      <c r="K460" s="43"/>
      <c r="L460" s="43"/>
      <c r="M460" s="43"/>
      <c r="N460" s="43"/>
      <c r="O460" s="43"/>
      <c r="P460" s="43"/>
      <c r="Q460" s="200"/>
      <c r="R460" s="444" t="s">
        <v>174</v>
      </c>
      <c r="S460" s="444"/>
      <c r="T460" s="444"/>
      <c r="U460" s="200"/>
      <c r="V460" s="200"/>
    </row>
    <row r="461" spans="1:25" ht="18.75" customHeight="1" x14ac:dyDescent="0.2">
      <c r="A461" s="200"/>
      <c r="B461" s="433" t="s">
        <v>180</v>
      </c>
      <c r="C461" s="418"/>
      <c r="D461" s="43"/>
      <c r="E461" s="43"/>
      <c r="F461" s="43"/>
      <c r="H461" s="433" t="s">
        <v>166</v>
      </c>
      <c r="I461" s="418"/>
      <c r="J461" s="418"/>
      <c r="K461" s="43"/>
      <c r="L461" s="43"/>
      <c r="M461" s="43"/>
      <c r="N461" s="43"/>
      <c r="O461" s="43"/>
      <c r="P461" s="43"/>
      <c r="Q461" s="200"/>
      <c r="R461" s="444" t="s">
        <v>168</v>
      </c>
      <c r="S461" s="444"/>
      <c r="T461" s="444"/>
      <c r="U461" s="200"/>
      <c r="V461" s="200"/>
    </row>
    <row r="462" spans="1:25" x14ac:dyDescent="0.2">
      <c r="A462" s="200"/>
      <c r="B462" s="200"/>
      <c r="C462" s="200"/>
      <c r="D462" s="200"/>
      <c r="E462" s="200"/>
      <c r="F462" s="200"/>
      <c r="G462" s="200"/>
      <c r="H462" s="200"/>
      <c r="I462" s="200"/>
      <c r="J462" s="200"/>
      <c r="K462" s="200"/>
      <c r="L462" s="200"/>
      <c r="M462" s="200"/>
      <c r="N462" s="200"/>
      <c r="O462" s="200"/>
      <c r="P462" s="200"/>
      <c r="Q462" s="200"/>
      <c r="R462" s="200"/>
      <c r="S462" s="200"/>
      <c r="T462" s="200"/>
      <c r="U462" s="200"/>
      <c r="V462" s="200"/>
    </row>
  </sheetData>
  <autoFilter ref="C3:V454"/>
  <customSheetViews>
    <customSheetView guid="{78FE0CAC-51E5-4C61-A88D-7FAD500C2464}" scale="50" showPageBreaks="1" showGridLines="0" printArea="1" view="pageBreakPreview" showRuler="0">
      <pane ySplit="5" topLeftCell="A57" activePane="bottomLeft" state="frozen"/>
      <selection pane="bottomLeft" activeCell="A78" sqref="A78"/>
      <rowBreaks count="1" manualBreakCount="1">
        <brk id="48" max="19" man="1"/>
      </rowBreaks>
      <colBreaks count="1" manualBreakCount="1">
        <brk id="20" max="222" man="1"/>
      </colBreaks>
      <pageMargins left="0.15748031496062992" right="0.15748031496062992" top="0.31496062992125984" bottom="0.96" header="0.19685039370078741" footer="0.15748031496062992"/>
      <printOptions horizontalCentered="1"/>
      <pageSetup paperSize="9" scale="36" orientation="landscape" r:id="rId1"/>
      <headerFooter alignWithMargins="0"/>
    </customSheetView>
  </customSheetViews>
  <mergeCells count="17">
    <mergeCell ref="R460:T460"/>
    <mergeCell ref="R461:T461"/>
    <mergeCell ref="B461:C461"/>
    <mergeCell ref="H461:J461"/>
    <mergeCell ref="B457:C457"/>
    <mergeCell ref="H457:J457"/>
    <mergeCell ref="B460:C460"/>
    <mergeCell ref="H460:J460"/>
    <mergeCell ref="R457:T457"/>
    <mergeCell ref="T1:U1"/>
    <mergeCell ref="T2:U2"/>
    <mergeCell ref="A1:B1"/>
    <mergeCell ref="I1:N1"/>
    <mergeCell ref="N2:R2"/>
    <mergeCell ref="I2:K2"/>
    <mergeCell ref="C2:F2"/>
    <mergeCell ref="C1:F1"/>
  </mergeCells>
  <phoneticPr fontId="0" type="noConversion"/>
  <printOptions horizontalCentered="1"/>
  <pageMargins left="0.23622047244094491" right="0.23622047244094491" top="0.15748031496062992" bottom="0.15748031496062992" header="0.31496062992125984" footer="0.31496062992125984"/>
  <pageSetup paperSize="9" scale="53" fitToHeight="0" orientation="landscape" r:id="rId2"/>
  <headerFooter alignWithMargins="0"/>
  <rowBreaks count="3" manualBreakCount="3">
    <brk id="212" max="19" man="1"/>
    <brk id="256" max="19" man="1"/>
    <brk id="463" max="19" man="1"/>
  </rowBreaks>
  <cellWatches>
    <cellWatch r="B3"/>
  </cellWatch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12">
    <pageSetUpPr fitToPage="1"/>
  </sheetPr>
  <dimension ref="A2:S40"/>
  <sheetViews>
    <sheetView view="pageBreakPreview" topLeftCell="A18" zoomScale="115" zoomScaleNormal="100" zoomScaleSheetLayoutView="115" workbookViewId="0">
      <selection activeCell="A30" sqref="A30:E30"/>
    </sheetView>
  </sheetViews>
  <sheetFormatPr defaultColWidth="9.140625" defaultRowHeight="16.5" x14ac:dyDescent="0.3"/>
  <cols>
    <col min="1" max="1" width="12.7109375" style="46" customWidth="1"/>
    <col min="2" max="2" width="5.28515625" style="46" customWidth="1"/>
    <col min="3" max="3" width="10.5703125" style="46" customWidth="1"/>
    <col min="4" max="4" width="12.42578125" style="46" customWidth="1"/>
    <col min="5" max="5" width="9.85546875" style="46" bestFit="1" customWidth="1"/>
    <col min="6" max="6" width="9.140625" style="46"/>
    <col min="7" max="7" width="9.85546875" style="46" bestFit="1" customWidth="1"/>
    <col min="8" max="8" width="11.42578125" style="46" customWidth="1"/>
    <col min="9" max="10" width="9.140625" style="46"/>
    <col min="11" max="11" width="10.42578125" style="46" bestFit="1" customWidth="1"/>
    <col min="12" max="12" width="9.85546875" style="46" bestFit="1" customWidth="1"/>
    <col min="13" max="17" width="9.140625" style="46"/>
    <col min="18" max="18" width="18.42578125" style="249" customWidth="1"/>
    <col min="19" max="19" width="11" style="46" bestFit="1" customWidth="1"/>
    <col min="20" max="16384" width="9.140625" style="46"/>
  </cols>
  <sheetData>
    <row r="2" spans="1:12" x14ac:dyDescent="0.3">
      <c r="A2" s="467" t="s">
        <v>90</v>
      </c>
      <c r="B2" s="467"/>
      <c r="C2" s="467"/>
      <c r="D2" s="467"/>
      <c r="E2" s="467"/>
      <c r="F2" s="467"/>
      <c r="G2" s="467"/>
      <c r="H2" s="467"/>
      <c r="I2" s="467"/>
    </row>
    <row r="4" spans="1:12" x14ac:dyDescent="0.3">
      <c r="A4" s="445" t="s">
        <v>144</v>
      </c>
      <c r="B4" s="446"/>
      <c r="C4" s="446"/>
      <c r="D4" s="446"/>
      <c r="E4" s="446"/>
      <c r="F4" s="446"/>
      <c r="G4" s="446"/>
      <c r="H4" s="446"/>
      <c r="I4" s="447"/>
    </row>
    <row r="5" spans="1:12" x14ac:dyDescent="0.3">
      <c r="A5" s="448"/>
      <c r="B5" s="449"/>
      <c r="C5" s="449"/>
      <c r="D5" s="449"/>
      <c r="E5" s="449"/>
      <c r="F5" s="449"/>
      <c r="G5" s="449"/>
      <c r="H5" s="449"/>
      <c r="I5" s="450"/>
    </row>
    <row r="6" spans="1:12" x14ac:dyDescent="0.3">
      <c r="A6" s="468" t="s">
        <v>91</v>
      </c>
      <c r="B6" s="469"/>
      <c r="C6" s="469"/>
      <c r="D6" s="469"/>
      <c r="E6" s="469"/>
      <c r="F6" s="469"/>
      <c r="G6" s="469"/>
      <c r="H6" s="469"/>
      <c r="I6" s="470"/>
    </row>
    <row r="7" spans="1:12" x14ac:dyDescent="0.3">
      <c r="A7" s="471"/>
      <c r="B7" s="472"/>
      <c r="C7" s="472"/>
      <c r="D7" s="472"/>
      <c r="E7" s="472"/>
      <c r="F7" s="472"/>
      <c r="G7" s="472"/>
      <c r="H7" s="472"/>
      <c r="I7" s="473"/>
    </row>
    <row r="8" spans="1:12" x14ac:dyDescent="0.3">
      <c r="A8" s="445" t="s">
        <v>92</v>
      </c>
      <c r="B8" s="446"/>
      <c r="C8" s="447"/>
      <c r="D8" s="451" t="s">
        <v>145</v>
      </c>
      <c r="E8" s="452"/>
      <c r="F8" s="452"/>
      <c r="G8" s="452"/>
      <c r="H8" s="452"/>
      <c r="I8" s="453"/>
      <c r="K8" s="63"/>
    </row>
    <row r="9" spans="1:12" x14ac:dyDescent="0.3">
      <c r="A9" s="448"/>
      <c r="B9" s="449"/>
      <c r="C9" s="450"/>
      <c r="D9" s="454"/>
      <c r="E9" s="455"/>
      <c r="F9" s="455"/>
      <c r="G9" s="455"/>
      <c r="H9" s="455"/>
      <c r="I9" s="456"/>
    </row>
    <row r="10" spans="1:12" x14ac:dyDescent="0.3">
      <c r="A10" s="445" t="s">
        <v>93</v>
      </c>
      <c r="B10" s="446"/>
      <c r="C10" s="447"/>
      <c r="D10" s="451">
        <f>MAX('MAAŞ BORDROSU'!A4:A523)</f>
        <v>1</v>
      </c>
      <c r="E10" s="452"/>
      <c r="F10" s="452"/>
      <c r="G10" s="452"/>
      <c r="H10" s="452"/>
      <c r="I10" s="453"/>
      <c r="L10" s="52"/>
    </row>
    <row r="11" spans="1:12" x14ac:dyDescent="0.3">
      <c r="A11" s="448"/>
      <c r="B11" s="449"/>
      <c r="C11" s="450"/>
      <c r="D11" s="454"/>
      <c r="E11" s="455"/>
      <c r="F11" s="455"/>
      <c r="G11" s="455"/>
      <c r="H11" s="455"/>
      <c r="I11" s="456"/>
    </row>
    <row r="12" spans="1:12" x14ac:dyDescent="0.3">
      <c r="A12" s="445" t="s">
        <v>94</v>
      </c>
      <c r="B12" s="446"/>
      <c r="C12" s="447"/>
      <c r="D12" s="457">
        <f>VERİLER!C5</f>
        <v>1375</v>
      </c>
      <c r="E12" s="458"/>
      <c r="F12" s="458"/>
      <c r="G12" s="458"/>
      <c r="H12" s="458"/>
      <c r="I12" s="459"/>
    </row>
    <row r="13" spans="1:12" x14ac:dyDescent="0.3">
      <c r="A13" s="448"/>
      <c r="B13" s="449"/>
      <c r="C13" s="450"/>
      <c r="D13" s="460"/>
      <c r="E13" s="461"/>
      <c r="F13" s="461"/>
      <c r="G13" s="461"/>
      <c r="H13" s="461"/>
      <c r="I13" s="462"/>
    </row>
    <row r="14" spans="1:12" ht="16.5" customHeight="1" x14ac:dyDescent="0.3">
      <c r="A14" s="445" t="s">
        <v>95</v>
      </c>
      <c r="B14" s="446"/>
      <c r="C14" s="447"/>
      <c r="D14" s="463">
        <f>DATE(YEAR(Puantaj!K3),MONTH(Puantaj!K3),Puantaj!D8)</f>
        <v>1</v>
      </c>
      <c r="E14" s="465">
        <f>EOMONTH(D14,0)</f>
        <v>31</v>
      </c>
      <c r="F14" s="469" t="s">
        <v>122</v>
      </c>
      <c r="G14" s="469"/>
      <c r="H14" s="474">
        <f>'Hakediş Raporu'!D20</f>
        <v>0</v>
      </c>
      <c r="I14" s="475"/>
    </row>
    <row r="15" spans="1:12" x14ac:dyDescent="0.3">
      <c r="A15" s="448"/>
      <c r="B15" s="449"/>
      <c r="C15" s="450"/>
      <c r="D15" s="464"/>
      <c r="E15" s="466"/>
      <c r="F15" s="472"/>
      <c r="G15" s="472"/>
      <c r="H15" s="476"/>
      <c r="I15" s="477"/>
    </row>
    <row r="16" spans="1:12" x14ac:dyDescent="0.3">
      <c r="A16" s="445" t="str">
        <f>CONCATENATE("Yalnız : ",UPPER(ParaCevir(H14)))</f>
        <v xml:space="preserve">Yalnız : SIFIR LİRA </v>
      </c>
      <c r="B16" s="446"/>
      <c r="C16" s="446"/>
      <c r="D16" s="446"/>
      <c r="E16" s="446"/>
      <c r="F16" s="446"/>
      <c r="G16" s="446"/>
      <c r="H16" s="446"/>
      <c r="I16" s="447"/>
    </row>
    <row r="17" spans="1:19" x14ac:dyDescent="0.3">
      <c r="A17" s="448"/>
      <c r="B17" s="449"/>
      <c r="C17" s="449"/>
      <c r="D17" s="449"/>
      <c r="E17" s="449"/>
      <c r="F17" s="449"/>
      <c r="G17" s="449"/>
      <c r="H17" s="449"/>
      <c r="I17" s="450"/>
      <c r="S17" s="249"/>
    </row>
    <row r="18" spans="1:19" x14ac:dyDescent="0.3">
      <c r="A18" s="47"/>
      <c r="B18" s="48"/>
      <c r="C18" s="48"/>
      <c r="D18" s="48"/>
      <c r="E18" s="48"/>
      <c r="F18" s="48"/>
      <c r="G18" s="48"/>
      <c r="H18" s="48"/>
      <c r="I18" s="49"/>
    </row>
    <row r="19" spans="1:19" x14ac:dyDescent="0.3">
      <c r="A19" s="62" t="s">
        <v>123</v>
      </c>
      <c r="B19" s="61"/>
      <c r="C19" s="64">
        <f>D14</f>
        <v>1</v>
      </c>
      <c r="D19" s="64">
        <f>E14</f>
        <v>31</v>
      </c>
      <c r="E19" s="485" t="s">
        <v>146</v>
      </c>
      <c r="F19" s="485"/>
      <c r="G19" s="485"/>
      <c r="H19" s="485"/>
      <c r="I19" s="486"/>
    </row>
    <row r="20" spans="1:19" x14ac:dyDescent="0.3">
      <c r="A20" s="62"/>
      <c r="B20" s="315"/>
      <c r="C20" s="315"/>
      <c r="D20" s="315"/>
      <c r="E20" s="315"/>
      <c r="F20" s="315"/>
      <c r="G20" s="315"/>
      <c r="H20" s="315"/>
      <c r="I20" s="309"/>
    </row>
    <row r="21" spans="1:19" x14ac:dyDescent="0.3">
      <c r="A21" s="487" t="s">
        <v>136</v>
      </c>
      <c r="B21" s="488"/>
      <c r="C21" s="488"/>
      <c r="D21" s="488"/>
      <c r="E21" s="488"/>
      <c r="F21" s="488"/>
      <c r="G21" s="488"/>
      <c r="H21" s="488"/>
      <c r="I21" s="489"/>
    </row>
    <row r="22" spans="1:19" x14ac:dyDescent="0.3">
      <c r="A22" s="483" t="s">
        <v>153</v>
      </c>
      <c r="B22" s="480"/>
      <c r="C22" s="480"/>
      <c r="D22" s="480"/>
      <c r="E22" s="480"/>
      <c r="F22" s="480"/>
      <c r="G22" s="480"/>
      <c r="H22" s="480"/>
      <c r="I22" s="481"/>
    </row>
    <row r="23" spans="1:19" x14ac:dyDescent="0.3">
      <c r="A23" s="321"/>
      <c r="B23" s="324"/>
      <c r="C23" s="324"/>
      <c r="D23" s="324"/>
      <c r="E23" s="324"/>
      <c r="F23" s="324"/>
      <c r="G23" s="324"/>
      <c r="H23" s="324"/>
      <c r="I23" s="320"/>
    </row>
    <row r="24" spans="1:19" x14ac:dyDescent="0.3">
      <c r="A24" s="484" t="s">
        <v>154</v>
      </c>
      <c r="B24" s="482"/>
      <c r="C24" s="482"/>
      <c r="D24" s="482"/>
      <c r="E24" s="482"/>
      <c r="F24" s="324"/>
      <c r="G24" s="482" t="s">
        <v>155</v>
      </c>
      <c r="H24" s="482"/>
      <c r="I24" s="320"/>
    </row>
    <row r="25" spans="1:19" x14ac:dyDescent="0.3">
      <c r="A25" s="316"/>
      <c r="B25" s="322"/>
      <c r="C25" s="322"/>
      <c r="D25" s="322"/>
      <c r="E25" s="324"/>
      <c r="F25" s="324"/>
      <c r="G25" s="324"/>
      <c r="H25" s="324"/>
      <c r="I25" s="320"/>
    </row>
    <row r="26" spans="1:19" x14ac:dyDescent="0.3">
      <c r="A26" s="316"/>
      <c r="B26" s="322"/>
      <c r="C26" s="322"/>
      <c r="D26" s="322"/>
      <c r="E26" s="324"/>
      <c r="F26" s="480"/>
      <c r="G26" s="480"/>
      <c r="H26" s="480"/>
      <c r="I26" s="481"/>
    </row>
    <row r="27" spans="1:19" ht="16.5" customHeight="1" x14ac:dyDescent="0.3">
      <c r="A27" s="484" t="s">
        <v>169</v>
      </c>
      <c r="B27" s="482"/>
      <c r="C27" s="482"/>
      <c r="D27" s="482"/>
      <c r="E27" s="482"/>
      <c r="F27" s="325"/>
      <c r="G27" s="482" t="s">
        <v>165</v>
      </c>
      <c r="H27" s="482"/>
      <c r="I27" s="320"/>
    </row>
    <row r="28" spans="1:19" x14ac:dyDescent="0.3">
      <c r="A28" s="484" t="s">
        <v>170</v>
      </c>
      <c r="B28" s="482"/>
      <c r="C28" s="482"/>
      <c r="D28" s="482"/>
      <c r="E28" s="482"/>
      <c r="F28" s="326"/>
      <c r="G28" s="482" t="s">
        <v>166</v>
      </c>
      <c r="H28" s="482"/>
      <c r="I28" s="320"/>
    </row>
    <row r="29" spans="1:19" x14ac:dyDescent="0.3">
      <c r="A29" s="316"/>
      <c r="B29" s="322"/>
      <c r="C29" s="323"/>
      <c r="D29" s="324"/>
      <c r="E29" s="324"/>
      <c r="F29" s="324"/>
      <c r="G29" s="327"/>
      <c r="H29" s="324"/>
      <c r="I29" s="320"/>
    </row>
    <row r="30" spans="1:19" x14ac:dyDescent="0.3">
      <c r="A30" s="494" t="s">
        <v>157</v>
      </c>
      <c r="B30" s="495"/>
      <c r="C30" s="495"/>
      <c r="D30" s="495"/>
      <c r="E30" s="495"/>
      <c r="F30" s="324"/>
      <c r="G30" s="324"/>
      <c r="H30" s="324"/>
      <c r="I30" s="320"/>
    </row>
    <row r="31" spans="1:19" x14ac:dyDescent="0.3">
      <c r="A31" s="316" t="s">
        <v>158</v>
      </c>
      <c r="B31" s="496" t="s">
        <v>172</v>
      </c>
      <c r="C31" s="496"/>
      <c r="D31" s="324"/>
      <c r="E31" s="324"/>
      <c r="F31" s="322"/>
      <c r="G31" s="324"/>
      <c r="H31" s="324"/>
      <c r="I31" s="320"/>
    </row>
    <row r="32" spans="1:19" x14ac:dyDescent="0.3">
      <c r="A32" s="478" t="s">
        <v>160</v>
      </c>
      <c r="B32" s="479"/>
      <c r="C32" s="479"/>
      <c r="D32" s="324"/>
      <c r="E32" s="324"/>
      <c r="F32" s="322"/>
      <c r="G32" s="324"/>
      <c r="H32" s="324"/>
      <c r="I32" s="320"/>
    </row>
    <row r="33" spans="1:9" ht="67.5" customHeight="1" x14ac:dyDescent="0.3">
      <c r="A33" s="492" t="s">
        <v>173</v>
      </c>
      <c r="B33" s="493"/>
      <c r="C33" s="493"/>
      <c r="D33" s="328"/>
      <c r="E33" s="328"/>
      <c r="F33" s="329"/>
      <c r="G33" s="324"/>
      <c r="H33" s="324"/>
      <c r="I33" s="320"/>
    </row>
    <row r="34" spans="1:9" x14ac:dyDescent="0.3">
      <c r="A34" s="316" t="s">
        <v>159</v>
      </c>
      <c r="B34" s="322"/>
      <c r="C34" s="322" t="s">
        <v>174</v>
      </c>
      <c r="D34" s="322"/>
      <c r="E34" s="322"/>
      <c r="F34" s="324"/>
      <c r="G34" s="324"/>
      <c r="H34" s="324"/>
      <c r="I34" s="320"/>
    </row>
    <row r="35" spans="1:9" x14ac:dyDescent="0.3">
      <c r="A35" s="316" t="s">
        <v>161</v>
      </c>
      <c r="B35" s="322"/>
      <c r="C35" s="322" t="s">
        <v>168</v>
      </c>
      <c r="D35" s="322"/>
      <c r="E35" s="322"/>
      <c r="F35" s="324"/>
      <c r="G35" s="324"/>
      <c r="H35" s="324"/>
      <c r="I35" s="320"/>
    </row>
    <row r="36" spans="1:9" x14ac:dyDescent="0.3">
      <c r="A36" s="319" t="s">
        <v>162</v>
      </c>
      <c r="B36" s="317"/>
      <c r="C36" s="317"/>
      <c r="D36" s="317"/>
      <c r="E36" s="317"/>
      <c r="F36" s="317"/>
      <c r="G36" s="317"/>
      <c r="H36" s="317"/>
      <c r="I36" s="318"/>
    </row>
    <row r="37" spans="1:9" x14ac:dyDescent="0.3">
      <c r="A37" s="490" t="s">
        <v>163</v>
      </c>
      <c r="B37" s="490"/>
      <c r="C37" s="490"/>
      <c r="D37" s="490"/>
      <c r="E37" s="490"/>
      <c r="F37" s="490"/>
      <c r="G37" s="490"/>
      <c r="H37" s="490"/>
      <c r="I37" s="490"/>
    </row>
    <row r="38" spans="1:9" x14ac:dyDescent="0.3">
      <c r="A38" s="491"/>
      <c r="B38" s="491"/>
      <c r="C38" s="491"/>
      <c r="D38" s="491"/>
      <c r="E38" s="491"/>
      <c r="F38" s="491"/>
      <c r="G38" s="491"/>
      <c r="H38" s="491"/>
      <c r="I38" s="491"/>
    </row>
    <row r="39" spans="1:9" x14ac:dyDescent="0.3">
      <c r="A39" s="491"/>
      <c r="B39" s="491"/>
      <c r="C39" s="491"/>
      <c r="D39" s="491"/>
      <c r="E39" s="491"/>
      <c r="F39" s="491"/>
      <c r="G39" s="491"/>
      <c r="H39" s="491"/>
      <c r="I39" s="491"/>
    </row>
    <row r="40" spans="1:9" x14ac:dyDescent="0.3">
      <c r="A40" s="491"/>
      <c r="B40" s="491"/>
      <c r="C40" s="491"/>
      <c r="D40" s="491"/>
      <c r="E40" s="491"/>
      <c r="F40" s="491"/>
      <c r="G40" s="491"/>
      <c r="H40" s="491"/>
      <c r="I40" s="491"/>
    </row>
  </sheetData>
  <mergeCells count="33">
    <mergeCell ref="A16:I17"/>
    <mergeCell ref="E19:I19"/>
    <mergeCell ref="D24:E24"/>
    <mergeCell ref="A21:I21"/>
    <mergeCell ref="A37:I40"/>
    <mergeCell ref="A33:C33"/>
    <mergeCell ref="D28:E28"/>
    <mergeCell ref="A27:C27"/>
    <mergeCell ref="G27:H27"/>
    <mergeCell ref="A28:C28"/>
    <mergeCell ref="G28:H28"/>
    <mergeCell ref="A30:E30"/>
    <mergeCell ref="B31:C31"/>
    <mergeCell ref="A32:C32"/>
    <mergeCell ref="F26:I26"/>
    <mergeCell ref="D27:E27"/>
    <mergeCell ref="A22:I22"/>
    <mergeCell ref="A24:C24"/>
    <mergeCell ref="G24:H24"/>
    <mergeCell ref="A2:I2"/>
    <mergeCell ref="A4:I5"/>
    <mergeCell ref="A6:I7"/>
    <mergeCell ref="A8:C9"/>
    <mergeCell ref="D8:I9"/>
    <mergeCell ref="A10:C11"/>
    <mergeCell ref="D10:I11"/>
    <mergeCell ref="A12:C13"/>
    <mergeCell ref="D12:I13"/>
    <mergeCell ref="A14:C15"/>
    <mergeCell ref="D14:D15"/>
    <mergeCell ref="E14:E15"/>
    <mergeCell ref="F14:G15"/>
    <mergeCell ref="H14:I15"/>
  </mergeCells>
  <pageMargins left="0.72" right="0.48" top="0.74803149606299213" bottom="0.74803149606299213" header="0.31496062992125984" footer="0.31496062992125984"/>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16">
    <pageSetUpPr fitToPage="1"/>
  </sheetPr>
  <dimension ref="A1:G36"/>
  <sheetViews>
    <sheetView view="pageBreakPreview" topLeftCell="A16" zoomScaleNormal="100" zoomScaleSheetLayoutView="100" workbookViewId="0">
      <selection sqref="A1:D1"/>
    </sheetView>
  </sheetViews>
  <sheetFormatPr defaultColWidth="9.140625" defaultRowHeight="16.5" x14ac:dyDescent="0.3"/>
  <cols>
    <col min="1" max="1" width="11.85546875" style="46" customWidth="1"/>
    <col min="2" max="2" width="12.5703125" style="46" customWidth="1"/>
    <col min="3" max="3" width="31.140625" style="46" customWidth="1"/>
    <col min="4" max="4" width="46.28515625" style="46" bestFit="1" customWidth="1"/>
    <col min="5" max="6" width="9.140625" style="46"/>
    <col min="7" max="7" width="11.28515625" style="46" bestFit="1" customWidth="1"/>
    <col min="8" max="16384" width="9.140625" style="46"/>
  </cols>
  <sheetData>
    <row r="1" spans="1:7" x14ac:dyDescent="0.3">
      <c r="A1" s="390" t="s">
        <v>175</v>
      </c>
      <c r="B1" s="390"/>
      <c r="C1" s="390"/>
      <c r="D1" s="390"/>
    </row>
    <row r="2" spans="1:7" ht="61.5" customHeight="1" x14ac:dyDescent="0.3">
      <c r="A2" s="198"/>
      <c r="B2" s="497" t="str">
        <f>CONCATENATE("ANKARA YILDIRIM BEYAZIT ÜNİVERSİTESİ REKTÖRLÜĞÜ GENÇLİK PROGRAMI ",'[2]MAAŞ BORDROSU'!B2," AYI GSS HAKEDİŞ RAPORU")</f>
        <v>ANKARA YILDIRIM BEYAZIT ÜNİVERSİTESİ REKTÖRLÜĞÜ GENÇLİK PROGRAMI MART  2025 AYI GSS HAKEDİŞ RAPORU</v>
      </c>
      <c r="C2" s="497"/>
      <c r="D2" s="199" t="s">
        <v>137</v>
      </c>
    </row>
    <row r="3" spans="1:7" x14ac:dyDescent="0.3">
      <c r="A3" s="392" t="s">
        <v>164</v>
      </c>
      <c r="B3" s="393"/>
      <c r="C3" s="393"/>
      <c r="D3" s="394"/>
    </row>
    <row r="4" spans="1:7" ht="24.95" customHeight="1" x14ac:dyDescent="0.3">
      <c r="A4" s="56" t="s">
        <v>97</v>
      </c>
      <c r="B4" s="389" t="s">
        <v>98</v>
      </c>
      <c r="C4" s="389"/>
      <c r="D4" s="57">
        <f>'MAAŞ BORDROSU'!H454+'MAAŞ BORDROSU'!I454</f>
        <v>0</v>
      </c>
    </row>
    <row r="5" spans="1:7" ht="24.95" customHeight="1" x14ac:dyDescent="0.3">
      <c r="A5" s="56" t="s">
        <v>84</v>
      </c>
      <c r="B5" s="389" t="s">
        <v>99</v>
      </c>
      <c r="C5" s="389"/>
      <c r="D5" s="57">
        <v>0</v>
      </c>
      <c r="F5" s="46" t="s">
        <v>126</v>
      </c>
    </row>
    <row r="6" spans="1:7" ht="24.95" customHeight="1" x14ac:dyDescent="0.3">
      <c r="A6" s="56" t="s">
        <v>100</v>
      </c>
      <c r="B6" s="389" t="s">
        <v>101</v>
      </c>
      <c r="C6" s="389"/>
      <c r="D6" s="57">
        <f>D7+D8</f>
        <v>0</v>
      </c>
      <c r="F6" s="46" t="s">
        <v>64</v>
      </c>
      <c r="G6" s="69"/>
    </row>
    <row r="7" spans="1:7" ht="24.95" customHeight="1" x14ac:dyDescent="0.3">
      <c r="A7" s="56" t="s">
        <v>102</v>
      </c>
      <c r="B7" s="389" t="s">
        <v>103</v>
      </c>
      <c r="C7" s="389"/>
      <c r="D7" s="65">
        <f>SUM(G5:G15)</f>
        <v>0</v>
      </c>
      <c r="F7" s="46" t="s">
        <v>65</v>
      </c>
      <c r="G7" s="69"/>
    </row>
    <row r="8" spans="1:7" ht="24.95" customHeight="1" x14ac:dyDescent="0.3">
      <c r="A8" s="56" t="s">
        <v>83</v>
      </c>
      <c r="B8" s="389" t="s">
        <v>104</v>
      </c>
      <c r="C8" s="389"/>
      <c r="D8" s="58">
        <f>D4+D5</f>
        <v>0</v>
      </c>
      <c r="F8" s="46" t="s">
        <v>66</v>
      </c>
      <c r="G8" s="69"/>
    </row>
    <row r="9" spans="1:7" ht="24.95" customHeight="1" x14ac:dyDescent="0.3">
      <c r="A9" s="56" t="s">
        <v>105</v>
      </c>
      <c r="B9" s="389" t="s">
        <v>106</v>
      </c>
      <c r="C9" s="389"/>
      <c r="D9" s="57">
        <v>0</v>
      </c>
      <c r="F9" s="46" t="s">
        <v>67</v>
      </c>
      <c r="G9" s="69"/>
    </row>
    <row r="10" spans="1:7" ht="24.95" customHeight="1" x14ac:dyDescent="0.3">
      <c r="A10" s="56" t="s">
        <v>107</v>
      </c>
      <c r="B10" s="389" t="s">
        <v>108</v>
      </c>
      <c r="C10" s="389"/>
      <c r="D10" s="247">
        <f>D8</f>
        <v>0</v>
      </c>
      <c r="F10" s="46" t="s">
        <v>68</v>
      </c>
      <c r="G10" s="69"/>
    </row>
    <row r="11" spans="1:7" ht="20.100000000000001" customHeight="1" x14ac:dyDescent="0.3">
      <c r="A11" s="377"/>
      <c r="B11" s="378" t="s">
        <v>109</v>
      </c>
      <c r="C11" s="60" t="s">
        <v>110</v>
      </c>
      <c r="D11" s="57">
        <v>0</v>
      </c>
      <c r="F11" s="46" t="s">
        <v>69</v>
      </c>
      <c r="G11" s="69"/>
    </row>
    <row r="12" spans="1:7" ht="20.100000000000001" customHeight="1" x14ac:dyDescent="0.3">
      <c r="A12" s="377"/>
      <c r="B12" s="378"/>
      <c r="C12" s="60" t="s">
        <v>111</v>
      </c>
      <c r="D12" s="57">
        <v>0</v>
      </c>
      <c r="F12" s="46" t="s">
        <v>70</v>
      </c>
      <c r="G12" s="69"/>
    </row>
    <row r="13" spans="1:7" ht="20.100000000000001" customHeight="1" x14ac:dyDescent="0.3">
      <c r="A13" s="377"/>
      <c r="B13" s="378"/>
      <c r="C13" s="60" t="s">
        <v>112</v>
      </c>
      <c r="D13" s="57">
        <v>0</v>
      </c>
      <c r="F13" s="46" t="s">
        <v>71</v>
      </c>
      <c r="G13" s="69"/>
    </row>
    <row r="14" spans="1:7" ht="20.100000000000001" customHeight="1" x14ac:dyDescent="0.3">
      <c r="A14" s="377"/>
      <c r="B14" s="378"/>
      <c r="C14" s="60" t="s">
        <v>133</v>
      </c>
      <c r="D14" s="57">
        <v>0</v>
      </c>
      <c r="F14" s="46" t="s">
        <v>72</v>
      </c>
      <c r="G14" s="69"/>
    </row>
    <row r="15" spans="1:7" ht="20.100000000000001" customHeight="1" x14ac:dyDescent="0.3">
      <c r="A15" s="377"/>
      <c r="B15" s="378"/>
      <c r="C15" s="60" t="s">
        <v>113</v>
      </c>
      <c r="D15" s="57">
        <v>0</v>
      </c>
      <c r="F15" s="46" t="s">
        <v>127</v>
      </c>
    </row>
    <row r="16" spans="1:7" ht="20.100000000000001" customHeight="1" x14ac:dyDescent="0.3">
      <c r="A16" s="377"/>
      <c r="B16" s="378"/>
      <c r="C16" s="60" t="s">
        <v>114</v>
      </c>
      <c r="D16" s="57">
        <v>0</v>
      </c>
    </row>
    <row r="17" spans="1:4" ht="20.100000000000001" customHeight="1" x14ac:dyDescent="0.3">
      <c r="A17" s="377"/>
      <c r="B17" s="378"/>
      <c r="C17" s="60" t="s">
        <v>115</v>
      </c>
      <c r="D17" s="57">
        <v>0</v>
      </c>
    </row>
    <row r="18" spans="1:4" ht="20.100000000000001" customHeight="1" x14ac:dyDescent="0.3">
      <c r="A18" s="377"/>
      <c r="B18" s="378"/>
      <c r="C18" s="60" t="s">
        <v>116</v>
      </c>
      <c r="D18" s="57">
        <v>0</v>
      </c>
    </row>
    <row r="19" spans="1:4" ht="24.95" customHeight="1" x14ac:dyDescent="0.3">
      <c r="A19" s="56" t="s">
        <v>117</v>
      </c>
      <c r="B19" s="381" t="s">
        <v>118</v>
      </c>
      <c r="C19" s="382"/>
      <c r="D19" s="57">
        <f>SUM(D11:D18)</f>
        <v>0</v>
      </c>
    </row>
    <row r="20" spans="1:4" ht="24.95" customHeight="1" x14ac:dyDescent="0.3">
      <c r="A20" s="56" t="s">
        <v>119</v>
      </c>
      <c r="B20" s="381" t="s">
        <v>120</v>
      </c>
      <c r="C20" s="382"/>
      <c r="D20" s="57">
        <f>D8-D19</f>
        <v>0</v>
      </c>
    </row>
    <row r="21" spans="1:4" x14ac:dyDescent="0.3">
      <c r="A21" s="385" t="s">
        <v>136</v>
      </c>
      <c r="B21" s="386"/>
      <c r="C21" s="386"/>
      <c r="D21" s="387"/>
    </row>
    <row r="22" spans="1:4" x14ac:dyDescent="0.3">
      <c r="A22" s="379" t="s">
        <v>153</v>
      </c>
      <c r="B22" s="380"/>
      <c r="C22" s="380"/>
      <c r="D22" s="388"/>
    </row>
    <row r="23" spans="1:4" x14ac:dyDescent="0.3">
      <c r="A23" s="50"/>
      <c r="B23" s="307"/>
      <c r="C23" s="307"/>
      <c r="D23" s="308"/>
    </row>
    <row r="24" spans="1:4" x14ac:dyDescent="0.3">
      <c r="A24" s="379" t="s">
        <v>154</v>
      </c>
      <c r="B24" s="380"/>
      <c r="D24" s="313" t="s">
        <v>155</v>
      </c>
    </row>
    <row r="25" spans="1:4" ht="16.5" customHeight="1" x14ac:dyDescent="0.3">
      <c r="A25" s="50"/>
      <c r="B25" s="307"/>
      <c r="D25" s="307"/>
    </row>
    <row r="26" spans="1:4" x14ac:dyDescent="0.3">
      <c r="A26" s="50"/>
      <c r="B26" s="307"/>
      <c r="D26" s="307"/>
    </row>
    <row r="27" spans="1:4" x14ac:dyDescent="0.3">
      <c r="A27" s="379" t="s">
        <v>169</v>
      </c>
      <c r="B27" s="380"/>
      <c r="D27" s="313" t="s">
        <v>165</v>
      </c>
    </row>
    <row r="28" spans="1:4" x14ac:dyDescent="0.3">
      <c r="A28" s="379" t="s">
        <v>170</v>
      </c>
      <c r="B28" s="380"/>
      <c r="D28" s="313" t="s">
        <v>166</v>
      </c>
    </row>
    <row r="29" spans="1:4" x14ac:dyDescent="0.3">
      <c r="A29" s="50"/>
      <c r="B29" s="307"/>
      <c r="C29" s="314"/>
      <c r="D29" s="51"/>
    </row>
    <row r="30" spans="1:4" x14ac:dyDescent="0.3">
      <c r="A30" s="395" t="s">
        <v>156</v>
      </c>
      <c r="B30" s="396"/>
      <c r="C30" s="396"/>
      <c r="D30" s="397"/>
    </row>
    <row r="31" spans="1:4" x14ac:dyDescent="0.3">
      <c r="A31" s="50"/>
      <c r="B31" s="307"/>
      <c r="C31" s="307"/>
      <c r="D31" s="51"/>
    </row>
    <row r="32" spans="1:4" x14ac:dyDescent="0.3">
      <c r="A32" s="398" t="s">
        <v>171</v>
      </c>
      <c r="B32" s="399"/>
      <c r="C32" s="399"/>
      <c r="D32" s="400"/>
    </row>
    <row r="33" spans="1:4" x14ac:dyDescent="0.3">
      <c r="A33" s="401" t="s">
        <v>168</v>
      </c>
      <c r="B33" s="402"/>
      <c r="C33" s="402"/>
      <c r="D33" s="403"/>
    </row>
    <row r="34" spans="1:4" x14ac:dyDescent="0.3">
      <c r="A34" s="311"/>
      <c r="B34" s="312"/>
      <c r="C34" s="312"/>
      <c r="D34" s="310"/>
    </row>
    <row r="35" spans="1:4" x14ac:dyDescent="0.3">
      <c r="A35" s="311"/>
      <c r="B35" s="312"/>
      <c r="C35" s="312"/>
      <c r="D35" s="310"/>
    </row>
    <row r="36" spans="1:4" x14ac:dyDescent="0.3">
      <c r="A36" s="53"/>
      <c r="B36" s="54"/>
      <c r="C36" s="54"/>
      <c r="D36" s="55"/>
    </row>
  </sheetData>
  <mergeCells count="22">
    <mergeCell ref="A30:D30"/>
    <mergeCell ref="A32:D32"/>
    <mergeCell ref="A33:D33"/>
    <mergeCell ref="A28:B28"/>
    <mergeCell ref="B6:C6"/>
    <mergeCell ref="A27:B27"/>
    <mergeCell ref="B7:C7"/>
    <mergeCell ref="B8:C8"/>
    <mergeCell ref="B9:C9"/>
    <mergeCell ref="B10:C10"/>
    <mergeCell ref="A11:A18"/>
    <mergeCell ref="B11:B18"/>
    <mergeCell ref="B19:C19"/>
    <mergeCell ref="B20:C20"/>
    <mergeCell ref="A24:B24"/>
    <mergeCell ref="A21:D21"/>
    <mergeCell ref="A22:D22"/>
    <mergeCell ref="A1:D1"/>
    <mergeCell ref="B2:C2"/>
    <mergeCell ref="A3:D3"/>
    <mergeCell ref="B4:C4"/>
    <mergeCell ref="B5:C5"/>
  </mergeCells>
  <pageMargins left="0.68" right="0.19685039370078741" top="0.9055118110236221" bottom="0.74803149606299213" header="0.31496062992125984" footer="0.31496062992125984"/>
  <pageSetup paperSize="9" scale="94"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15">
    <pageSetUpPr fitToPage="1"/>
  </sheetPr>
  <dimension ref="A1:L42"/>
  <sheetViews>
    <sheetView view="pageBreakPreview" topLeftCell="A19" zoomScaleNormal="100" zoomScaleSheetLayoutView="100" workbookViewId="0">
      <selection activeCell="A3" sqref="A3"/>
    </sheetView>
  </sheetViews>
  <sheetFormatPr defaultColWidth="9.140625" defaultRowHeight="16.5" x14ac:dyDescent="0.3"/>
  <cols>
    <col min="1" max="1" width="20.5703125" style="46" bestFit="1" customWidth="1"/>
    <col min="2" max="2" width="11.5703125" style="46" customWidth="1"/>
    <col min="3" max="3" width="18.28515625" style="46" customWidth="1"/>
    <col min="4" max="4" width="23" style="46" customWidth="1"/>
    <col min="5" max="5" width="25.42578125" style="46" customWidth="1"/>
    <col min="6" max="6" width="9.140625" style="46"/>
    <col min="7" max="7" width="11.7109375" style="46" customWidth="1"/>
    <col min="8" max="8" width="14.7109375" style="46" customWidth="1"/>
    <col min="9" max="9" width="13.42578125" style="46" customWidth="1"/>
    <col min="10" max="10" width="9.140625" style="46"/>
    <col min="11" max="11" width="10.42578125" style="46" bestFit="1" customWidth="1"/>
    <col min="12" max="12" width="9.85546875" style="46" bestFit="1" customWidth="1"/>
    <col min="13" max="16384" width="9.140625" style="46"/>
  </cols>
  <sheetData>
    <row r="1" spans="1:12" ht="20.25" x14ac:dyDescent="0.3">
      <c r="A1" s="123"/>
      <c r="B1" s="123"/>
      <c r="C1" s="123"/>
      <c r="D1" s="123"/>
      <c r="E1" s="123"/>
      <c r="F1" s="123"/>
      <c r="G1" s="123"/>
      <c r="H1" s="123"/>
      <c r="I1" s="123"/>
    </row>
    <row r="2" spans="1:12" ht="20.25" x14ac:dyDescent="0.3">
      <c r="A2" s="530" t="s">
        <v>176</v>
      </c>
      <c r="B2" s="530"/>
      <c r="C2" s="530"/>
      <c r="D2" s="530"/>
      <c r="E2" s="530"/>
      <c r="F2" s="530"/>
      <c r="G2" s="530"/>
      <c r="H2" s="530"/>
      <c r="I2" s="530"/>
    </row>
    <row r="3" spans="1:12" ht="20.25" x14ac:dyDescent="0.3">
      <c r="A3" s="123"/>
      <c r="B3" s="123"/>
      <c r="C3" s="123"/>
      <c r="D3" s="123"/>
      <c r="E3" s="123"/>
      <c r="F3" s="123"/>
      <c r="G3" s="123"/>
      <c r="H3" s="123"/>
      <c r="I3" s="123"/>
    </row>
    <row r="4" spans="1:12" ht="16.5" customHeight="1" x14ac:dyDescent="0.3">
      <c r="A4" s="498" t="s">
        <v>147</v>
      </c>
      <c r="B4" s="499"/>
      <c r="C4" s="499"/>
      <c r="D4" s="499"/>
      <c r="E4" s="499"/>
      <c r="F4" s="499"/>
      <c r="G4" s="499"/>
      <c r="H4" s="499"/>
      <c r="I4" s="500"/>
    </row>
    <row r="5" spans="1:12" ht="16.5" customHeight="1" x14ac:dyDescent="0.3">
      <c r="A5" s="501"/>
      <c r="B5" s="502"/>
      <c r="C5" s="502"/>
      <c r="D5" s="502"/>
      <c r="E5" s="502"/>
      <c r="F5" s="502"/>
      <c r="G5" s="502"/>
      <c r="H5" s="502"/>
      <c r="I5" s="503"/>
    </row>
    <row r="6" spans="1:12" ht="16.5" customHeight="1" x14ac:dyDescent="0.3">
      <c r="A6" s="531" t="s">
        <v>91</v>
      </c>
      <c r="B6" s="516"/>
      <c r="C6" s="516"/>
      <c r="D6" s="516"/>
      <c r="E6" s="516"/>
      <c r="F6" s="516"/>
      <c r="G6" s="516"/>
      <c r="H6" s="516"/>
      <c r="I6" s="532"/>
    </row>
    <row r="7" spans="1:12" ht="16.5" customHeight="1" x14ac:dyDescent="0.3">
      <c r="A7" s="533"/>
      <c r="B7" s="517"/>
      <c r="C7" s="517"/>
      <c r="D7" s="517"/>
      <c r="E7" s="517"/>
      <c r="F7" s="517"/>
      <c r="G7" s="517"/>
      <c r="H7" s="517"/>
      <c r="I7" s="534"/>
    </row>
    <row r="8" spans="1:12" ht="16.5" customHeight="1" x14ac:dyDescent="0.3">
      <c r="A8" s="498" t="s">
        <v>92</v>
      </c>
      <c r="B8" s="499"/>
      <c r="C8" s="500"/>
      <c r="D8" s="524" t="s">
        <v>148</v>
      </c>
      <c r="E8" s="525"/>
      <c r="F8" s="525"/>
      <c r="G8" s="525"/>
      <c r="H8" s="525"/>
      <c r="I8" s="526"/>
      <c r="K8" s="63"/>
    </row>
    <row r="9" spans="1:12" ht="16.5" customHeight="1" x14ac:dyDescent="0.3">
      <c r="A9" s="501"/>
      <c r="B9" s="502"/>
      <c r="C9" s="503"/>
      <c r="D9" s="527"/>
      <c r="E9" s="528"/>
      <c r="F9" s="528"/>
      <c r="G9" s="528"/>
      <c r="H9" s="528"/>
      <c r="I9" s="529"/>
    </row>
    <row r="10" spans="1:12" x14ac:dyDescent="0.3">
      <c r="A10" s="498" t="s">
        <v>93</v>
      </c>
      <c r="B10" s="499"/>
      <c r="C10" s="500"/>
      <c r="D10" s="524">
        <f>MAX('MAAŞ BORDROSU'!A4:A523)</f>
        <v>1</v>
      </c>
      <c r="E10" s="525"/>
      <c r="F10" s="525"/>
      <c r="G10" s="525"/>
      <c r="H10" s="525"/>
      <c r="I10" s="526"/>
      <c r="L10" s="52"/>
    </row>
    <row r="11" spans="1:12" x14ac:dyDescent="0.3">
      <c r="A11" s="501"/>
      <c r="B11" s="502"/>
      <c r="C11" s="503"/>
      <c r="D11" s="527"/>
      <c r="E11" s="528"/>
      <c r="F11" s="528"/>
      <c r="G11" s="528"/>
      <c r="H11" s="528"/>
      <c r="I11" s="529"/>
    </row>
    <row r="12" spans="1:12" x14ac:dyDescent="0.3">
      <c r="A12" s="498" t="s">
        <v>94</v>
      </c>
      <c r="B12" s="499"/>
      <c r="C12" s="500"/>
      <c r="D12" s="506">
        <f>VERİLER!C5</f>
        <v>1375</v>
      </c>
      <c r="E12" s="507"/>
      <c r="F12" s="507"/>
      <c r="G12" s="507"/>
      <c r="H12" s="507"/>
      <c r="I12" s="508"/>
    </row>
    <row r="13" spans="1:12" x14ac:dyDescent="0.3">
      <c r="A13" s="501"/>
      <c r="B13" s="502"/>
      <c r="C13" s="503"/>
      <c r="D13" s="509"/>
      <c r="E13" s="510"/>
      <c r="F13" s="510"/>
      <c r="G13" s="510"/>
      <c r="H13" s="510"/>
      <c r="I13" s="511"/>
    </row>
    <row r="14" spans="1:12" ht="16.5" customHeight="1" x14ac:dyDescent="0.3">
      <c r="A14" s="498" t="s">
        <v>95</v>
      </c>
      <c r="B14" s="499"/>
      <c r="C14" s="500"/>
      <c r="D14" s="512">
        <f>DATE(YEAR(Puantaj!K3),MONTH(Puantaj!K3),Puantaj!D8)</f>
        <v>1</v>
      </c>
      <c r="E14" s="514">
        <f>EOMONTH(D14,0)</f>
        <v>31</v>
      </c>
      <c r="F14" s="516" t="s">
        <v>122</v>
      </c>
      <c r="G14" s="516"/>
      <c r="H14" s="518">
        <f>'Hakediş Raporu GSS'!D8</f>
        <v>0</v>
      </c>
      <c r="I14" s="519"/>
    </row>
    <row r="15" spans="1:12" x14ac:dyDescent="0.3">
      <c r="A15" s="501"/>
      <c r="B15" s="502"/>
      <c r="C15" s="503"/>
      <c r="D15" s="513"/>
      <c r="E15" s="515"/>
      <c r="F15" s="517"/>
      <c r="G15" s="517"/>
      <c r="H15" s="520"/>
      <c r="I15" s="521"/>
    </row>
    <row r="16" spans="1:12" x14ac:dyDescent="0.3">
      <c r="A16" s="498" t="str">
        <f>CONCATENATE("Yalnız : ",UPPER(ParaCevir(H14)))</f>
        <v xml:space="preserve">Yalnız : SIFIR LİRA </v>
      </c>
      <c r="B16" s="499"/>
      <c r="C16" s="499"/>
      <c r="D16" s="499"/>
      <c r="E16" s="499"/>
      <c r="F16" s="499"/>
      <c r="G16" s="499"/>
      <c r="H16" s="499"/>
      <c r="I16" s="500"/>
    </row>
    <row r="17" spans="1:9" x14ac:dyDescent="0.3">
      <c r="A17" s="501"/>
      <c r="B17" s="502"/>
      <c r="C17" s="502"/>
      <c r="D17" s="502"/>
      <c r="E17" s="502"/>
      <c r="F17" s="502"/>
      <c r="G17" s="502"/>
      <c r="H17" s="502"/>
      <c r="I17" s="503"/>
    </row>
    <row r="18" spans="1:9" ht="20.25" x14ac:dyDescent="0.3">
      <c r="A18" s="124"/>
      <c r="B18" s="125"/>
      <c r="C18" s="125"/>
      <c r="D18" s="125"/>
      <c r="E18" s="125"/>
      <c r="F18" s="125"/>
      <c r="G18" s="125"/>
      <c r="H18" s="125"/>
      <c r="I18" s="126"/>
    </row>
    <row r="19" spans="1:9" ht="20.25" x14ac:dyDescent="0.3">
      <c r="A19" s="127" t="s">
        <v>123</v>
      </c>
      <c r="B19" s="128"/>
      <c r="C19" s="129">
        <f>D14</f>
        <v>1</v>
      </c>
      <c r="D19" s="129">
        <f>E14</f>
        <v>31</v>
      </c>
      <c r="E19" s="504" t="s">
        <v>149</v>
      </c>
      <c r="F19" s="504"/>
      <c r="G19" s="504"/>
      <c r="H19" s="504"/>
      <c r="I19" s="505"/>
    </row>
    <row r="20" spans="1:9" ht="20.25" x14ac:dyDescent="0.3">
      <c r="A20" s="130"/>
      <c r="B20" s="131"/>
      <c r="C20" s="131"/>
      <c r="D20" s="131"/>
      <c r="E20" s="131"/>
      <c r="F20" s="131"/>
      <c r="G20" s="131"/>
      <c r="H20" s="131"/>
      <c r="I20" s="132"/>
    </row>
    <row r="21" spans="1:9" ht="25.5" customHeight="1" x14ac:dyDescent="0.3">
      <c r="A21" s="487" t="s">
        <v>136</v>
      </c>
      <c r="B21" s="522"/>
      <c r="C21" s="522"/>
      <c r="D21" s="522"/>
      <c r="E21" s="522"/>
      <c r="F21" s="522"/>
      <c r="G21" s="522"/>
      <c r="H21" s="522"/>
      <c r="I21" s="523"/>
    </row>
    <row r="22" spans="1:9" x14ac:dyDescent="0.3">
      <c r="A22" s="483" t="s">
        <v>153</v>
      </c>
      <c r="B22" s="480"/>
      <c r="C22" s="480"/>
      <c r="D22" s="480"/>
      <c r="E22" s="480"/>
      <c r="F22" s="480"/>
      <c r="G22" s="480"/>
      <c r="H22" s="480"/>
      <c r="I22" s="481"/>
    </row>
    <row r="23" spans="1:9" x14ac:dyDescent="0.3">
      <c r="A23" s="339"/>
      <c r="B23" s="342"/>
      <c r="C23" s="342"/>
      <c r="D23" s="342"/>
      <c r="E23" s="342"/>
      <c r="F23" s="342"/>
      <c r="G23" s="342"/>
      <c r="H23" s="342"/>
      <c r="I23" s="338"/>
    </row>
    <row r="24" spans="1:9" x14ac:dyDescent="0.3">
      <c r="A24" s="484" t="s">
        <v>154</v>
      </c>
      <c r="B24" s="482"/>
      <c r="C24" s="482"/>
      <c r="D24" s="482"/>
      <c r="E24" s="482"/>
      <c r="F24" s="342"/>
      <c r="G24" s="482" t="s">
        <v>155</v>
      </c>
      <c r="H24" s="482"/>
      <c r="I24" s="338"/>
    </row>
    <row r="25" spans="1:9" x14ac:dyDescent="0.3">
      <c r="A25" s="331"/>
      <c r="B25" s="340"/>
      <c r="C25" s="340"/>
      <c r="D25" s="340"/>
      <c r="E25" s="342"/>
      <c r="F25" s="342"/>
      <c r="G25" s="342"/>
      <c r="H25" s="342"/>
      <c r="I25" s="338"/>
    </row>
    <row r="26" spans="1:9" x14ac:dyDescent="0.3">
      <c r="A26" s="331"/>
      <c r="B26" s="340"/>
      <c r="C26" s="340"/>
      <c r="D26" s="340"/>
      <c r="E26" s="342"/>
      <c r="F26" s="480"/>
      <c r="G26" s="480"/>
      <c r="H26" s="480"/>
      <c r="I26" s="481"/>
    </row>
    <row r="27" spans="1:9" ht="20.25" customHeight="1" x14ac:dyDescent="0.3">
      <c r="A27" s="484" t="s">
        <v>169</v>
      </c>
      <c r="B27" s="482"/>
      <c r="C27" s="482"/>
      <c r="D27" s="482"/>
      <c r="E27" s="482"/>
      <c r="F27" s="343"/>
      <c r="G27" s="482" t="s">
        <v>165</v>
      </c>
      <c r="H27" s="482"/>
      <c r="I27" s="338"/>
    </row>
    <row r="28" spans="1:9" x14ac:dyDescent="0.3">
      <c r="A28" s="484" t="s">
        <v>170</v>
      </c>
      <c r="B28" s="482"/>
      <c r="C28" s="482"/>
      <c r="D28" s="482"/>
      <c r="E28" s="482"/>
      <c r="F28" s="344"/>
      <c r="G28" s="482" t="s">
        <v>166</v>
      </c>
      <c r="H28" s="482"/>
      <c r="I28" s="338"/>
    </row>
    <row r="29" spans="1:9" x14ac:dyDescent="0.3">
      <c r="A29" s="331"/>
      <c r="B29" s="340"/>
      <c r="C29" s="341"/>
      <c r="D29" s="342"/>
      <c r="E29" s="342"/>
      <c r="F29" s="342"/>
      <c r="G29" s="345"/>
      <c r="H29" s="342"/>
      <c r="I29" s="338"/>
    </row>
    <row r="30" spans="1:9" x14ac:dyDescent="0.3">
      <c r="A30" s="494" t="s">
        <v>157</v>
      </c>
      <c r="B30" s="495"/>
      <c r="C30" s="495"/>
      <c r="D30" s="495"/>
      <c r="E30" s="495"/>
      <c r="F30" s="342"/>
      <c r="G30" s="342"/>
      <c r="H30" s="342"/>
      <c r="I30" s="338"/>
    </row>
    <row r="31" spans="1:9" x14ac:dyDescent="0.3">
      <c r="A31" s="331" t="s">
        <v>158</v>
      </c>
      <c r="B31" s="496" t="s">
        <v>172</v>
      </c>
      <c r="C31" s="496"/>
      <c r="D31" s="342"/>
      <c r="E31" s="342"/>
      <c r="F31" s="340"/>
      <c r="G31" s="342"/>
      <c r="H31" s="342"/>
      <c r="I31" s="338"/>
    </row>
    <row r="32" spans="1:9" x14ac:dyDescent="0.3">
      <c r="A32" s="478" t="s">
        <v>160</v>
      </c>
      <c r="B32" s="479"/>
      <c r="C32" s="479"/>
      <c r="D32" s="342"/>
      <c r="E32" s="342"/>
      <c r="F32" s="340"/>
      <c r="G32" s="342"/>
      <c r="H32" s="342"/>
      <c r="I32" s="338"/>
    </row>
    <row r="33" spans="1:9" ht="67.5" customHeight="1" x14ac:dyDescent="0.3">
      <c r="A33" s="492" t="s">
        <v>173</v>
      </c>
      <c r="B33" s="493"/>
      <c r="C33" s="493"/>
      <c r="D33" s="346"/>
      <c r="E33" s="346"/>
      <c r="F33" s="347"/>
      <c r="G33" s="342"/>
      <c r="H33" s="342"/>
      <c r="I33" s="338"/>
    </row>
    <row r="34" spans="1:9" x14ac:dyDescent="0.3">
      <c r="A34" s="331" t="s">
        <v>159</v>
      </c>
      <c r="B34" s="340"/>
      <c r="C34" s="340" t="s">
        <v>174</v>
      </c>
      <c r="D34" s="340"/>
      <c r="E34" s="340"/>
      <c r="F34" s="342"/>
      <c r="G34" s="342"/>
      <c r="H34" s="342"/>
      <c r="I34" s="338"/>
    </row>
    <row r="35" spans="1:9" x14ac:dyDescent="0.3">
      <c r="A35" s="331" t="s">
        <v>161</v>
      </c>
      <c r="B35" s="340"/>
      <c r="C35" s="340" t="s">
        <v>168</v>
      </c>
      <c r="D35" s="340"/>
      <c r="E35" s="340"/>
      <c r="F35" s="342"/>
      <c r="G35" s="342"/>
      <c r="H35" s="342"/>
      <c r="I35" s="338"/>
    </row>
    <row r="36" spans="1:9" x14ac:dyDescent="0.3">
      <c r="A36" s="334" t="s">
        <v>162</v>
      </c>
      <c r="B36" s="332"/>
      <c r="C36" s="332"/>
      <c r="D36" s="332"/>
      <c r="E36" s="332"/>
      <c r="F36" s="332"/>
      <c r="G36" s="332"/>
      <c r="H36" s="332"/>
      <c r="I36" s="333"/>
    </row>
    <row r="37" spans="1:9" x14ac:dyDescent="0.3">
      <c r="A37" s="535" t="s">
        <v>163</v>
      </c>
      <c r="B37" s="536"/>
      <c r="C37" s="536"/>
      <c r="D37" s="536"/>
      <c r="E37" s="536"/>
      <c r="F37" s="536"/>
      <c r="G37" s="536"/>
      <c r="H37" s="536"/>
      <c r="I37" s="537"/>
    </row>
    <row r="38" spans="1:9" x14ac:dyDescent="0.3">
      <c r="A38" s="538"/>
      <c r="B38" s="539"/>
      <c r="C38" s="539"/>
      <c r="D38" s="539"/>
      <c r="E38" s="539"/>
      <c r="F38" s="539"/>
      <c r="G38" s="539"/>
      <c r="H38" s="539"/>
      <c r="I38" s="540"/>
    </row>
    <row r="39" spans="1:9" x14ac:dyDescent="0.3">
      <c r="A39" s="538"/>
      <c r="B39" s="539"/>
      <c r="C39" s="539"/>
      <c r="D39" s="539"/>
      <c r="E39" s="539"/>
      <c r="F39" s="539"/>
      <c r="G39" s="539"/>
      <c r="H39" s="539"/>
      <c r="I39" s="540"/>
    </row>
    <row r="40" spans="1:9" x14ac:dyDescent="0.3">
      <c r="A40" s="541"/>
      <c r="B40" s="542"/>
      <c r="C40" s="542"/>
      <c r="D40" s="542"/>
      <c r="E40" s="542"/>
      <c r="F40" s="542"/>
      <c r="G40" s="542"/>
      <c r="H40" s="542"/>
      <c r="I40" s="543"/>
    </row>
    <row r="41" spans="1:9" x14ac:dyDescent="0.3">
      <c r="A41" s="248"/>
      <c r="B41" s="248"/>
      <c r="C41" s="248"/>
      <c r="D41" s="248"/>
      <c r="E41" s="248"/>
      <c r="F41" s="248"/>
      <c r="G41" s="248"/>
      <c r="H41" s="248"/>
      <c r="I41" s="248"/>
    </row>
    <row r="42" spans="1:9" x14ac:dyDescent="0.3">
      <c r="A42" s="248"/>
      <c r="B42" s="248"/>
      <c r="C42" s="248"/>
      <c r="D42" s="248"/>
      <c r="E42" s="248"/>
      <c r="F42" s="248"/>
      <c r="G42" s="248"/>
      <c r="H42" s="248"/>
      <c r="I42" s="248"/>
    </row>
  </sheetData>
  <mergeCells count="33">
    <mergeCell ref="F26:I26"/>
    <mergeCell ref="D27:E27"/>
    <mergeCell ref="D28:E28"/>
    <mergeCell ref="A27:C27"/>
    <mergeCell ref="G27:H27"/>
    <mergeCell ref="A37:I40"/>
    <mergeCell ref="A30:E30"/>
    <mergeCell ref="B31:C31"/>
    <mergeCell ref="A32:C32"/>
    <mergeCell ref="A33:C33"/>
    <mergeCell ref="A10:C11"/>
    <mergeCell ref="D10:I11"/>
    <mergeCell ref="A2:I2"/>
    <mergeCell ref="A4:I5"/>
    <mergeCell ref="A6:I7"/>
    <mergeCell ref="A8:C9"/>
    <mergeCell ref="D8:I9"/>
    <mergeCell ref="A16:I17"/>
    <mergeCell ref="E19:I19"/>
    <mergeCell ref="A28:C28"/>
    <mergeCell ref="A12:C13"/>
    <mergeCell ref="D12:I13"/>
    <mergeCell ref="A14:C15"/>
    <mergeCell ref="D14:D15"/>
    <mergeCell ref="E14:E15"/>
    <mergeCell ref="F14:G15"/>
    <mergeCell ref="H14:I15"/>
    <mergeCell ref="G28:H28"/>
    <mergeCell ref="D24:E24"/>
    <mergeCell ref="A21:I21"/>
    <mergeCell ref="A22:I22"/>
    <mergeCell ref="A24:C24"/>
    <mergeCell ref="G24:H24"/>
  </mergeCells>
  <pageMargins left="0.72" right="0.48" top="0.74803149606299213" bottom="0.74803149606299213" header="0.31496062992125984" footer="0.31496062992125984"/>
  <pageSetup paperSize="9" scale="61"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17">
    <tabColor rgb="FF00B050"/>
    <pageSetUpPr fitToPage="1"/>
  </sheetPr>
  <dimension ref="A1:G399"/>
  <sheetViews>
    <sheetView workbookViewId="0">
      <selection activeCell="F4" sqref="F4"/>
    </sheetView>
  </sheetViews>
  <sheetFormatPr defaultRowHeight="12.75" x14ac:dyDescent="0.2"/>
  <cols>
    <col min="1" max="1" width="5.85546875" customWidth="1"/>
    <col min="2" max="2" width="10.42578125" bestFit="1" customWidth="1"/>
    <col min="3" max="3" width="23" bestFit="1" customWidth="1"/>
    <col min="4" max="4" width="10.7109375" bestFit="1" customWidth="1"/>
    <col min="5" max="5" width="27.85546875" bestFit="1" customWidth="1"/>
    <col min="6" max="6" width="25.7109375" customWidth="1"/>
    <col min="7" max="7" width="11" style="35" customWidth="1"/>
  </cols>
  <sheetData>
    <row r="1" spans="1:7" x14ac:dyDescent="0.2">
      <c r="A1" s="544" t="s">
        <v>152</v>
      </c>
      <c r="B1" s="545"/>
      <c r="C1" s="545"/>
      <c r="D1" s="545"/>
      <c r="E1" s="545"/>
      <c r="F1" s="545"/>
      <c r="G1" s="545"/>
    </row>
    <row r="2" spans="1:7" x14ac:dyDescent="0.2">
      <c r="A2" s="148" t="s">
        <v>63</v>
      </c>
      <c r="B2" s="149" t="s">
        <v>61</v>
      </c>
      <c r="C2" s="148" t="s">
        <v>62</v>
      </c>
      <c r="D2" s="148" t="s">
        <v>57</v>
      </c>
      <c r="E2" s="148" t="s">
        <v>58</v>
      </c>
      <c r="F2" s="153" t="s">
        <v>59</v>
      </c>
      <c r="G2" s="150" t="s">
        <v>60</v>
      </c>
    </row>
    <row r="3" spans="1:7" x14ac:dyDescent="0.2">
      <c r="A3" s="151">
        <f>'İşçi Bilgileri'!A2</f>
        <v>1</v>
      </c>
      <c r="B3" s="151">
        <f>IF($A3="","",VLOOKUP($A3,'İşçi Bilgileri'!$A$2:$D$750,4,FALSE))</f>
        <v>0</v>
      </c>
      <c r="C3" s="151" t="str">
        <f>CONCATENATE(IF($A3="","",VLOOKUP($A3,'İşçi Bilgileri'!$A$2:$D$750,2,FALSE))," ",IF($A3="","",VLOOKUP($A3,'İşçi Bilgileri'!$A$2:$D$750,3,FALSE)))</f>
        <v xml:space="preserve"> </v>
      </c>
      <c r="D3" s="350">
        <v>35527490</v>
      </c>
      <c r="E3" s="350" t="s">
        <v>177</v>
      </c>
      <c r="F3" s="154">
        <f>IF($A3="","",VLOOKUP($A3,'İşçi Bilgileri'!$A$2:$F$750,6,FALSE))</f>
        <v>0</v>
      </c>
      <c r="G3" s="152">
        <f>IF($A3="","",VLOOKUP($A3,'MAAŞ BORDROSU'!$A$4:$V$573,17,FALSE))</f>
        <v>0</v>
      </c>
    </row>
    <row r="4" spans="1:7" x14ac:dyDescent="0.2">
      <c r="A4" s="151" t="str">
        <f>'İşçi Bilgileri'!A3</f>
        <v/>
      </c>
      <c r="B4" s="151" t="str">
        <f>IF($A4="","",VLOOKUP($A4,'İşçi Bilgileri'!$A$2:$D$750,4,FALSE))</f>
        <v/>
      </c>
      <c r="C4" s="151" t="str">
        <f>CONCATENATE(IF($A4="","",VLOOKUP($A4,'İşçi Bilgileri'!$A$2:$D$750,2,FALSE))," ",IF($A4="","",VLOOKUP($A4,'İşçi Bilgileri'!$A$2:$D$750,3,FALSE)))</f>
        <v xml:space="preserve"> </v>
      </c>
      <c r="D4" s="350">
        <v>35527490</v>
      </c>
      <c r="E4" s="350" t="s">
        <v>177</v>
      </c>
      <c r="F4" s="154" t="str">
        <f>IF($A4="","",VLOOKUP($A4,'İşçi Bilgileri'!$A$2:$F$750,6,FALSE))</f>
        <v/>
      </c>
      <c r="G4" s="152" t="str">
        <f>IF($A4="","",VLOOKUP($A4,'MAAŞ BORDROSU'!$A$4:$V$573,17,FALSE))</f>
        <v/>
      </c>
    </row>
    <row r="5" spans="1:7" x14ac:dyDescent="0.2">
      <c r="A5" s="151" t="str">
        <f>'İşçi Bilgileri'!A4</f>
        <v/>
      </c>
      <c r="B5" s="151" t="str">
        <f>IF($A5="","",VLOOKUP($A5,'İşçi Bilgileri'!$A$2:$D$750,4,FALSE))</f>
        <v/>
      </c>
      <c r="C5" s="151" t="str">
        <f>CONCATENATE(IF($A5="","",VLOOKUP($A5,'İşçi Bilgileri'!$A$2:$D$750,2,FALSE))," ",IF($A5="","",VLOOKUP($A5,'İşçi Bilgileri'!$A$2:$D$750,3,FALSE)))</f>
        <v xml:space="preserve"> </v>
      </c>
      <c r="D5" s="350">
        <v>35527490</v>
      </c>
      <c r="E5" s="350" t="s">
        <v>177</v>
      </c>
      <c r="F5" s="154" t="str">
        <f>IF($A5="","",VLOOKUP($A5,'İşçi Bilgileri'!$A$2:$F$750,6,FALSE))</f>
        <v/>
      </c>
      <c r="G5" s="152" t="str">
        <f>IF($A5="","",VLOOKUP($A5,'MAAŞ BORDROSU'!$A$4:$V$573,17,FALSE))</f>
        <v/>
      </c>
    </row>
    <row r="6" spans="1:7" x14ac:dyDescent="0.2">
      <c r="A6" s="151" t="str">
        <f>'İşçi Bilgileri'!A5</f>
        <v/>
      </c>
      <c r="B6" s="151" t="str">
        <f>IF($A6="","",VLOOKUP($A6,'İşçi Bilgileri'!$A$2:$D$750,4,FALSE))</f>
        <v/>
      </c>
      <c r="C6" s="151" t="str">
        <f>CONCATENATE(IF($A6="","",VLOOKUP($A6,'İşçi Bilgileri'!$A$2:$D$750,2,FALSE))," ",IF($A6="","",VLOOKUP($A6,'İşçi Bilgileri'!$A$2:$D$750,3,FALSE)))</f>
        <v xml:space="preserve"> </v>
      </c>
      <c r="D6" s="350">
        <v>35527490</v>
      </c>
      <c r="E6" s="350" t="s">
        <v>177</v>
      </c>
      <c r="F6" s="154" t="str">
        <f>IF($A6="","",VLOOKUP($A6,'İşçi Bilgileri'!$A$2:$F$750,6,FALSE))</f>
        <v/>
      </c>
      <c r="G6" s="152" t="str">
        <f>IF($A6="","",VLOOKUP($A6,'MAAŞ BORDROSU'!$A$4:$V$573,17,FALSE))</f>
        <v/>
      </c>
    </row>
    <row r="7" spans="1:7" x14ac:dyDescent="0.2">
      <c r="A7" s="151" t="str">
        <f>'İşçi Bilgileri'!A6</f>
        <v/>
      </c>
      <c r="B7" s="151" t="str">
        <f>IF($A7="","",VLOOKUP($A7,'İşçi Bilgileri'!$A$2:$D$750,4,FALSE))</f>
        <v/>
      </c>
      <c r="C7" s="151" t="str">
        <f>CONCATENATE(IF($A7="","",VLOOKUP($A7,'İşçi Bilgileri'!$A$2:$D$750,2,FALSE))," ",IF($A7="","",VLOOKUP($A7,'İşçi Bilgileri'!$A$2:$D$750,3,FALSE)))</f>
        <v xml:space="preserve"> </v>
      </c>
      <c r="D7" s="350">
        <v>35527490</v>
      </c>
      <c r="E7" s="350" t="s">
        <v>177</v>
      </c>
      <c r="F7" s="154" t="str">
        <f>IF($A7="","",VLOOKUP($A7,'İşçi Bilgileri'!$A$2:$F$750,6,FALSE))</f>
        <v/>
      </c>
      <c r="G7" s="152" t="str">
        <f>IF($A7="","",VLOOKUP($A7,'MAAŞ BORDROSU'!$A$4:$V$573,17,FALSE))</f>
        <v/>
      </c>
    </row>
    <row r="8" spans="1:7" x14ac:dyDescent="0.2">
      <c r="A8" s="151" t="str">
        <f>'İşçi Bilgileri'!A7</f>
        <v/>
      </c>
      <c r="B8" s="151" t="str">
        <f>IF($A8="","",VLOOKUP($A8,'İşçi Bilgileri'!$A$2:$D$750,4,FALSE))</f>
        <v/>
      </c>
      <c r="C8" s="151" t="str">
        <f>CONCATENATE(IF($A8="","",VLOOKUP($A8,'İşçi Bilgileri'!$A$2:$D$750,2,FALSE))," ",IF($A8="","",VLOOKUP($A8,'İşçi Bilgileri'!$A$2:$D$750,3,FALSE)))</f>
        <v xml:space="preserve"> </v>
      </c>
      <c r="D8" s="350">
        <v>35527490</v>
      </c>
      <c r="E8" s="350" t="s">
        <v>177</v>
      </c>
      <c r="F8" s="154" t="str">
        <f>IF($A8="","",VLOOKUP($A8,'İşçi Bilgileri'!$A$2:$F$750,6,FALSE))</f>
        <v/>
      </c>
      <c r="G8" s="152" t="str">
        <f>IF($A8="","",VLOOKUP($A8,'MAAŞ BORDROSU'!$A$4:$V$573,17,FALSE))</f>
        <v/>
      </c>
    </row>
    <row r="9" spans="1:7" x14ac:dyDescent="0.2">
      <c r="A9" s="151" t="str">
        <f>'İşçi Bilgileri'!A8</f>
        <v/>
      </c>
      <c r="B9" s="151" t="str">
        <f>IF($A9="","",VLOOKUP($A9,'İşçi Bilgileri'!$A$2:$D$750,4,FALSE))</f>
        <v/>
      </c>
      <c r="C9" s="151" t="str">
        <f>CONCATENATE(IF($A9="","",VLOOKUP($A9,'İşçi Bilgileri'!$A$2:$D$750,2,FALSE))," ",IF($A9="","",VLOOKUP($A9,'İşçi Bilgileri'!$A$2:$D$750,3,FALSE)))</f>
        <v xml:space="preserve"> </v>
      </c>
      <c r="D9" s="350">
        <v>35527490</v>
      </c>
      <c r="E9" s="350" t="s">
        <v>177</v>
      </c>
      <c r="F9" s="154" t="str">
        <f>IF($A9="","",VLOOKUP($A9,'İşçi Bilgileri'!$A$2:$F$750,6,FALSE))</f>
        <v/>
      </c>
      <c r="G9" s="152" t="str">
        <f>IF($A9="","",VLOOKUP($A9,'MAAŞ BORDROSU'!$A$4:$V$573,17,FALSE))</f>
        <v/>
      </c>
    </row>
    <row r="10" spans="1:7" x14ac:dyDescent="0.2">
      <c r="A10" s="151" t="str">
        <f>'İşçi Bilgileri'!A9</f>
        <v/>
      </c>
      <c r="B10" s="151" t="str">
        <f>IF($A10="","",VLOOKUP($A10,'İşçi Bilgileri'!$A$2:$D$750,4,FALSE))</f>
        <v/>
      </c>
      <c r="C10" s="151" t="str">
        <f>CONCATENATE(IF($A10="","",VLOOKUP($A10,'İşçi Bilgileri'!$A$2:$D$750,2,FALSE))," ",IF($A10="","",VLOOKUP($A10,'İşçi Bilgileri'!$A$2:$D$750,3,FALSE)))</f>
        <v xml:space="preserve"> </v>
      </c>
      <c r="D10" s="350">
        <v>35527490</v>
      </c>
      <c r="E10" s="350" t="s">
        <v>177</v>
      </c>
      <c r="F10" s="154" t="str">
        <f>IF($A10="","",VLOOKUP($A10,'İşçi Bilgileri'!$A$2:$F$750,6,FALSE))</f>
        <v/>
      </c>
      <c r="G10" s="152" t="str">
        <f>IF($A10="","",VLOOKUP($A10,'MAAŞ BORDROSU'!$A$4:$V$573,17,FALSE))</f>
        <v/>
      </c>
    </row>
    <row r="11" spans="1:7" x14ac:dyDescent="0.2">
      <c r="A11" s="151" t="str">
        <f>'İşçi Bilgileri'!A10</f>
        <v/>
      </c>
      <c r="B11" s="151" t="str">
        <f>IF($A11="","",VLOOKUP($A11,'İşçi Bilgileri'!$A$2:$D$750,4,FALSE))</f>
        <v/>
      </c>
      <c r="C11" s="151" t="str">
        <f>CONCATENATE(IF($A11="","",VLOOKUP($A11,'İşçi Bilgileri'!$A$2:$D$750,2,FALSE))," ",IF($A11="","",VLOOKUP($A11,'İşçi Bilgileri'!$A$2:$D$750,3,FALSE)))</f>
        <v xml:space="preserve"> </v>
      </c>
      <c r="D11" s="350">
        <v>35527490</v>
      </c>
      <c r="E11" s="350" t="s">
        <v>177</v>
      </c>
      <c r="F11" s="154" t="str">
        <f>IF($A11="","",VLOOKUP($A11,'İşçi Bilgileri'!$A$2:$F$750,6,FALSE))</f>
        <v/>
      </c>
      <c r="G11" s="152" t="str">
        <f>IF($A11="","",VLOOKUP($A11,'MAAŞ BORDROSU'!$A$4:$V$573,17,FALSE))</f>
        <v/>
      </c>
    </row>
    <row r="12" spans="1:7" x14ac:dyDescent="0.2">
      <c r="A12" s="151" t="str">
        <f>'İşçi Bilgileri'!A11</f>
        <v/>
      </c>
      <c r="B12" s="151" t="str">
        <f>IF($A12="","",VLOOKUP($A12,'İşçi Bilgileri'!$A$2:$D$750,4,FALSE))</f>
        <v/>
      </c>
      <c r="C12" s="151" t="str">
        <f>CONCATENATE(IF($A12="","",VLOOKUP($A12,'İşçi Bilgileri'!$A$2:$D$750,2,FALSE))," ",IF($A12="","",VLOOKUP($A12,'İşçi Bilgileri'!$A$2:$D$750,3,FALSE)))</f>
        <v xml:space="preserve"> </v>
      </c>
      <c r="D12" s="350">
        <v>35527490</v>
      </c>
      <c r="E12" s="350" t="s">
        <v>177</v>
      </c>
      <c r="F12" s="154" t="str">
        <f>IF($A12="","",VLOOKUP($A12,'İşçi Bilgileri'!$A$2:$F$750,6,FALSE))</f>
        <v/>
      </c>
      <c r="G12" s="152" t="str">
        <f>IF($A12="","",VLOOKUP($A12,'MAAŞ BORDROSU'!$A$4:$V$573,17,FALSE))</f>
        <v/>
      </c>
    </row>
    <row r="13" spans="1:7" x14ac:dyDescent="0.2">
      <c r="A13" s="151" t="str">
        <f>'İşçi Bilgileri'!A12</f>
        <v/>
      </c>
      <c r="B13" s="151" t="str">
        <f>IF($A13="","",VLOOKUP($A13,'İşçi Bilgileri'!$A$2:$D$750,4,FALSE))</f>
        <v/>
      </c>
      <c r="C13" s="151" t="str">
        <f>CONCATENATE(IF($A13="","",VLOOKUP($A13,'İşçi Bilgileri'!$A$2:$D$750,2,FALSE))," ",IF($A13="","",VLOOKUP($A13,'İşçi Bilgileri'!$A$2:$D$750,3,FALSE)))</f>
        <v xml:space="preserve"> </v>
      </c>
      <c r="D13" s="350">
        <v>35527490</v>
      </c>
      <c r="E13" s="350" t="s">
        <v>177</v>
      </c>
      <c r="F13" s="154" t="str">
        <f>IF($A13="","",VLOOKUP($A13,'İşçi Bilgileri'!$A$2:$F$750,6,FALSE))</f>
        <v/>
      </c>
      <c r="G13" s="152" t="str">
        <f>IF($A13="","",VLOOKUP($A13,'MAAŞ BORDROSU'!$A$4:$V$573,17,FALSE))</f>
        <v/>
      </c>
    </row>
    <row r="14" spans="1:7" x14ac:dyDescent="0.2">
      <c r="A14" s="151" t="str">
        <f>'İşçi Bilgileri'!A13</f>
        <v/>
      </c>
      <c r="B14" s="151" t="str">
        <f>IF($A14="","",VLOOKUP($A14,'İşçi Bilgileri'!$A$2:$D$750,4,FALSE))</f>
        <v/>
      </c>
      <c r="C14" s="151" t="str">
        <f>CONCATENATE(IF($A14="","",VLOOKUP($A14,'İşçi Bilgileri'!$A$2:$D$750,2,FALSE))," ",IF($A14="","",VLOOKUP($A14,'İşçi Bilgileri'!$A$2:$D$750,3,FALSE)))</f>
        <v xml:space="preserve"> </v>
      </c>
      <c r="D14" s="350">
        <v>35527490</v>
      </c>
      <c r="E14" s="350" t="s">
        <v>177</v>
      </c>
      <c r="F14" s="154" t="str">
        <f>IF($A14="","",VLOOKUP($A14,'İşçi Bilgileri'!$A$2:$F$750,6,FALSE))</f>
        <v/>
      </c>
      <c r="G14" s="152" t="str">
        <f>IF($A14="","",VLOOKUP($A14,'MAAŞ BORDROSU'!$A$4:$V$573,17,FALSE))</f>
        <v/>
      </c>
    </row>
    <row r="15" spans="1:7" x14ac:dyDescent="0.2">
      <c r="A15" s="151" t="str">
        <f>'İşçi Bilgileri'!A14</f>
        <v/>
      </c>
      <c r="B15" s="151" t="str">
        <f>IF($A15="","",VLOOKUP($A15,'İşçi Bilgileri'!$A$2:$D$750,4,FALSE))</f>
        <v/>
      </c>
      <c r="C15" s="151" t="str">
        <f>CONCATENATE(IF($A15="","",VLOOKUP($A15,'İşçi Bilgileri'!$A$2:$D$750,2,FALSE))," ",IF($A15="","",VLOOKUP($A15,'İşçi Bilgileri'!$A$2:$D$750,3,FALSE)))</f>
        <v xml:space="preserve"> </v>
      </c>
      <c r="D15" s="350">
        <v>35527490</v>
      </c>
      <c r="E15" s="350" t="s">
        <v>177</v>
      </c>
      <c r="F15" s="154" t="str">
        <f>IF($A15="","",VLOOKUP($A15,'İşçi Bilgileri'!$A$2:$F$750,6,FALSE))</f>
        <v/>
      </c>
      <c r="G15" s="152" t="str">
        <f>IF($A15="","",VLOOKUP($A15,'MAAŞ BORDROSU'!$A$4:$V$573,17,FALSE))</f>
        <v/>
      </c>
    </row>
    <row r="16" spans="1:7" x14ac:dyDescent="0.2">
      <c r="A16" s="151" t="str">
        <f>'İşçi Bilgileri'!A15</f>
        <v/>
      </c>
      <c r="B16" s="151" t="str">
        <f>IF($A16="","",VLOOKUP($A16,'İşçi Bilgileri'!$A$2:$D$750,4,FALSE))</f>
        <v/>
      </c>
      <c r="C16" s="151" t="str">
        <f>CONCATENATE(IF($A16="","",VLOOKUP($A16,'İşçi Bilgileri'!$A$2:$D$750,2,FALSE))," ",IF($A16="","",VLOOKUP($A16,'İşçi Bilgileri'!$A$2:$D$750,3,FALSE)))</f>
        <v xml:space="preserve"> </v>
      </c>
      <c r="D16" s="350">
        <v>35527490</v>
      </c>
      <c r="E16" s="350" t="s">
        <v>177</v>
      </c>
      <c r="F16" s="154" t="str">
        <f>IF($A16="","",VLOOKUP($A16,'İşçi Bilgileri'!$A$2:$F$750,6,FALSE))</f>
        <v/>
      </c>
      <c r="G16" s="152" t="str">
        <f>IF($A16="","",VLOOKUP($A16,'MAAŞ BORDROSU'!$A$4:$V$573,17,FALSE))</f>
        <v/>
      </c>
    </row>
    <row r="17" spans="1:7" x14ac:dyDescent="0.2">
      <c r="A17" s="151" t="str">
        <f>'İşçi Bilgileri'!A16</f>
        <v/>
      </c>
      <c r="B17" s="151" t="str">
        <f>IF($A17="","",VLOOKUP($A17,'İşçi Bilgileri'!$A$2:$D$750,4,FALSE))</f>
        <v/>
      </c>
      <c r="C17" s="151" t="str">
        <f>CONCATENATE(IF($A17="","",VLOOKUP($A17,'İşçi Bilgileri'!$A$2:$D$750,2,FALSE))," ",IF($A17="","",VLOOKUP($A17,'İşçi Bilgileri'!$A$2:$D$750,3,FALSE)))</f>
        <v xml:space="preserve"> </v>
      </c>
      <c r="D17" s="350">
        <v>35527490</v>
      </c>
      <c r="E17" s="350" t="s">
        <v>177</v>
      </c>
      <c r="F17" s="154" t="str">
        <f>IF($A17="","",VLOOKUP($A17,'İşçi Bilgileri'!$A$2:$F$750,6,FALSE))</f>
        <v/>
      </c>
      <c r="G17" s="152" t="str">
        <f>IF($A17="","",VLOOKUP($A17,'MAAŞ BORDROSU'!$A$4:$V$573,17,FALSE))</f>
        <v/>
      </c>
    </row>
    <row r="18" spans="1:7" x14ac:dyDescent="0.2">
      <c r="A18" s="151" t="str">
        <f>'İşçi Bilgileri'!A17</f>
        <v/>
      </c>
      <c r="B18" s="151" t="str">
        <f>IF($A18="","",VLOOKUP($A18,'İşçi Bilgileri'!$A$2:$D$750,4,FALSE))</f>
        <v/>
      </c>
      <c r="C18" s="151" t="str">
        <f>CONCATENATE(IF($A18="","",VLOOKUP($A18,'İşçi Bilgileri'!$A$2:$D$750,2,FALSE))," ",IF($A18="","",VLOOKUP($A18,'İşçi Bilgileri'!$A$2:$D$750,3,FALSE)))</f>
        <v xml:space="preserve"> </v>
      </c>
      <c r="D18" s="350">
        <v>35527490</v>
      </c>
      <c r="E18" s="350" t="s">
        <v>177</v>
      </c>
      <c r="F18" s="154" t="str">
        <f>IF($A18="","",VLOOKUP($A18,'İşçi Bilgileri'!$A$2:$F$750,6,FALSE))</f>
        <v/>
      </c>
      <c r="G18" s="152" t="str">
        <f>IF($A18="","",VLOOKUP($A18,'MAAŞ BORDROSU'!$A$4:$V$573,17,FALSE))</f>
        <v/>
      </c>
    </row>
    <row r="19" spans="1:7" x14ac:dyDescent="0.2">
      <c r="A19" s="151" t="str">
        <f>'İşçi Bilgileri'!A18</f>
        <v/>
      </c>
      <c r="B19" s="151" t="str">
        <f>IF($A19="","",VLOOKUP($A19,'İşçi Bilgileri'!$A$2:$D$750,4,FALSE))</f>
        <v/>
      </c>
      <c r="C19" s="151" t="str">
        <f>CONCATENATE(IF($A19="","",VLOOKUP($A19,'İşçi Bilgileri'!$A$2:$D$750,2,FALSE))," ",IF($A19="","",VLOOKUP($A19,'İşçi Bilgileri'!$A$2:$D$750,3,FALSE)))</f>
        <v xml:space="preserve"> </v>
      </c>
      <c r="D19" s="350">
        <v>35527490</v>
      </c>
      <c r="E19" s="350" t="s">
        <v>177</v>
      </c>
      <c r="F19" s="154" t="str">
        <f>IF($A19="","",VLOOKUP($A19,'İşçi Bilgileri'!$A$2:$F$750,6,FALSE))</f>
        <v/>
      </c>
      <c r="G19" s="152" t="str">
        <f>IF($A19="","",VLOOKUP($A19,'MAAŞ BORDROSU'!$A$4:$V$573,17,FALSE))</f>
        <v/>
      </c>
    </row>
    <row r="20" spans="1:7" x14ac:dyDescent="0.2">
      <c r="A20" s="151" t="str">
        <f>'İşçi Bilgileri'!A19</f>
        <v/>
      </c>
      <c r="B20" s="151" t="str">
        <f>IF($A20="","",VLOOKUP($A20,'İşçi Bilgileri'!$A$2:$D$750,4,FALSE))</f>
        <v/>
      </c>
      <c r="C20" s="151" t="str">
        <f>CONCATENATE(IF($A20="","",VLOOKUP($A20,'İşçi Bilgileri'!$A$2:$D$750,2,FALSE))," ",IF($A20="","",VLOOKUP($A20,'İşçi Bilgileri'!$A$2:$D$750,3,FALSE)))</f>
        <v xml:space="preserve"> </v>
      </c>
      <c r="D20" s="350">
        <v>35527490</v>
      </c>
      <c r="E20" s="350" t="s">
        <v>177</v>
      </c>
      <c r="F20" s="154" t="str">
        <f>IF($A20="","",VLOOKUP($A20,'İşçi Bilgileri'!$A$2:$F$750,6,FALSE))</f>
        <v/>
      </c>
      <c r="G20" s="152" t="str">
        <f>IF($A20="","",VLOOKUP($A20,'MAAŞ BORDROSU'!$A$4:$V$573,17,FALSE))</f>
        <v/>
      </c>
    </row>
    <row r="21" spans="1:7" x14ac:dyDescent="0.2">
      <c r="A21" s="151" t="str">
        <f>'İşçi Bilgileri'!A20</f>
        <v/>
      </c>
      <c r="B21" s="151" t="str">
        <f>IF($A21="","",VLOOKUP($A21,'İşçi Bilgileri'!$A$2:$D$750,4,FALSE))</f>
        <v/>
      </c>
      <c r="C21" s="151" t="str">
        <f>CONCATENATE(IF($A21="","",VLOOKUP($A21,'İşçi Bilgileri'!$A$2:$D$750,2,FALSE))," ",IF($A21="","",VLOOKUP($A21,'İşçi Bilgileri'!$A$2:$D$750,3,FALSE)))</f>
        <v xml:space="preserve"> </v>
      </c>
      <c r="D21" s="350">
        <v>35527490</v>
      </c>
      <c r="E21" s="350" t="s">
        <v>177</v>
      </c>
      <c r="F21" s="154" t="str">
        <f>IF($A21="","",VLOOKUP($A21,'İşçi Bilgileri'!$A$2:$F$750,6,FALSE))</f>
        <v/>
      </c>
      <c r="G21" s="152" t="str">
        <f>IF($A21="","",VLOOKUP($A21,'MAAŞ BORDROSU'!$A$4:$V$573,17,FALSE))</f>
        <v/>
      </c>
    </row>
    <row r="22" spans="1:7" x14ac:dyDescent="0.2">
      <c r="A22" s="151" t="str">
        <f>'İşçi Bilgileri'!A21</f>
        <v/>
      </c>
      <c r="B22" s="151" t="str">
        <f>IF($A22="","",VLOOKUP($A22,'İşçi Bilgileri'!$A$2:$D$750,4,FALSE))</f>
        <v/>
      </c>
      <c r="C22" s="151" t="str">
        <f>CONCATENATE(IF($A22="","",VLOOKUP($A22,'İşçi Bilgileri'!$A$2:$D$750,2,FALSE))," ",IF($A22="","",VLOOKUP($A22,'İşçi Bilgileri'!$A$2:$D$750,3,FALSE)))</f>
        <v xml:space="preserve"> </v>
      </c>
      <c r="D22" s="350">
        <v>35527490</v>
      </c>
      <c r="E22" s="350" t="s">
        <v>177</v>
      </c>
      <c r="F22" s="154" t="str">
        <f>IF($A22="","",VLOOKUP($A22,'İşçi Bilgileri'!$A$2:$F$750,6,FALSE))</f>
        <v/>
      </c>
      <c r="G22" s="152" t="str">
        <f>IF($A22="","",VLOOKUP($A22,'MAAŞ BORDROSU'!$A$4:$V$573,17,FALSE))</f>
        <v/>
      </c>
    </row>
    <row r="23" spans="1:7" x14ac:dyDescent="0.2">
      <c r="A23" s="151" t="str">
        <f>'İşçi Bilgileri'!A22</f>
        <v/>
      </c>
      <c r="B23" s="151" t="str">
        <f>IF($A23="","",VLOOKUP($A23,'İşçi Bilgileri'!$A$2:$D$750,4,FALSE))</f>
        <v/>
      </c>
      <c r="C23" s="151" t="str">
        <f>CONCATENATE(IF($A23="","",VLOOKUP($A23,'İşçi Bilgileri'!$A$2:$D$750,2,FALSE))," ",IF($A23="","",VLOOKUP($A23,'İşçi Bilgileri'!$A$2:$D$750,3,FALSE)))</f>
        <v xml:space="preserve"> </v>
      </c>
      <c r="D23" s="350">
        <v>35527490</v>
      </c>
      <c r="E23" s="350" t="s">
        <v>177</v>
      </c>
      <c r="F23" s="154" t="str">
        <f>IF($A23="","",VLOOKUP($A23,'İşçi Bilgileri'!$A$2:$F$750,6,FALSE))</f>
        <v/>
      </c>
      <c r="G23" s="152" t="str">
        <f>IF($A23="","",VLOOKUP($A23,'MAAŞ BORDROSU'!$A$4:$V$573,17,FALSE))</f>
        <v/>
      </c>
    </row>
    <row r="24" spans="1:7" x14ac:dyDescent="0.2">
      <c r="A24" s="151" t="str">
        <f>'İşçi Bilgileri'!A23</f>
        <v/>
      </c>
      <c r="B24" s="151" t="str">
        <f>IF($A24="","",VLOOKUP($A24,'İşçi Bilgileri'!$A$2:$D$750,4,FALSE))</f>
        <v/>
      </c>
      <c r="C24" s="151" t="str">
        <f>CONCATENATE(IF($A24="","",VLOOKUP($A24,'İşçi Bilgileri'!$A$2:$D$750,2,FALSE))," ",IF($A24="","",VLOOKUP($A24,'İşçi Bilgileri'!$A$2:$D$750,3,FALSE)))</f>
        <v xml:space="preserve"> </v>
      </c>
      <c r="D24" s="350">
        <v>35527490</v>
      </c>
      <c r="E24" s="350" t="s">
        <v>177</v>
      </c>
      <c r="F24" s="154" t="str">
        <f>IF($A24="","",VLOOKUP($A24,'İşçi Bilgileri'!$A$2:$F$750,6,FALSE))</f>
        <v/>
      </c>
      <c r="G24" s="152" t="str">
        <f>IF($A24="","",VLOOKUP($A24,'MAAŞ BORDROSU'!$A$4:$V$573,17,FALSE))</f>
        <v/>
      </c>
    </row>
    <row r="25" spans="1:7" x14ac:dyDescent="0.2">
      <c r="A25" s="151" t="str">
        <f>'İşçi Bilgileri'!A24</f>
        <v/>
      </c>
      <c r="B25" s="151" t="str">
        <f>IF($A25="","",VLOOKUP($A25,'İşçi Bilgileri'!$A$2:$D$750,4,FALSE))</f>
        <v/>
      </c>
      <c r="C25" s="151" t="str">
        <f>CONCATENATE(IF($A25="","",VLOOKUP($A25,'İşçi Bilgileri'!$A$2:$D$750,2,FALSE))," ",IF($A25="","",VLOOKUP($A25,'İşçi Bilgileri'!$A$2:$D$750,3,FALSE)))</f>
        <v xml:space="preserve"> </v>
      </c>
      <c r="D25" s="350">
        <v>35527490</v>
      </c>
      <c r="E25" s="350" t="s">
        <v>177</v>
      </c>
      <c r="F25" s="154" t="str">
        <f>IF($A25="","",VLOOKUP($A25,'İşçi Bilgileri'!$A$2:$F$750,6,FALSE))</f>
        <v/>
      </c>
      <c r="G25" s="152" t="str">
        <f>IF($A25="","",VLOOKUP($A25,'MAAŞ BORDROSU'!$A$4:$V$573,17,FALSE))</f>
        <v/>
      </c>
    </row>
    <row r="26" spans="1:7" x14ac:dyDescent="0.2">
      <c r="A26" s="151" t="str">
        <f>'İşçi Bilgileri'!A25</f>
        <v/>
      </c>
      <c r="B26" s="151" t="str">
        <f>IF($A26="","",VLOOKUP($A26,'İşçi Bilgileri'!$A$2:$D$750,4,FALSE))</f>
        <v/>
      </c>
      <c r="C26" s="151" t="str">
        <f>CONCATENATE(IF($A26="","",VLOOKUP($A26,'İşçi Bilgileri'!$A$2:$D$750,2,FALSE))," ",IF($A26="","",VLOOKUP($A26,'İşçi Bilgileri'!$A$2:$D$750,3,FALSE)))</f>
        <v xml:space="preserve"> </v>
      </c>
      <c r="D26" s="350">
        <v>35527490</v>
      </c>
      <c r="E26" s="350" t="s">
        <v>177</v>
      </c>
      <c r="F26" s="154" t="str">
        <f>IF($A26="","",VLOOKUP($A26,'İşçi Bilgileri'!$A$2:$F$750,6,FALSE))</f>
        <v/>
      </c>
      <c r="G26" s="152" t="str">
        <f>IF($A26="","",VLOOKUP($A26,'MAAŞ BORDROSU'!$A$4:$V$573,17,FALSE))</f>
        <v/>
      </c>
    </row>
    <row r="27" spans="1:7" x14ac:dyDescent="0.2">
      <c r="A27" s="151" t="str">
        <f>'İşçi Bilgileri'!A26</f>
        <v/>
      </c>
      <c r="B27" s="151" t="str">
        <f>IF($A27="","",VLOOKUP($A27,'İşçi Bilgileri'!$A$2:$D$750,4,FALSE))</f>
        <v/>
      </c>
      <c r="C27" s="151" t="str">
        <f>CONCATENATE(IF($A27="","",VLOOKUP($A27,'İşçi Bilgileri'!$A$2:$D$750,2,FALSE))," ",IF($A27="","",VLOOKUP($A27,'İşçi Bilgileri'!$A$2:$D$750,3,FALSE)))</f>
        <v xml:space="preserve"> </v>
      </c>
      <c r="D27" s="350">
        <v>35527490</v>
      </c>
      <c r="E27" s="350" t="s">
        <v>177</v>
      </c>
      <c r="F27" s="154" t="str">
        <f>IF($A27="","",VLOOKUP($A27,'İşçi Bilgileri'!$A$2:$F$750,6,FALSE))</f>
        <v/>
      </c>
      <c r="G27" s="152" t="str">
        <f>IF($A27="","",VLOOKUP($A27,'MAAŞ BORDROSU'!$A$4:$V$573,17,FALSE))</f>
        <v/>
      </c>
    </row>
    <row r="28" spans="1:7" x14ac:dyDescent="0.2">
      <c r="A28" s="151" t="str">
        <f>'İşçi Bilgileri'!A27</f>
        <v/>
      </c>
      <c r="B28" s="151" t="str">
        <f>IF($A28="","",VLOOKUP($A28,'İşçi Bilgileri'!$A$2:$D$750,4,FALSE))</f>
        <v/>
      </c>
      <c r="C28" s="151" t="str">
        <f>CONCATENATE(IF($A28="","",VLOOKUP($A28,'İşçi Bilgileri'!$A$2:$D$750,2,FALSE))," ",IF($A28="","",VLOOKUP($A28,'İşçi Bilgileri'!$A$2:$D$750,3,FALSE)))</f>
        <v xml:space="preserve"> </v>
      </c>
      <c r="D28" s="350">
        <v>35527490</v>
      </c>
      <c r="E28" s="350" t="s">
        <v>177</v>
      </c>
      <c r="F28" s="154" t="str">
        <f>IF($A28="","",VLOOKUP($A28,'İşçi Bilgileri'!$A$2:$F$750,6,FALSE))</f>
        <v/>
      </c>
      <c r="G28" s="152" t="str">
        <f>IF($A28="","",VLOOKUP($A28,'MAAŞ BORDROSU'!$A$4:$V$573,17,FALSE))</f>
        <v/>
      </c>
    </row>
    <row r="29" spans="1:7" x14ac:dyDescent="0.2">
      <c r="A29" s="151" t="str">
        <f>'İşçi Bilgileri'!A28</f>
        <v/>
      </c>
      <c r="B29" s="151" t="str">
        <f>IF($A29="","",VLOOKUP($A29,'İşçi Bilgileri'!$A$2:$D$750,4,FALSE))</f>
        <v/>
      </c>
      <c r="C29" s="151" t="str">
        <f>CONCATENATE(IF($A29="","",VLOOKUP($A29,'İşçi Bilgileri'!$A$2:$D$750,2,FALSE))," ",IF($A29="","",VLOOKUP($A29,'İşçi Bilgileri'!$A$2:$D$750,3,FALSE)))</f>
        <v xml:space="preserve"> </v>
      </c>
      <c r="D29" s="350">
        <v>35527490</v>
      </c>
      <c r="E29" s="350" t="s">
        <v>177</v>
      </c>
      <c r="F29" s="154" t="str">
        <f>IF($A29="","",VLOOKUP($A29,'İşçi Bilgileri'!$A$2:$F$750,6,FALSE))</f>
        <v/>
      </c>
      <c r="G29" s="152" t="str">
        <f>IF($A29="","",VLOOKUP($A29,'MAAŞ BORDROSU'!$A$4:$V$573,17,FALSE))</f>
        <v/>
      </c>
    </row>
    <row r="30" spans="1:7" x14ac:dyDescent="0.2">
      <c r="A30" s="151" t="str">
        <f>'İşçi Bilgileri'!A29</f>
        <v/>
      </c>
      <c r="B30" s="151" t="str">
        <f>IF($A30="","",VLOOKUP($A30,'İşçi Bilgileri'!$A$2:$D$750,4,FALSE))</f>
        <v/>
      </c>
      <c r="C30" s="151" t="str">
        <f>CONCATENATE(IF($A30="","",VLOOKUP($A30,'İşçi Bilgileri'!$A$2:$D$750,2,FALSE))," ",IF($A30="","",VLOOKUP($A30,'İşçi Bilgileri'!$A$2:$D$750,3,FALSE)))</f>
        <v xml:space="preserve"> </v>
      </c>
      <c r="D30" s="350">
        <v>35527490</v>
      </c>
      <c r="E30" s="350" t="s">
        <v>177</v>
      </c>
      <c r="F30" s="154" t="str">
        <f>IF($A30="","",VLOOKUP($A30,'İşçi Bilgileri'!$A$2:$F$750,6,FALSE))</f>
        <v/>
      </c>
      <c r="G30" s="152" t="str">
        <f>IF($A30="","",VLOOKUP($A30,'MAAŞ BORDROSU'!$A$4:$V$573,17,FALSE))</f>
        <v/>
      </c>
    </row>
    <row r="31" spans="1:7" x14ac:dyDescent="0.2">
      <c r="A31" s="151" t="str">
        <f>'İşçi Bilgileri'!A30</f>
        <v/>
      </c>
      <c r="B31" s="151" t="str">
        <f>IF($A31="","",VLOOKUP($A31,'İşçi Bilgileri'!$A$2:$D$750,4,FALSE))</f>
        <v/>
      </c>
      <c r="C31" s="151" t="str">
        <f>CONCATENATE(IF($A31="","",VLOOKUP($A31,'İşçi Bilgileri'!$A$2:$D$750,2,FALSE))," ",IF($A31="","",VLOOKUP($A31,'İşçi Bilgileri'!$A$2:$D$750,3,FALSE)))</f>
        <v xml:space="preserve"> </v>
      </c>
      <c r="D31" s="350">
        <v>35527490</v>
      </c>
      <c r="E31" s="350" t="s">
        <v>177</v>
      </c>
      <c r="F31" s="154" t="str">
        <f>IF($A31="","",VLOOKUP($A31,'İşçi Bilgileri'!$A$2:$F$750,6,FALSE))</f>
        <v/>
      </c>
      <c r="G31" s="152" t="str">
        <f>IF($A31="","",VLOOKUP($A31,'MAAŞ BORDROSU'!$A$4:$V$573,17,FALSE))</f>
        <v/>
      </c>
    </row>
    <row r="32" spans="1:7" x14ac:dyDescent="0.2">
      <c r="A32" s="151" t="str">
        <f>'İşçi Bilgileri'!A31</f>
        <v/>
      </c>
      <c r="B32" s="151" t="str">
        <f>IF($A32="","",VLOOKUP($A32,'İşçi Bilgileri'!$A$2:$D$750,4,FALSE))</f>
        <v/>
      </c>
      <c r="C32" s="151" t="str">
        <f>CONCATENATE(IF($A32="","",VLOOKUP($A32,'İşçi Bilgileri'!$A$2:$D$750,2,FALSE))," ",IF($A32="","",VLOOKUP($A32,'İşçi Bilgileri'!$A$2:$D$750,3,FALSE)))</f>
        <v xml:space="preserve"> </v>
      </c>
      <c r="D32" s="350">
        <v>35527490</v>
      </c>
      <c r="E32" s="350" t="s">
        <v>177</v>
      </c>
      <c r="F32" s="154" t="str">
        <f>IF($A32="","",VLOOKUP($A32,'İşçi Bilgileri'!$A$2:$F$750,6,FALSE))</f>
        <v/>
      </c>
      <c r="G32" s="152" t="str">
        <f>IF($A32="","",VLOOKUP($A32,'MAAŞ BORDROSU'!$A$4:$V$573,17,FALSE))</f>
        <v/>
      </c>
    </row>
    <row r="33" spans="1:7" x14ac:dyDescent="0.2">
      <c r="A33" s="151" t="str">
        <f>'İşçi Bilgileri'!A32</f>
        <v/>
      </c>
      <c r="B33" s="151" t="str">
        <f>IF($A33="","",VLOOKUP($A33,'İşçi Bilgileri'!$A$2:$D$750,4,FALSE))</f>
        <v/>
      </c>
      <c r="C33" s="151" t="str">
        <f>CONCATENATE(IF($A33="","",VLOOKUP($A33,'İşçi Bilgileri'!$A$2:$D$750,2,FALSE))," ",IF($A33="","",VLOOKUP($A33,'İşçi Bilgileri'!$A$2:$D$750,3,FALSE)))</f>
        <v xml:space="preserve"> </v>
      </c>
      <c r="D33" s="350">
        <v>35527490</v>
      </c>
      <c r="E33" s="350" t="s">
        <v>177</v>
      </c>
      <c r="F33" s="154" t="str">
        <f>IF($A33="","",VLOOKUP($A33,'İşçi Bilgileri'!$A$2:$F$750,6,FALSE))</f>
        <v/>
      </c>
      <c r="G33" s="152" t="str">
        <f>IF($A33="","",VLOOKUP($A33,'MAAŞ BORDROSU'!$A$4:$V$573,17,FALSE))</f>
        <v/>
      </c>
    </row>
    <row r="34" spans="1:7" x14ac:dyDescent="0.2">
      <c r="A34" s="151" t="str">
        <f>'İşçi Bilgileri'!A33</f>
        <v/>
      </c>
      <c r="B34" s="151" t="str">
        <f>IF($A34="","",VLOOKUP($A34,'İşçi Bilgileri'!$A$2:$D$750,4,FALSE))</f>
        <v/>
      </c>
      <c r="C34" s="151" t="str">
        <f>CONCATENATE(IF($A34="","",VLOOKUP($A34,'İşçi Bilgileri'!$A$2:$D$750,2,FALSE))," ",IF($A34="","",VLOOKUP($A34,'İşçi Bilgileri'!$A$2:$D$750,3,FALSE)))</f>
        <v xml:space="preserve"> </v>
      </c>
      <c r="D34" s="350">
        <v>35527490</v>
      </c>
      <c r="E34" s="350" t="s">
        <v>177</v>
      </c>
      <c r="F34" s="154" t="str">
        <f>IF($A34="","",VLOOKUP($A34,'İşçi Bilgileri'!$A$2:$F$750,6,FALSE))</f>
        <v/>
      </c>
      <c r="G34" s="152" t="str">
        <f>IF($A34="","",VLOOKUP($A34,'MAAŞ BORDROSU'!$A$4:$V$573,17,FALSE))</f>
        <v/>
      </c>
    </row>
    <row r="35" spans="1:7" x14ac:dyDescent="0.2">
      <c r="A35" s="151" t="str">
        <f>'İşçi Bilgileri'!A34</f>
        <v/>
      </c>
      <c r="B35" s="151" t="str">
        <f>IF($A35="","",VLOOKUP($A35,'İşçi Bilgileri'!$A$2:$D$750,4,FALSE))</f>
        <v/>
      </c>
      <c r="C35" s="151" t="str">
        <f>CONCATENATE(IF($A35="","",VLOOKUP($A35,'İşçi Bilgileri'!$A$2:$D$750,2,FALSE))," ",IF($A35="","",VLOOKUP($A35,'İşçi Bilgileri'!$A$2:$D$750,3,FALSE)))</f>
        <v xml:space="preserve"> </v>
      </c>
      <c r="D35" s="350">
        <v>35527490</v>
      </c>
      <c r="E35" s="350" t="s">
        <v>177</v>
      </c>
      <c r="F35" s="154" t="str">
        <f>IF($A35="","",VLOOKUP($A35,'İşçi Bilgileri'!$A$2:$F$750,6,FALSE))</f>
        <v/>
      </c>
      <c r="G35" s="152" t="str">
        <f>IF($A35="","",VLOOKUP($A35,'MAAŞ BORDROSU'!$A$4:$V$573,17,FALSE))</f>
        <v/>
      </c>
    </row>
    <row r="36" spans="1:7" x14ac:dyDescent="0.2">
      <c r="A36" s="151" t="str">
        <f>'İşçi Bilgileri'!A35</f>
        <v/>
      </c>
      <c r="B36" s="151" t="str">
        <f>IF($A36="","",VLOOKUP($A36,'İşçi Bilgileri'!$A$2:$D$750,4,FALSE))</f>
        <v/>
      </c>
      <c r="C36" s="151" t="str">
        <f>CONCATENATE(IF($A36="","",VLOOKUP($A36,'İşçi Bilgileri'!$A$2:$D$750,2,FALSE))," ",IF($A36="","",VLOOKUP($A36,'İşçi Bilgileri'!$A$2:$D$750,3,FALSE)))</f>
        <v xml:space="preserve"> </v>
      </c>
      <c r="D36" s="350">
        <v>35527490</v>
      </c>
      <c r="E36" s="350" t="s">
        <v>177</v>
      </c>
      <c r="F36" s="154" t="str">
        <f>IF($A36="","",VLOOKUP($A36,'İşçi Bilgileri'!$A$2:$F$750,6,FALSE))</f>
        <v/>
      </c>
      <c r="G36" s="152" t="str">
        <f>IF($A36="","",VLOOKUP($A36,'MAAŞ BORDROSU'!$A$4:$V$573,17,FALSE))</f>
        <v/>
      </c>
    </row>
    <row r="37" spans="1:7" x14ac:dyDescent="0.2">
      <c r="A37" s="151" t="str">
        <f>'İşçi Bilgileri'!A36</f>
        <v/>
      </c>
      <c r="B37" s="151" t="str">
        <f>IF($A37="","",VLOOKUP($A37,'İşçi Bilgileri'!$A$2:$D$750,4,FALSE))</f>
        <v/>
      </c>
      <c r="C37" s="151" t="str">
        <f>CONCATENATE(IF($A37="","",VLOOKUP($A37,'İşçi Bilgileri'!$A$2:$D$750,2,FALSE))," ",IF($A37="","",VLOOKUP($A37,'İşçi Bilgileri'!$A$2:$D$750,3,FALSE)))</f>
        <v xml:space="preserve"> </v>
      </c>
      <c r="D37" s="350">
        <v>35527490</v>
      </c>
      <c r="E37" s="350" t="s">
        <v>177</v>
      </c>
      <c r="F37" s="154" t="str">
        <f>IF($A37="","",VLOOKUP($A37,'İşçi Bilgileri'!$A$2:$F$750,6,FALSE))</f>
        <v/>
      </c>
      <c r="G37" s="152" t="str">
        <f>IF($A37="","",VLOOKUP($A37,'MAAŞ BORDROSU'!$A$4:$V$573,17,FALSE))</f>
        <v/>
      </c>
    </row>
    <row r="38" spans="1:7" x14ac:dyDescent="0.2">
      <c r="A38" s="151" t="str">
        <f>'İşçi Bilgileri'!A37</f>
        <v/>
      </c>
      <c r="B38" s="151" t="str">
        <f>IF($A38="","",VLOOKUP($A38,'İşçi Bilgileri'!$A$2:$D$750,4,FALSE))</f>
        <v/>
      </c>
      <c r="C38" s="151" t="str">
        <f>CONCATENATE(IF($A38="","",VLOOKUP($A38,'İşçi Bilgileri'!$A$2:$D$750,2,FALSE))," ",IF($A38="","",VLOOKUP($A38,'İşçi Bilgileri'!$A$2:$D$750,3,FALSE)))</f>
        <v xml:space="preserve"> </v>
      </c>
      <c r="D38" s="350">
        <v>35527490</v>
      </c>
      <c r="E38" s="350" t="s">
        <v>177</v>
      </c>
      <c r="F38" s="154" t="str">
        <f>IF($A38="","",VLOOKUP($A38,'İşçi Bilgileri'!$A$2:$F$750,6,FALSE))</f>
        <v/>
      </c>
      <c r="G38" s="152" t="str">
        <f>IF($A38="","",VLOOKUP($A38,'MAAŞ BORDROSU'!$A$4:$V$573,17,FALSE))</f>
        <v/>
      </c>
    </row>
    <row r="39" spans="1:7" x14ac:dyDescent="0.2">
      <c r="A39" s="151" t="str">
        <f>'İşçi Bilgileri'!A38</f>
        <v/>
      </c>
      <c r="B39" s="151" t="str">
        <f>IF($A39="","",VLOOKUP($A39,'İşçi Bilgileri'!$A$2:$D$750,4,FALSE))</f>
        <v/>
      </c>
      <c r="C39" s="151" t="str">
        <f>CONCATENATE(IF($A39="","",VLOOKUP($A39,'İşçi Bilgileri'!$A$2:$D$750,2,FALSE))," ",IF($A39="","",VLOOKUP($A39,'İşçi Bilgileri'!$A$2:$D$750,3,FALSE)))</f>
        <v xml:space="preserve"> </v>
      </c>
      <c r="D39" s="350">
        <v>35527490</v>
      </c>
      <c r="E39" s="350" t="s">
        <v>177</v>
      </c>
      <c r="F39" s="154" t="str">
        <f>IF($A39="","",VLOOKUP($A39,'İşçi Bilgileri'!$A$2:$F$750,6,FALSE))</f>
        <v/>
      </c>
      <c r="G39" s="152" t="str">
        <f>IF($A39="","",VLOOKUP($A39,'MAAŞ BORDROSU'!$A$4:$V$573,17,FALSE))</f>
        <v/>
      </c>
    </row>
    <row r="40" spans="1:7" x14ac:dyDescent="0.2">
      <c r="A40" s="151" t="str">
        <f>'İşçi Bilgileri'!A39</f>
        <v/>
      </c>
      <c r="B40" s="151" t="str">
        <f>IF($A40="","",VLOOKUP($A40,'İşçi Bilgileri'!$A$2:$D$750,4,FALSE))</f>
        <v/>
      </c>
      <c r="C40" s="151" t="str">
        <f>CONCATENATE(IF($A40="","",VLOOKUP($A40,'İşçi Bilgileri'!$A$2:$D$750,2,FALSE))," ",IF($A40="","",VLOOKUP($A40,'İşçi Bilgileri'!$A$2:$D$750,3,FALSE)))</f>
        <v xml:space="preserve"> </v>
      </c>
      <c r="D40" s="350">
        <v>35527490</v>
      </c>
      <c r="E40" s="350" t="s">
        <v>177</v>
      </c>
      <c r="F40" s="154" t="str">
        <f>IF($A40="","",VLOOKUP($A40,'İşçi Bilgileri'!$A$2:$F$750,6,FALSE))</f>
        <v/>
      </c>
      <c r="G40" s="152" t="str">
        <f>IF($A40="","",VLOOKUP($A40,'MAAŞ BORDROSU'!$A$4:$V$573,17,FALSE))</f>
        <v/>
      </c>
    </row>
    <row r="41" spans="1:7" x14ac:dyDescent="0.2">
      <c r="A41" s="151" t="str">
        <f>'İşçi Bilgileri'!A40</f>
        <v/>
      </c>
      <c r="B41" s="151" t="str">
        <f>IF($A41="","",VLOOKUP($A41,'İşçi Bilgileri'!$A$2:$D$750,4,FALSE))</f>
        <v/>
      </c>
      <c r="C41" s="151" t="str">
        <f>CONCATENATE(IF($A41="","",VLOOKUP($A41,'İşçi Bilgileri'!$A$2:$D$750,2,FALSE))," ",IF($A41="","",VLOOKUP($A41,'İşçi Bilgileri'!$A$2:$D$750,3,FALSE)))</f>
        <v xml:space="preserve"> </v>
      </c>
      <c r="D41" s="350">
        <v>35527490</v>
      </c>
      <c r="E41" s="350" t="s">
        <v>177</v>
      </c>
      <c r="F41" s="154" t="str">
        <f>IF($A41="","",VLOOKUP($A41,'İşçi Bilgileri'!$A$2:$F$750,6,FALSE))</f>
        <v/>
      </c>
      <c r="G41" s="152" t="str">
        <f>IF($A41="","",VLOOKUP($A41,'MAAŞ BORDROSU'!$A$4:$V$573,17,FALSE))</f>
        <v/>
      </c>
    </row>
    <row r="42" spans="1:7" x14ac:dyDescent="0.2">
      <c r="A42" s="151" t="str">
        <f>'İşçi Bilgileri'!A41</f>
        <v/>
      </c>
      <c r="B42" s="151" t="str">
        <f>IF($A42="","",VLOOKUP($A42,'İşçi Bilgileri'!$A$2:$D$750,4,FALSE))</f>
        <v/>
      </c>
      <c r="C42" s="151" t="str">
        <f>CONCATENATE(IF($A42="","",VLOOKUP($A42,'İşçi Bilgileri'!$A$2:$D$750,2,FALSE))," ",IF($A42="","",VLOOKUP($A42,'İşçi Bilgileri'!$A$2:$D$750,3,FALSE)))</f>
        <v xml:space="preserve"> </v>
      </c>
      <c r="D42" s="350">
        <v>35527490</v>
      </c>
      <c r="E42" s="350" t="s">
        <v>177</v>
      </c>
      <c r="F42" s="154" t="str">
        <f>IF($A42="","",VLOOKUP($A42,'İşçi Bilgileri'!$A$2:$F$750,6,FALSE))</f>
        <v/>
      </c>
      <c r="G42" s="152" t="str">
        <f>IF($A42="","",VLOOKUP($A42,'MAAŞ BORDROSU'!$A$4:$V$573,17,FALSE))</f>
        <v/>
      </c>
    </row>
    <row r="43" spans="1:7" x14ac:dyDescent="0.2">
      <c r="A43" s="151" t="str">
        <f>'İşçi Bilgileri'!A42</f>
        <v/>
      </c>
      <c r="B43" s="151" t="str">
        <f>IF($A43="","",VLOOKUP($A43,'İşçi Bilgileri'!$A$2:$D$750,4,FALSE))</f>
        <v/>
      </c>
      <c r="C43" s="151" t="str">
        <f>CONCATENATE(IF($A43="","",VLOOKUP($A43,'İşçi Bilgileri'!$A$2:$D$750,2,FALSE))," ",IF($A43="","",VLOOKUP($A43,'İşçi Bilgileri'!$A$2:$D$750,3,FALSE)))</f>
        <v xml:space="preserve"> </v>
      </c>
      <c r="D43" s="350">
        <v>35527490</v>
      </c>
      <c r="E43" s="350" t="s">
        <v>177</v>
      </c>
      <c r="F43" s="154" t="str">
        <f>IF($A43="","",VLOOKUP($A43,'İşçi Bilgileri'!$A$2:$F$750,6,FALSE))</f>
        <v/>
      </c>
      <c r="G43" s="152" t="str">
        <f>IF($A43="","",VLOOKUP($A43,'MAAŞ BORDROSU'!$A$4:$V$573,17,FALSE))</f>
        <v/>
      </c>
    </row>
    <row r="44" spans="1:7" x14ac:dyDescent="0.2">
      <c r="A44" s="151" t="str">
        <f>'İşçi Bilgileri'!A43</f>
        <v/>
      </c>
      <c r="B44" s="151" t="str">
        <f>IF($A44="","",VLOOKUP($A44,'İşçi Bilgileri'!$A$2:$D$750,4,FALSE))</f>
        <v/>
      </c>
      <c r="C44" s="151" t="str">
        <f>CONCATENATE(IF($A44="","",VLOOKUP($A44,'İşçi Bilgileri'!$A$2:$D$750,2,FALSE))," ",IF($A44="","",VLOOKUP($A44,'İşçi Bilgileri'!$A$2:$D$750,3,FALSE)))</f>
        <v xml:space="preserve"> </v>
      </c>
      <c r="D44" s="350">
        <v>35527490</v>
      </c>
      <c r="E44" s="350" t="s">
        <v>177</v>
      </c>
      <c r="F44" s="154" t="str">
        <f>IF($A44="","",VLOOKUP($A44,'İşçi Bilgileri'!$A$2:$F$750,6,FALSE))</f>
        <v/>
      </c>
      <c r="G44" s="152" t="str">
        <f>IF($A44="","",VLOOKUP($A44,'MAAŞ BORDROSU'!$A$4:$V$573,17,FALSE))</f>
        <v/>
      </c>
    </row>
    <row r="45" spans="1:7" x14ac:dyDescent="0.2">
      <c r="A45" s="151" t="str">
        <f>'İşçi Bilgileri'!A44</f>
        <v/>
      </c>
      <c r="B45" s="151" t="str">
        <f>IF($A45="","",VLOOKUP($A45,'İşçi Bilgileri'!$A$2:$D$750,4,FALSE))</f>
        <v/>
      </c>
      <c r="C45" s="151" t="str">
        <f>CONCATENATE(IF($A45="","",VLOOKUP($A45,'İşçi Bilgileri'!$A$2:$D$750,2,FALSE))," ",IF($A45="","",VLOOKUP($A45,'İşçi Bilgileri'!$A$2:$D$750,3,FALSE)))</f>
        <v xml:space="preserve"> </v>
      </c>
      <c r="D45" s="350">
        <v>35527490</v>
      </c>
      <c r="E45" s="350" t="s">
        <v>177</v>
      </c>
      <c r="F45" s="154" t="str">
        <f>IF($A45="","",VLOOKUP($A45,'İşçi Bilgileri'!$A$2:$F$750,6,FALSE))</f>
        <v/>
      </c>
      <c r="G45" s="152" t="str">
        <f>IF($A45="","",VLOOKUP($A45,'MAAŞ BORDROSU'!$A$4:$V$573,17,FALSE))</f>
        <v/>
      </c>
    </row>
    <row r="46" spans="1:7" x14ac:dyDescent="0.2">
      <c r="A46" s="151" t="str">
        <f>'İşçi Bilgileri'!A45</f>
        <v/>
      </c>
      <c r="B46" s="151" t="str">
        <f>IF($A46="","",VLOOKUP($A46,'İşçi Bilgileri'!$A$2:$D$750,4,FALSE))</f>
        <v/>
      </c>
      <c r="C46" s="151" t="str">
        <f>CONCATENATE(IF($A46="","",VLOOKUP($A46,'İşçi Bilgileri'!$A$2:$D$750,2,FALSE))," ",IF($A46="","",VLOOKUP($A46,'İşçi Bilgileri'!$A$2:$D$750,3,FALSE)))</f>
        <v xml:space="preserve"> </v>
      </c>
      <c r="D46" s="350">
        <v>35527490</v>
      </c>
      <c r="E46" s="350" t="s">
        <v>177</v>
      </c>
      <c r="F46" s="154" t="str">
        <f>IF($A46="","",VLOOKUP($A46,'İşçi Bilgileri'!$A$2:$F$750,6,FALSE))</f>
        <v/>
      </c>
      <c r="G46" s="152" t="str">
        <f>IF($A46="","",VLOOKUP($A46,'MAAŞ BORDROSU'!$A$4:$V$573,17,FALSE))</f>
        <v/>
      </c>
    </row>
    <row r="47" spans="1:7" x14ac:dyDescent="0.2">
      <c r="A47" s="151" t="str">
        <f>'İşçi Bilgileri'!A46</f>
        <v/>
      </c>
      <c r="B47" s="151" t="str">
        <f>IF($A47="","",VLOOKUP($A47,'İşçi Bilgileri'!$A$2:$D$750,4,FALSE))</f>
        <v/>
      </c>
      <c r="C47" s="151" t="str">
        <f>CONCATENATE(IF($A47="","",VLOOKUP($A47,'İşçi Bilgileri'!$A$2:$D$750,2,FALSE))," ",IF($A47="","",VLOOKUP($A47,'İşçi Bilgileri'!$A$2:$D$750,3,FALSE)))</f>
        <v xml:space="preserve"> </v>
      </c>
      <c r="D47" s="350">
        <v>35527490</v>
      </c>
      <c r="E47" s="350" t="s">
        <v>177</v>
      </c>
      <c r="F47" s="154" t="str">
        <f>IF($A47="","",VLOOKUP($A47,'İşçi Bilgileri'!$A$2:$F$750,6,FALSE))</f>
        <v/>
      </c>
      <c r="G47" s="152" t="str">
        <f>IF($A47="","",VLOOKUP($A47,'MAAŞ BORDROSU'!$A$4:$V$573,17,FALSE))</f>
        <v/>
      </c>
    </row>
    <row r="48" spans="1:7" x14ac:dyDescent="0.2">
      <c r="A48" s="151" t="str">
        <f>'İşçi Bilgileri'!A47</f>
        <v/>
      </c>
      <c r="B48" s="151" t="str">
        <f>IF($A48="","",VLOOKUP($A48,'İşçi Bilgileri'!$A$2:$D$750,4,FALSE))</f>
        <v/>
      </c>
      <c r="C48" s="151" t="str">
        <f>CONCATENATE(IF($A48="","",VLOOKUP($A48,'İşçi Bilgileri'!$A$2:$D$750,2,FALSE))," ",IF($A48="","",VLOOKUP($A48,'İşçi Bilgileri'!$A$2:$D$750,3,FALSE)))</f>
        <v xml:space="preserve"> </v>
      </c>
      <c r="D48" s="350">
        <v>35527490</v>
      </c>
      <c r="E48" s="350" t="s">
        <v>177</v>
      </c>
      <c r="F48" s="154" t="str">
        <f>IF($A48="","",VLOOKUP($A48,'İşçi Bilgileri'!$A$2:$F$750,6,FALSE))</f>
        <v/>
      </c>
      <c r="G48" s="152" t="str">
        <f>IF($A48="","",VLOOKUP($A48,'MAAŞ BORDROSU'!$A$4:$V$573,17,FALSE))</f>
        <v/>
      </c>
    </row>
    <row r="49" spans="1:7" x14ac:dyDescent="0.2">
      <c r="A49" s="151" t="str">
        <f>'İşçi Bilgileri'!A48</f>
        <v/>
      </c>
      <c r="B49" s="151" t="str">
        <f>IF($A49="","",VLOOKUP($A49,'İşçi Bilgileri'!$A$2:$D$750,4,FALSE))</f>
        <v/>
      </c>
      <c r="C49" s="151" t="str">
        <f>CONCATENATE(IF($A49="","",VLOOKUP($A49,'İşçi Bilgileri'!$A$2:$D$750,2,FALSE))," ",IF($A49="","",VLOOKUP($A49,'İşçi Bilgileri'!$A$2:$D$750,3,FALSE)))</f>
        <v xml:space="preserve"> </v>
      </c>
      <c r="D49" s="350">
        <v>35527490</v>
      </c>
      <c r="E49" s="350" t="s">
        <v>177</v>
      </c>
      <c r="F49" s="154" t="str">
        <f>IF($A49="","",VLOOKUP($A49,'İşçi Bilgileri'!$A$2:$F$750,6,FALSE))</f>
        <v/>
      </c>
      <c r="G49" s="152" t="str">
        <f>IF($A49="","",VLOOKUP($A49,'MAAŞ BORDROSU'!$A$4:$V$573,17,FALSE))</f>
        <v/>
      </c>
    </row>
    <row r="50" spans="1:7" x14ac:dyDescent="0.2">
      <c r="A50" s="151" t="str">
        <f>'İşçi Bilgileri'!A49</f>
        <v/>
      </c>
      <c r="B50" s="151" t="str">
        <f>IF($A50="","",VLOOKUP($A50,'İşçi Bilgileri'!$A$2:$D$750,4,FALSE))</f>
        <v/>
      </c>
      <c r="C50" s="151" t="str">
        <f>CONCATENATE(IF($A50="","",VLOOKUP($A50,'İşçi Bilgileri'!$A$2:$D$750,2,FALSE))," ",IF($A50="","",VLOOKUP($A50,'İşçi Bilgileri'!$A$2:$D$750,3,FALSE)))</f>
        <v xml:space="preserve"> </v>
      </c>
      <c r="D50" s="350">
        <v>35527490</v>
      </c>
      <c r="E50" s="350" t="s">
        <v>177</v>
      </c>
      <c r="F50" s="154" t="str">
        <f>IF($A50="","",VLOOKUP($A50,'İşçi Bilgileri'!$A$2:$F$750,6,FALSE))</f>
        <v/>
      </c>
      <c r="G50" s="152" t="str">
        <f>IF($A50="","",VLOOKUP($A50,'MAAŞ BORDROSU'!$A$4:$V$573,17,FALSE))</f>
        <v/>
      </c>
    </row>
    <row r="51" spans="1:7" x14ac:dyDescent="0.2">
      <c r="A51" s="151" t="str">
        <f>'İşçi Bilgileri'!A50</f>
        <v/>
      </c>
      <c r="B51" s="151" t="str">
        <f>IF($A51="","",VLOOKUP($A51,'İşçi Bilgileri'!$A$2:$D$750,4,FALSE))</f>
        <v/>
      </c>
      <c r="C51" s="151" t="str">
        <f>CONCATENATE(IF($A51="","",VLOOKUP($A51,'İşçi Bilgileri'!$A$2:$D$750,2,FALSE))," ",IF($A51="","",VLOOKUP($A51,'İşçi Bilgileri'!$A$2:$D$750,3,FALSE)))</f>
        <v xml:space="preserve"> </v>
      </c>
      <c r="D51" s="350">
        <v>35527490</v>
      </c>
      <c r="E51" s="350" t="s">
        <v>177</v>
      </c>
      <c r="F51" s="154" t="str">
        <f>IF($A51="","",VLOOKUP($A51,'İşçi Bilgileri'!$A$2:$F$750,6,FALSE))</f>
        <v/>
      </c>
      <c r="G51" s="152" t="str">
        <f>IF($A51="","",VLOOKUP($A51,'MAAŞ BORDROSU'!$A$4:$V$573,17,FALSE))</f>
        <v/>
      </c>
    </row>
    <row r="52" spans="1:7" x14ac:dyDescent="0.2">
      <c r="A52" s="151" t="str">
        <f>'İşçi Bilgileri'!A51</f>
        <v/>
      </c>
      <c r="B52" s="151" t="str">
        <f>IF($A52="","",VLOOKUP($A52,'İşçi Bilgileri'!$A$2:$D$750,4,FALSE))</f>
        <v/>
      </c>
      <c r="C52" s="151" t="str">
        <f>CONCATENATE(IF($A52="","",VLOOKUP($A52,'İşçi Bilgileri'!$A$2:$D$750,2,FALSE))," ",IF($A52="","",VLOOKUP($A52,'İşçi Bilgileri'!$A$2:$D$750,3,FALSE)))</f>
        <v xml:space="preserve"> </v>
      </c>
      <c r="D52" s="350">
        <v>35527490</v>
      </c>
      <c r="E52" s="350" t="s">
        <v>177</v>
      </c>
      <c r="F52" s="154" t="str">
        <f>IF($A52="","",VLOOKUP($A52,'İşçi Bilgileri'!$A$2:$F$750,6,FALSE))</f>
        <v/>
      </c>
      <c r="G52" s="152" t="str">
        <f>IF($A52="","",VLOOKUP($A52,'MAAŞ BORDROSU'!$A$4:$V$573,17,FALSE))</f>
        <v/>
      </c>
    </row>
    <row r="53" spans="1:7" x14ac:dyDescent="0.2">
      <c r="A53" s="151" t="str">
        <f>'İşçi Bilgileri'!A52</f>
        <v/>
      </c>
      <c r="B53" s="151" t="str">
        <f>IF($A53="","",VLOOKUP($A53,'İşçi Bilgileri'!$A$2:$D$750,4,FALSE))</f>
        <v/>
      </c>
      <c r="C53" s="151" t="str">
        <f>CONCATENATE(IF($A53="","",VLOOKUP($A53,'İşçi Bilgileri'!$A$2:$D$750,2,FALSE))," ",IF($A53="","",VLOOKUP($A53,'İşçi Bilgileri'!$A$2:$D$750,3,FALSE)))</f>
        <v xml:space="preserve"> </v>
      </c>
      <c r="D53" s="350">
        <v>35527490</v>
      </c>
      <c r="E53" s="350" t="s">
        <v>177</v>
      </c>
      <c r="F53" s="154" t="str">
        <f>IF($A53="","",VLOOKUP($A53,'İşçi Bilgileri'!$A$2:$F$750,6,FALSE))</f>
        <v/>
      </c>
      <c r="G53" s="152" t="str">
        <f>IF($A53="","",VLOOKUP($A53,'MAAŞ BORDROSU'!$A$4:$V$573,17,FALSE))</f>
        <v/>
      </c>
    </row>
    <row r="54" spans="1:7" x14ac:dyDescent="0.2">
      <c r="A54" s="151" t="str">
        <f>'İşçi Bilgileri'!A53</f>
        <v/>
      </c>
      <c r="B54" s="151" t="str">
        <f>IF($A54="","",VLOOKUP($A54,'İşçi Bilgileri'!$A$2:$D$750,4,FALSE))</f>
        <v/>
      </c>
      <c r="C54" s="151" t="str">
        <f>CONCATENATE(IF($A54="","",VLOOKUP($A54,'İşçi Bilgileri'!$A$2:$D$750,2,FALSE))," ",IF($A54="","",VLOOKUP($A54,'İşçi Bilgileri'!$A$2:$D$750,3,FALSE)))</f>
        <v xml:space="preserve"> </v>
      </c>
      <c r="D54" s="350">
        <v>35527490</v>
      </c>
      <c r="E54" s="350" t="s">
        <v>177</v>
      </c>
      <c r="F54" s="154" t="str">
        <f>IF($A54="","",VLOOKUP($A54,'İşçi Bilgileri'!$A$2:$F$750,6,FALSE))</f>
        <v/>
      </c>
      <c r="G54" s="152" t="str">
        <f>IF($A54="","",VLOOKUP($A54,'MAAŞ BORDROSU'!$A$4:$V$573,17,FALSE))</f>
        <v/>
      </c>
    </row>
    <row r="55" spans="1:7" x14ac:dyDescent="0.2">
      <c r="A55" s="151" t="str">
        <f>'İşçi Bilgileri'!A54</f>
        <v/>
      </c>
      <c r="B55" s="151" t="str">
        <f>IF($A55="","",VLOOKUP($A55,'İşçi Bilgileri'!$A$2:$D$750,4,FALSE))</f>
        <v/>
      </c>
      <c r="C55" s="151" t="str">
        <f>CONCATENATE(IF($A55="","",VLOOKUP($A55,'İşçi Bilgileri'!$A$2:$D$750,2,FALSE))," ",IF($A55="","",VLOOKUP($A55,'İşçi Bilgileri'!$A$2:$D$750,3,FALSE)))</f>
        <v xml:space="preserve"> </v>
      </c>
      <c r="D55" s="350">
        <v>35527490</v>
      </c>
      <c r="E55" s="350" t="s">
        <v>177</v>
      </c>
      <c r="F55" s="154" t="str">
        <f>IF($A55="","",VLOOKUP($A55,'İşçi Bilgileri'!$A$2:$F$750,6,FALSE))</f>
        <v/>
      </c>
      <c r="G55" s="152" t="str">
        <f>IF($A55="","",VLOOKUP($A55,'MAAŞ BORDROSU'!$A$4:$V$573,17,FALSE))</f>
        <v/>
      </c>
    </row>
    <row r="56" spans="1:7" x14ac:dyDescent="0.2">
      <c r="A56" s="151" t="str">
        <f>'İşçi Bilgileri'!A55</f>
        <v/>
      </c>
      <c r="B56" s="151" t="str">
        <f>IF($A56="","",VLOOKUP($A56,'İşçi Bilgileri'!$A$2:$D$750,4,FALSE))</f>
        <v/>
      </c>
      <c r="C56" s="151" t="str">
        <f>CONCATENATE(IF($A56="","",VLOOKUP($A56,'İşçi Bilgileri'!$A$2:$D$750,2,FALSE))," ",IF($A56="","",VLOOKUP($A56,'İşçi Bilgileri'!$A$2:$D$750,3,FALSE)))</f>
        <v xml:space="preserve"> </v>
      </c>
      <c r="D56" s="350">
        <v>35527490</v>
      </c>
      <c r="E56" s="350" t="s">
        <v>177</v>
      </c>
      <c r="F56" s="154" t="str">
        <f>IF($A56="","",VLOOKUP($A56,'İşçi Bilgileri'!$A$2:$F$750,6,FALSE))</f>
        <v/>
      </c>
      <c r="G56" s="152" t="str">
        <f>IF($A56="","",VLOOKUP($A56,'MAAŞ BORDROSU'!$A$4:$V$573,17,FALSE))</f>
        <v/>
      </c>
    </row>
    <row r="57" spans="1:7" x14ac:dyDescent="0.2">
      <c r="A57" s="151" t="str">
        <f>'İşçi Bilgileri'!A56</f>
        <v/>
      </c>
      <c r="B57" s="151" t="str">
        <f>IF($A57="","",VLOOKUP($A57,'İşçi Bilgileri'!$A$2:$D$750,4,FALSE))</f>
        <v/>
      </c>
      <c r="C57" s="151" t="str">
        <f>CONCATENATE(IF($A57="","",VLOOKUP($A57,'İşçi Bilgileri'!$A$2:$D$750,2,FALSE))," ",IF($A57="","",VLOOKUP($A57,'İşçi Bilgileri'!$A$2:$D$750,3,FALSE)))</f>
        <v xml:space="preserve"> </v>
      </c>
      <c r="D57" s="350">
        <v>35527490</v>
      </c>
      <c r="E57" s="350" t="s">
        <v>177</v>
      </c>
      <c r="F57" s="154" t="str">
        <f>IF($A57="","",VLOOKUP($A57,'İşçi Bilgileri'!$A$2:$F$750,6,FALSE))</f>
        <v/>
      </c>
      <c r="G57" s="152" t="str">
        <f>IF($A57="","",VLOOKUP($A57,'MAAŞ BORDROSU'!$A$4:$V$573,17,FALSE))</f>
        <v/>
      </c>
    </row>
    <row r="58" spans="1:7" x14ac:dyDescent="0.2">
      <c r="A58" s="151" t="str">
        <f>'İşçi Bilgileri'!A57</f>
        <v/>
      </c>
      <c r="B58" s="151" t="str">
        <f>IF($A58="","",VLOOKUP($A58,'İşçi Bilgileri'!$A$2:$D$750,4,FALSE))</f>
        <v/>
      </c>
      <c r="C58" s="151" t="str">
        <f>CONCATENATE(IF($A58="","",VLOOKUP($A58,'İşçi Bilgileri'!$A$2:$D$750,2,FALSE))," ",IF($A58="","",VLOOKUP($A58,'İşçi Bilgileri'!$A$2:$D$750,3,FALSE)))</f>
        <v xml:space="preserve"> </v>
      </c>
      <c r="D58" s="350">
        <v>35527490</v>
      </c>
      <c r="E58" s="350" t="s">
        <v>177</v>
      </c>
      <c r="F58" s="154" t="str">
        <f>IF($A58="","",VLOOKUP($A58,'İşçi Bilgileri'!$A$2:$F$750,6,FALSE))</f>
        <v/>
      </c>
      <c r="G58" s="152" t="str">
        <f>IF($A58="","",VLOOKUP($A58,'MAAŞ BORDROSU'!$A$4:$V$573,17,FALSE))</f>
        <v/>
      </c>
    </row>
    <row r="59" spans="1:7" x14ac:dyDescent="0.2">
      <c r="A59" s="151" t="str">
        <f>'İşçi Bilgileri'!A58</f>
        <v/>
      </c>
      <c r="B59" s="151" t="str">
        <f>IF($A59="","",VLOOKUP($A59,'İşçi Bilgileri'!$A$2:$D$750,4,FALSE))</f>
        <v/>
      </c>
      <c r="C59" s="151" t="str">
        <f>CONCATENATE(IF($A59="","",VLOOKUP($A59,'İşçi Bilgileri'!$A$2:$D$750,2,FALSE))," ",IF($A59="","",VLOOKUP($A59,'İşçi Bilgileri'!$A$2:$D$750,3,FALSE)))</f>
        <v xml:space="preserve"> </v>
      </c>
      <c r="D59" s="350">
        <v>35527490</v>
      </c>
      <c r="E59" s="350" t="s">
        <v>177</v>
      </c>
      <c r="F59" s="154" t="str">
        <f>IF($A59="","",VLOOKUP($A59,'İşçi Bilgileri'!$A$2:$F$750,6,FALSE))</f>
        <v/>
      </c>
      <c r="G59" s="152" t="str">
        <f>IF($A59="","",VLOOKUP($A59,'MAAŞ BORDROSU'!$A$4:$V$573,17,FALSE))</f>
        <v/>
      </c>
    </row>
    <row r="60" spans="1:7" x14ac:dyDescent="0.2">
      <c r="A60" s="151" t="str">
        <f>'İşçi Bilgileri'!A59</f>
        <v/>
      </c>
      <c r="B60" s="151" t="str">
        <f>IF($A60="","",VLOOKUP($A60,'İşçi Bilgileri'!$A$2:$D$750,4,FALSE))</f>
        <v/>
      </c>
      <c r="C60" s="151" t="str">
        <f>CONCATENATE(IF($A60="","",VLOOKUP($A60,'İşçi Bilgileri'!$A$2:$D$750,2,FALSE))," ",IF($A60="","",VLOOKUP($A60,'İşçi Bilgileri'!$A$2:$D$750,3,FALSE)))</f>
        <v xml:space="preserve"> </v>
      </c>
      <c r="D60" s="350">
        <v>35527490</v>
      </c>
      <c r="E60" s="350" t="s">
        <v>177</v>
      </c>
      <c r="F60" s="154" t="str">
        <f>IF($A60="","",VLOOKUP($A60,'İşçi Bilgileri'!$A$2:$F$750,6,FALSE))</f>
        <v/>
      </c>
      <c r="G60" s="152" t="str">
        <f>IF($A60="","",VLOOKUP($A60,'MAAŞ BORDROSU'!$A$4:$V$573,17,FALSE))</f>
        <v/>
      </c>
    </row>
    <row r="61" spans="1:7" x14ac:dyDescent="0.2">
      <c r="A61" s="151" t="str">
        <f>'İşçi Bilgileri'!A60</f>
        <v/>
      </c>
      <c r="B61" s="151" t="str">
        <f>IF($A61="","",VLOOKUP($A61,'İşçi Bilgileri'!$A$2:$D$750,4,FALSE))</f>
        <v/>
      </c>
      <c r="C61" s="151" t="str">
        <f>CONCATENATE(IF($A61="","",VLOOKUP($A61,'İşçi Bilgileri'!$A$2:$D$750,2,FALSE))," ",IF($A61="","",VLOOKUP($A61,'İşçi Bilgileri'!$A$2:$D$750,3,FALSE)))</f>
        <v xml:space="preserve"> </v>
      </c>
      <c r="D61" s="350">
        <v>35527490</v>
      </c>
      <c r="E61" s="350" t="s">
        <v>177</v>
      </c>
      <c r="F61" s="154" t="str">
        <f>IF($A61="","",VLOOKUP($A61,'İşçi Bilgileri'!$A$2:$F$750,6,FALSE))</f>
        <v/>
      </c>
      <c r="G61" s="152" t="str">
        <f>IF($A61="","",VLOOKUP($A61,'MAAŞ BORDROSU'!$A$4:$V$573,17,FALSE))</f>
        <v/>
      </c>
    </row>
    <row r="62" spans="1:7" x14ac:dyDescent="0.2">
      <c r="A62" s="151" t="str">
        <f>'İşçi Bilgileri'!A61</f>
        <v/>
      </c>
      <c r="B62" s="151" t="str">
        <f>IF($A62="","",VLOOKUP($A62,'İşçi Bilgileri'!$A$2:$D$750,4,FALSE))</f>
        <v/>
      </c>
      <c r="C62" s="151" t="str">
        <f>CONCATENATE(IF($A62="","",VLOOKUP($A62,'İşçi Bilgileri'!$A$2:$D$750,2,FALSE))," ",IF($A62="","",VLOOKUP($A62,'İşçi Bilgileri'!$A$2:$D$750,3,FALSE)))</f>
        <v xml:space="preserve"> </v>
      </c>
      <c r="D62" s="350">
        <v>35527490</v>
      </c>
      <c r="E62" s="350" t="s">
        <v>177</v>
      </c>
      <c r="F62" s="154" t="str">
        <f>IF($A62="","",VLOOKUP($A62,'İşçi Bilgileri'!$A$2:$F$750,6,FALSE))</f>
        <v/>
      </c>
      <c r="G62" s="152" t="str">
        <f>IF($A62="","",VLOOKUP($A62,'MAAŞ BORDROSU'!$A$4:$V$573,17,FALSE))</f>
        <v/>
      </c>
    </row>
    <row r="63" spans="1:7" x14ac:dyDescent="0.2">
      <c r="A63" s="151" t="str">
        <f>'İşçi Bilgileri'!A62</f>
        <v/>
      </c>
      <c r="B63" s="151" t="str">
        <f>IF($A63="","",VLOOKUP($A63,'İşçi Bilgileri'!$A$2:$D$750,4,FALSE))</f>
        <v/>
      </c>
      <c r="C63" s="151" t="str">
        <f>CONCATENATE(IF($A63="","",VLOOKUP($A63,'İşçi Bilgileri'!$A$2:$D$750,2,FALSE))," ",IF($A63="","",VLOOKUP($A63,'İşçi Bilgileri'!$A$2:$D$750,3,FALSE)))</f>
        <v xml:space="preserve"> </v>
      </c>
      <c r="D63" s="350">
        <v>35527490</v>
      </c>
      <c r="E63" s="350" t="s">
        <v>177</v>
      </c>
      <c r="F63" s="154" t="str">
        <f>IF($A63="","",VLOOKUP($A63,'İşçi Bilgileri'!$A$2:$F$750,6,FALSE))</f>
        <v/>
      </c>
      <c r="G63" s="152" t="str">
        <f>IF($A63="","",VLOOKUP($A63,'MAAŞ BORDROSU'!$A$4:$V$573,17,FALSE))</f>
        <v/>
      </c>
    </row>
    <row r="64" spans="1:7" x14ac:dyDescent="0.2">
      <c r="A64" s="151" t="str">
        <f>'İşçi Bilgileri'!A63</f>
        <v/>
      </c>
      <c r="B64" s="151" t="str">
        <f>IF($A64="","",VLOOKUP($A64,'İşçi Bilgileri'!$A$2:$D$750,4,FALSE))</f>
        <v/>
      </c>
      <c r="C64" s="151" t="str">
        <f>CONCATENATE(IF($A64="","",VLOOKUP($A64,'İşçi Bilgileri'!$A$2:$D$750,2,FALSE))," ",IF($A64="","",VLOOKUP($A64,'İşçi Bilgileri'!$A$2:$D$750,3,FALSE)))</f>
        <v xml:space="preserve"> </v>
      </c>
      <c r="D64" s="350">
        <v>35527490</v>
      </c>
      <c r="E64" s="350" t="s">
        <v>177</v>
      </c>
      <c r="F64" s="154" t="str">
        <f>IF($A64="","",VLOOKUP($A64,'İşçi Bilgileri'!$A$2:$F$750,6,FALSE))</f>
        <v/>
      </c>
      <c r="G64" s="152" t="str">
        <f>IF($A64="","",VLOOKUP($A64,'MAAŞ BORDROSU'!$A$4:$V$573,17,FALSE))</f>
        <v/>
      </c>
    </row>
    <row r="65" spans="1:7" x14ac:dyDescent="0.2">
      <c r="A65" s="151" t="str">
        <f>'İşçi Bilgileri'!A64</f>
        <v/>
      </c>
      <c r="B65" s="151" t="str">
        <f>IF($A65="","",VLOOKUP($A65,'İşçi Bilgileri'!$A$2:$D$750,4,FALSE))</f>
        <v/>
      </c>
      <c r="C65" s="151" t="str">
        <f>CONCATENATE(IF($A65="","",VLOOKUP($A65,'İşçi Bilgileri'!$A$2:$D$750,2,FALSE))," ",IF($A65="","",VLOOKUP($A65,'İşçi Bilgileri'!$A$2:$D$750,3,FALSE)))</f>
        <v xml:space="preserve"> </v>
      </c>
      <c r="D65" s="350">
        <v>35527490</v>
      </c>
      <c r="E65" s="350" t="s">
        <v>177</v>
      </c>
      <c r="F65" s="154" t="str">
        <f>IF($A65="","",VLOOKUP($A65,'İşçi Bilgileri'!$A$2:$F$750,6,FALSE))</f>
        <v/>
      </c>
      <c r="G65" s="152" t="str">
        <f>IF($A65="","",VLOOKUP($A65,'MAAŞ BORDROSU'!$A$4:$V$573,17,FALSE))</f>
        <v/>
      </c>
    </row>
    <row r="66" spans="1:7" x14ac:dyDescent="0.2">
      <c r="A66" s="151" t="str">
        <f>'İşçi Bilgileri'!A65</f>
        <v/>
      </c>
      <c r="B66" s="151" t="str">
        <f>IF($A66="","",VLOOKUP($A66,'İşçi Bilgileri'!$A$2:$D$750,4,FALSE))</f>
        <v/>
      </c>
      <c r="C66" s="151" t="str">
        <f>CONCATENATE(IF($A66="","",VLOOKUP($A66,'İşçi Bilgileri'!$A$2:$D$750,2,FALSE))," ",IF($A66="","",VLOOKUP($A66,'İşçi Bilgileri'!$A$2:$D$750,3,FALSE)))</f>
        <v xml:space="preserve"> </v>
      </c>
      <c r="D66" s="350">
        <v>35527490</v>
      </c>
      <c r="E66" s="350" t="s">
        <v>177</v>
      </c>
      <c r="F66" s="154" t="str">
        <f>IF($A66="","",VLOOKUP($A66,'İşçi Bilgileri'!$A$2:$F$750,6,FALSE))</f>
        <v/>
      </c>
      <c r="G66" s="152" t="str">
        <f>IF($A66="","",VLOOKUP($A66,'MAAŞ BORDROSU'!$A$4:$V$573,17,FALSE))</f>
        <v/>
      </c>
    </row>
    <row r="67" spans="1:7" x14ac:dyDescent="0.2">
      <c r="A67" s="151" t="str">
        <f>'İşçi Bilgileri'!A66</f>
        <v/>
      </c>
      <c r="B67" s="151" t="str">
        <f>IF($A67="","",VLOOKUP($A67,'İşçi Bilgileri'!$A$2:$D$750,4,FALSE))</f>
        <v/>
      </c>
      <c r="C67" s="151" t="str">
        <f>CONCATENATE(IF($A67="","",VLOOKUP($A67,'İşçi Bilgileri'!$A$2:$D$750,2,FALSE))," ",IF($A67="","",VLOOKUP($A67,'İşçi Bilgileri'!$A$2:$D$750,3,FALSE)))</f>
        <v xml:space="preserve"> </v>
      </c>
      <c r="D67" s="350">
        <v>35527490</v>
      </c>
      <c r="E67" s="350" t="s">
        <v>177</v>
      </c>
      <c r="F67" s="154" t="str">
        <f>IF($A67="","",VLOOKUP($A67,'İşçi Bilgileri'!$A$2:$F$750,6,FALSE))</f>
        <v/>
      </c>
      <c r="G67" s="152" t="str">
        <f>IF($A67="","",VLOOKUP($A67,'MAAŞ BORDROSU'!$A$4:$V$573,17,FALSE))</f>
        <v/>
      </c>
    </row>
    <row r="68" spans="1:7" x14ac:dyDescent="0.2">
      <c r="A68" s="151" t="str">
        <f>'İşçi Bilgileri'!A67</f>
        <v/>
      </c>
      <c r="B68" s="151" t="str">
        <f>IF($A68="","",VLOOKUP($A68,'İşçi Bilgileri'!$A$2:$D$750,4,FALSE))</f>
        <v/>
      </c>
      <c r="C68" s="151" t="str">
        <f>CONCATENATE(IF($A68="","",VLOOKUP($A68,'İşçi Bilgileri'!$A$2:$D$750,2,FALSE))," ",IF($A68="","",VLOOKUP($A68,'İşçi Bilgileri'!$A$2:$D$750,3,FALSE)))</f>
        <v xml:space="preserve"> </v>
      </c>
      <c r="D68" s="350">
        <v>35527490</v>
      </c>
      <c r="E68" s="350" t="s">
        <v>177</v>
      </c>
      <c r="F68" s="154" t="str">
        <f>IF($A68="","",VLOOKUP($A68,'İşçi Bilgileri'!$A$2:$F$750,6,FALSE))</f>
        <v/>
      </c>
      <c r="G68" s="152" t="str">
        <f>IF($A68="","",VLOOKUP($A68,'MAAŞ BORDROSU'!$A$4:$V$573,17,FALSE))</f>
        <v/>
      </c>
    </row>
    <row r="69" spans="1:7" x14ac:dyDescent="0.2">
      <c r="A69" s="151" t="str">
        <f>'İşçi Bilgileri'!A68</f>
        <v/>
      </c>
      <c r="B69" s="151" t="str">
        <f>IF($A69="","",VLOOKUP($A69,'İşçi Bilgileri'!$A$2:$D$750,4,FALSE))</f>
        <v/>
      </c>
      <c r="C69" s="151" t="str">
        <f>CONCATENATE(IF($A69="","",VLOOKUP($A69,'İşçi Bilgileri'!$A$2:$D$750,2,FALSE))," ",IF($A69="","",VLOOKUP($A69,'İşçi Bilgileri'!$A$2:$D$750,3,FALSE)))</f>
        <v xml:space="preserve"> </v>
      </c>
      <c r="D69" s="350">
        <v>35527490</v>
      </c>
      <c r="E69" s="350" t="s">
        <v>177</v>
      </c>
      <c r="F69" s="154" t="str">
        <f>IF($A69="","",VLOOKUP($A69,'İşçi Bilgileri'!$A$2:$F$750,6,FALSE))</f>
        <v/>
      </c>
      <c r="G69" s="152" t="str">
        <f>IF($A69="","",VLOOKUP($A69,'MAAŞ BORDROSU'!$A$4:$V$573,17,FALSE))</f>
        <v/>
      </c>
    </row>
    <row r="70" spans="1:7" x14ac:dyDescent="0.2">
      <c r="A70" s="151" t="str">
        <f>'İşçi Bilgileri'!A69</f>
        <v/>
      </c>
      <c r="B70" s="151" t="str">
        <f>IF($A70="","",VLOOKUP($A70,'İşçi Bilgileri'!$A$2:$D$750,4,FALSE))</f>
        <v/>
      </c>
      <c r="C70" s="151" t="str">
        <f>CONCATENATE(IF($A70="","",VLOOKUP($A70,'İşçi Bilgileri'!$A$2:$D$750,2,FALSE))," ",IF($A70="","",VLOOKUP($A70,'İşçi Bilgileri'!$A$2:$D$750,3,FALSE)))</f>
        <v xml:space="preserve"> </v>
      </c>
      <c r="D70" s="350">
        <v>35527490</v>
      </c>
      <c r="E70" s="350" t="s">
        <v>177</v>
      </c>
      <c r="F70" s="154" t="str">
        <f>IF($A70="","",VLOOKUP($A70,'İşçi Bilgileri'!$A$2:$F$750,6,FALSE))</f>
        <v/>
      </c>
      <c r="G70" s="152" t="str">
        <f>IF($A70="","",VLOOKUP($A70,'MAAŞ BORDROSU'!$A$4:$V$573,17,FALSE))</f>
        <v/>
      </c>
    </row>
    <row r="71" spans="1:7" x14ac:dyDescent="0.2">
      <c r="A71" s="151" t="str">
        <f>'İşçi Bilgileri'!A70</f>
        <v/>
      </c>
      <c r="B71" s="151" t="str">
        <f>IF($A71="","",VLOOKUP($A71,'İşçi Bilgileri'!$A$2:$D$750,4,FALSE))</f>
        <v/>
      </c>
      <c r="C71" s="151" t="str">
        <f>CONCATENATE(IF($A71="","",VLOOKUP($A71,'İşçi Bilgileri'!$A$2:$D$750,2,FALSE))," ",IF($A71="","",VLOOKUP($A71,'İşçi Bilgileri'!$A$2:$D$750,3,FALSE)))</f>
        <v xml:space="preserve"> </v>
      </c>
      <c r="D71" s="350">
        <v>35527490</v>
      </c>
      <c r="E71" s="350" t="s">
        <v>177</v>
      </c>
      <c r="F71" s="154" t="str">
        <f>IF($A71="","",VLOOKUP($A71,'İşçi Bilgileri'!$A$2:$F$750,6,FALSE))</f>
        <v/>
      </c>
      <c r="G71" s="152" t="str">
        <f>IF($A71="","",VLOOKUP($A71,'MAAŞ BORDROSU'!$A$4:$V$573,17,FALSE))</f>
        <v/>
      </c>
    </row>
    <row r="72" spans="1:7" x14ac:dyDescent="0.2">
      <c r="A72" s="151" t="str">
        <f>'İşçi Bilgileri'!A71</f>
        <v/>
      </c>
      <c r="B72" s="151" t="str">
        <f>IF($A72="","",VLOOKUP($A72,'İşçi Bilgileri'!$A$2:$D$750,4,FALSE))</f>
        <v/>
      </c>
      <c r="C72" s="151" t="str">
        <f>CONCATENATE(IF($A72="","",VLOOKUP($A72,'İşçi Bilgileri'!$A$2:$D$750,2,FALSE))," ",IF($A72="","",VLOOKUP($A72,'İşçi Bilgileri'!$A$2:$D$750,3,FALSE)))</f>
        <v xml:space="preserve"> </v>
      </c>
      <c r="D72" s="350">
        <v>35527490</v>
      </c>
      <c r="E72" s="350" t="s">
        <v>177</v>
      </c>
      <c r="F72" s="154" t="str">
        <f>IF($A72="","",VLOOKUP($A72,'İşçi Bilgileri'!$A$2:$F$750,6,FALSE))</f>
        <v/>
      </c>
      <c r="G72" s="152" t="str">
        <f>IF($A72="","",VLOOKUP($A72,'MAAŞ BORDROSU'!$A$4:$V$573,17,FALSE))</f>
        <v/>
      </c>
    </row>
    <row r="73" spans="1:7" x14ac:dyDescent="0.2">
      <c r="A73" s="151" t="str">
        <f>'İşçi Bilgileri'!A72</f>
        <v/>
      </c>
      <c r="B73" s="151" t="str">
        <f>IF($A73="","",VLOOKUP($A73,'İşçi Bilgileri'!$A$2:$D$750,4,FALSE))</f>
        <v/>
      </c>
      <c r="C73" s="151" t="str">
        <f>CONCATENATE(IF($A73="","",VLOOKUP($A73,'İşçi Bilgileri'!$A$2:$D$750,2,FALSE))," ",IF($A73="","",VLOOKUP($A73,'İşçi Bilgileri'!$A$2:$D$750,3,FALSE)))</f>
        <v xml:space="preserve"> </v>
      </c>
      <c r="D73" s="350">
        <v>35527490</v>
      </c>
      <c r="E73" s="350" t="s">
        <v>177</v>
      </c>
      <c r="F73" s="154" t="str">
        <f>IF($A73="","",VLOOKUP($A73,'İşçi Bilgileri'!$A$2:$F$750,6,FALSE))</f>
        <v/>
      </c>
      <c r="G73" s="152" t="str">
        <f>IF($A73="","",VLOOKUP($A73,'MAAŞ BORDROSU'!$A$4:$V$573,17,FALSE))</f>
        <v/>
      </c>
    </row>
    <row r="74" spans="1:7" x14ac:dyDescent="0.2">
      <c r="A74" s="151" t="str">
        <f>'İşçi Bilgileri'!A73</f>
        <v/>
      </c>
      <c r="B74" s="151" t="str">
        <f>IF($A74="","",VLOOKUP($A74,'İşçi Bilgileri'!$A$2:$D$750,4,FALSE))</f>
        <v/>
      </c>
      <c r="C74" s="151" t="str">
        <f>CONCATENATE(IF($A74="","",VLOOKUP($A74,'İşçi Bilgileri'!$A$2:$D$750,2,FALSE))," ",IF($A74="","",VLOOKUP($A74,'İşçi Bilgileri'!$A$2:$D$750,3,FALSE)))</f>
        <v xml:space="preserve"> </v>
      </c>
      <c r="D74" s="350">
        <v>35527490</v>
      </c>
      <c r="E74" s="350" t="s">
        <v>177</v>
      </c>
      <c r="F74" s="154" t="str">
        <f>IF($A74="","",VLOOKUP($A74,'İşçi Bilgileri'!$A$2:$F$750,6,FALSE))</f>
        <v/>
      </c>
      <c r="G74" s="152" t="str">
        <f>IF($A74="","",VLOOKUP($A74,'MAAŞ BORDROSU'!$A$4:$V$573,17,FALSE))</f>
        <v/>
      </c>
    </row>
    <row r="75" spans="1:7" x14ac:dyDescent="0.2">
      <c r="A75" s="151" t="str">
        <f>'İşçi Bilgileri'!A74</f>
        <v/>
      </c>
      <c r="B75" s="151" t="str">
        <f>IF($A75="","",VLOOKUP($A75,'İşçi Bilgileri'!$A$2:$D$750,4,FALSE))</f>
        <v/>
      </c>
      <c r="C75" s="151" t="str">
        <f>CONCATENATE(IF($A75="","",VLOOKUP($A75,'İşçi Bilgileri'!$A$2:$D$750,2,FALSE))," ",IF($A75="","",VLOOKUP($A75,'İşçi Bilgileri'!$A$2:$D$750,3,FALSE)))</f>
        <v xml:space="preserve"> </v>
      </c>
      <c r="D75" s="350">
        <v>35527490</v>
      </c>
      <c r="E75" s="350" t="s">
        <v>177</v>
      </c>
      <c r="F75" s="154" t="str">
        <f>IF($A75="","",VLOOKUP($A75,'İşçi Bilgileri'!$A$2:$F$750,6,FALSE))</f>
        <v/>
      </c>
      <c r="G75" s="152" t="str">
        <f>IF($A75="","",VLOOKUP($A75,'MAAŞ BORDROSU'!$A$4:$V$573,17,FALSE))</f>
        <v/>
      </c>
    </row>
    <row r="76" spans="1:7" x14ac:dyDescent="0.2">
      <c r="A76" s="151" t="str">
        <f>'İşçi Bilgileri'!A75</f>
        <v/>
      </c>
      <c r="B76" s="151" t="str">
        <f>IF($A76="","",VLOOKUP($A76,'İşçi Bilgileri'!$A$2:$D$750,4,FALSE))</f>
        <v/>
      </c>
      <c r="C76" s="151" t="str">
        <f>CONCATENATE(IF($A76="","",VLOOKUP($A76,'İşçi Bilgileri'!$A$2:$D$750,2,FALSE))," ",IF($A76="","",VLOOKUP($A76,'İşçi Bilgileri'!$A$2:$D$750,3,FALSE)))</f>
        <v xml:space="preserve"> </v>
      </c>
      <c r="D76" s="350">
        <v>35527490</v>
      </c>
      <c r="E76" s="350" t="s">
        <v>177</v>
      </c>
      <c r="F76" s="154" t="str">
        <f>IF($A76="","",VLOOKUP($A76,'İşçi Bilgileri'!$A$2:$F$750,6,FALSE))</f>
        <v/>
      </c>
      <c r="G76" s="152" t="str">
        <f>IF($A76="","",VLOOKUP($A76,'MAAŞ BORDROSU'!$A$4:$V$573,17,FALSE))</f>
        <v/>
      </c>
    </row>
    <row r="77" spans="1:7" x14ac:dyDescent="0.2">
      <c r="A77" s="151" t="str">
        <f>'İşçi Bilgileri'!A76</f>
        <v/>
      </c>
      <c r="B77" s="151" t="str">
        <f>IF($A77="","",VLOOKUP($A77,'İşçi Bilgileri'!$A$2:$D$750,4,FALSE))</f>
        <v/>
      </c>
      <c r="C77" s="151" t="str">
        <f>CONCATENATE(IF($A77="","",VLOOKUP($A77,'İşçi Bilgileri'!$A$2:$D$750,2,FALSE))," ",IF($A77="","",VLOOKUP($A77,'İşçi Bilgileri'!$A$2:$D$750,3,FALSE)))</f>
        <v xml:space="preserve"> </v>
      </c>
      <c r="D77" s="350">
        <v>35527490</v>
      </c>
      <c r="E77" s="350" t="s">
        <v>177</v>
      </c>
      <c r="F77" s="154" t="str">
        <f>IF($A77="","",VLOOKUP($A77,'İşçi Bilgileri'!$A$2:$F$750,6,FALSE))</f>
        <v/>
      </c>
      <c r="G77" s="152" t="str">
        <f>IF($A77="","",VLOOKUP($A77,'MAAŞ BORDROSU'!$A$4:$V$573,17,FALSE))</f>
        <v/>
      </c>
    </row>
    <row r="78" spans="1:7" x14ac:dyDescent="0.2">
      <c r="A78" s="151" t="str">
        <f>'İşçi Bilgileri'!A77</f>
        <v/>
      </c>
      <c r="B78" s="151" t="str">
        <f>IF($A78="","",VLOOKUP($A78,'İşçi Bilgileri'!$A$2:$D$750,4,FALSE))</f>
        <v/>
      </c>
      <c r="C78" s="151" t="str">
        <f>CONCATENATE(IF($A78="","",VLOOKUP($A78,'İşçi Bilgileri'!$A$2:$D$750,2,FALSE))," ",IF($A78="","",VLOOKUP($A78,'İşçi Bilgileri'!$A$2:$D$750,3,FALSE)))</f>
        <v xml:space="preserve"> </v>
      </c>
      <c r="D78" s="350">
        <v>35527490</v>
      </c>
      <c r="E78" s="350" t="s">
        <v>177</v>
      </c>
      <c r="F78" s="154" t="str">
        <f>IF($A78="","",VLOOKUP($A78,'İşçi Bilgileri'!$A$2:$F$750,6,FALSE))</f>
        <v/>
      </c>
      <c r="G78" s="152" t="str">
        <f>IF($A78="","",VLOOKUP($A78,'MAAŞ BORDROSU'!$A$4:$V$573,17,FALSE))</f>
        <v/>
      </c>
    </row>
    <row r="79" spans="1:7" x14ac:dyDescent="0.2">
      <c r="A79" s="151" t="str">
        <f>'İşçi Bilgileri'!A78</f>
        <v/>
      </c>
      <c r="B79" s="151" t="str">
        <f>IF($A79="","",VLOOKUP($A79,'İşçi Bilgileri'!$A$2:$D$750,4,FALSE))</f>
        <v/>
      </c>
      <c r="C79" s="151" t="str">
        <f>CONCATENATE(IF($A79="","",VLOOKUP($A79,'İşçi Bilgileri'!$A$2:$D$750,2,FALSE))," ",IF($A79="","",VLOOKUP($A79,'İşçi Bilgileri'!$A$2:$D$750,3,FALSE)))</f>
        <v xml:space="preserve"> </v>
      </c>
      <c r="D79" s="350">
        <v>35527490</v>
      </c>
      <c r="E79" s="350" t="s">
        <v>177</v>
      </c>
      <c r="F79" s="154" t="str">
        <f>IF($A79="","",VLOOKUP($A79,'İşçi Bilgileri'!$A$2:$F$750,6,FALSE))</f>
        <v/>
      </c>
      <c r="G79" s="152" t="str">
        <f>IF($A79="","",VLOOKUP($A79,'MAAŞ BORDROSU'!$A$4:$V$573,17,FALSE))</f>
        <v/>
      </c>
    </row>
    <row r="80" spans="1:7" x14ac:dyDescent="0.2">
      <c r="A80" s="151" t="str">
        <f>'İşçi Bilgileri'!A79</f>
        <v/>
      </c>
      <c r="B80" s="151" t="str">
        <f>IF($A80="","",VLOOKUP($A80,'İşçi Bilgileri'!$A$2:$D$750,4,FALSE))</f>
        <v/>
      </c>
      <c r="C80" s="151" t="str">
        <f>CONCATENATE(IF($A80="","",VLOOKUP($A80,'İşçi Bilgileri'!$A$2:$D$750,2,FALSE))," ",IF($A80="","",VLOOKUP($A80,'İşçi Bilgileri'!$A$2:$D$750,3,FALSE)))</f>
        <v xml:space="preserve"> </v>
      </c>
      <c r="D80" s="350">
        <v>35527490</v>
      </c>
      <c r="E80" s="350" t="s">
        <v>177</v>
      </c>
      <c r="F80" s="154" t="str">
        <f>IF($A80="","",VLOOKUP($A80,'İşçi Bilgileri'!$A$2:$F$750,6,FALSE))</f>
        <v/>
      </c>
      <c r="G80" s="152" t="str">
        <f>IF($A80="","",VLOOKUP($A80,'MAAŞ BORDROSU'!$A$4:$V$573,17,FALSE))</f>
        <v/>
      </c>
    </row>
    <row r="81" spans="1:7" x14ac:dyDescent="0.2">
      <c r="A81" s="151" t="str">
        <f>'İşçi Bilgileri'!A80</f>
        <v/>
      </c>
      <c r="B81" s="151" t="str">
        <f>IF($A81="","",VLOOKUP($A81,'İşçi Bilgileri'!$A$2:$D$750,4,FALSE))</f>
        <v/>
      </c>
      <c r="C81" s="151" t="str">
        <f>CONCATENATE(IF($A81="","",VLOOKUP($A81,'İşçi Bilgileri'!$A$2:$D$750,2,FALSE))," ",IF($A81="","",VLOOKUP($A81,'İşçi Bilgileri'!$A$2:$D$750,3,FALSE)))</f>
        <v xml:space="preserve"> </v>
      </c>
      <c r="D81" s="350">
        <v>35527490</v>
      </c>
      <c r="E81" s="350" t="s">
        <v>177</v>
      </c>
      <c r="F81" s="154" t="str">
        <f>IF($A81="","",VLOOKUP($A81,'İşçi Bilgileri'!$A$2:$F$750,6,FALSE))</f>
        <v/>
      </c>
      <c r="G81" s="152" t="str">
        <f>IF($A81="","",VLOOKUP($A81,'MAAŞ BORDROSU'!$A$4:$V$573,17,FALSE))</f>
        <v/>
      </c>
    </row>
    <row r="82" spans="1:7" x14ac:dyDescent="0.2">
      <c r="A82" s="151" t="str">
        <f>'İşçi Bilgileri'!A81</f>
        <v/>
      </c>
      <c r="B82" s="151" t="str">
        <f>IF($A82="","",VLOOKUP($A82,'İşçi Bilgileri'!$A$2:$D$750,4,FALSE))</f>
        <v/>
      </c>
      <c r="C82" s="151" t="str">
        <f>CONCATENATE(IF($A82="","",VLOOKUP($A82,'İşçi Bilgileri'!$A$2:$D$750,2,FALSE))," ",IF($A82="","",VLOOKUP($A82,'İşçi Bilgileri'!$A$2:$D$750,3,FALSE)))</f>
        <v xml:space="preserve"> </v>
      </c>
      <c r="D82" s="350">
        <v>35527490</v>
      </c>
      <c r="E82" s="350" t="s">
        <v>177</v>
      </c>
      <c r="F82" s="154" t="str">
        <f>IF($A82="","",VLOOKUP($A82,'İşçi Bilgileri'!$A$2:$F$750,6,FALSE))</f>
        <v/>
      </c>
      <c r="G82" s="152" t="str">
        <f>IF($A82="","",VLOOKUP($A82,'MAAŞ BORDROSU'!$A$4:$V$573,17,FALSE))</f>
        <v/>
      </c>
    </row>
    <row r="83" spans="1:7" x14ac:dyDescent="0.2">
      <c r="A83" s="151" t="str">
        <f>'İşçi Bilgileri'!A82</f>
        <v/>
      </c>
      <c r="B83" s="151" t="str">
        <f>IF($A83="","",VLOOKUP($A83,'İşçi Bilgileri'!$A$2:$D$750,4,FALSE))</f>
        <v/>
      </c>
      <c r="C83" s="151" t="str">
        <f>CONCATENATE(IF($A83="","",VLOOKUP($A83,'İşçi Bilgileri'!$A$2:$D$750,2,FALSE))," ",IF($A83="","",VLOOKUP($A83,'İşçi Bilgileri'!$A$2:$D$750,3,FALSE)))</f>
        <v xml:space="preserve"> </v>
      </c>
      <c r="D83" s="350">
        <v>35527490</v>
      </c>
      <c r="E83" s="350" t="s">
        <v>177</v>
      </c>
      <c r="F83" s="154" t="str">
        <f>IF($A83="","",VLOOKUP($A83,'İşçi Bilgileri'!$A$2:$F$750,6,FALSE))</f>
        <v/>
      </c>
      <c r="G83" s="152" t="str">
        <f>IF($A83="","",VLOOKUP($A83,'MAAŞ BORDROSU'!$A$4:$V$573,17,FALSE))</f>
        <v/>
      </c>
    </row>
    <row r="84" spans="1:7" x14ac:dyDescent="0.2">
      <c r="A84" s="151" t="str">
        <f>'İşçi Bilgileri'!A83</f>
        <v/>
      </c>
      <c r="B84" s="151" t="str">
        <f>IF($A84="","",VLOOKUP($A84,'İşçi Bilgileri'!$A$2:$D$750,4,FALSE))</f>
        <v/>
      </c>
      <c r="C84" s="151" t="str">
        <f>CONCATENATE(IF($A84="","",VLOOKUP($A84,'İşçi Bilgileri'!$A$2:$D$750,2,FALSE))," ",IF($A84="","",VLOOKUP($A84,'İşçi Bilgileri'!$A$2:$D$750,3,FALSE)))</f>
        <v xml:space="preserve"> </v>
      </c>
      <c r="D84" s="350">
        <v>35527490</v>
      </c>
      <c r="E84" s="350" t="s">
        <v>177</v>
      </c>
      <c r="F84" s="154" t="str">
        <f>IF($A84="","",VLOOKUP($A84,'İşçi Bilgileri'!$A$2:$F$750,6,FALSE))</f>
        <v/>
      </c>
      <c r="G84" s="152" t="str">
        <f>IF($A84="","",VLOOKUP($A84,'MAAŞ BORDROSU'!$A$4:$V$573,17,FALSE))</f>
        <v/>
      </c>
    </row>
    <row r="85" spans="1:7" x14ac:dyDescent="0.2">
      <c r="A85" s="151" t="str">
        <f>'İşçi Bilgileri'!A84</f>
        <v/>
      </c>
      <c r="B85" s="151" t="str">
        <f>IF($A85="","",VLOOKUP($A85,'İşçi Bilgileri'!$A$2:$D$750,4,FALSE))</f>
        <v/>
      </c>
      <c r="C85" s="151" t="str">
        <f>CONCATENATE(IF($A85="","",VLOOKUP($A85,'İşçi Bilgileri'!$A$2:$D$750,2,FALSE))," ",IF($A85="","",VLOOKUP($A85,'İşçi Bilgileri'!$A$2:$D$750,3,FALSE)))</f>
        <v xml:space="preserve"> </v>
      </c>
      <c r="D85" s="350">
        <v>35527490</v>
      </c>
      <c r="E85" s="350" t="s">
        <v>177</v>
      </c>
      <c r="F85" s="154" t="str">
        <f>IF($A85="","",VLOOKUP($A85,'İşçi Bilgileri'!$A$2:$F$750,6,FALSE))</f>
        <v/>
      </c>
      <c r="G85" s="152" t="str">
        <f>IF($A85="","",VLOOKUP($A85,'MAAŞ BORDROSU'!$A$4:$V$573,17,FALSE))</f>
        <v/>
      </c>
    </row>
    <row r="86" spans="1:7" x14ac:dyDescent="0.2">
      <c r="A86" s="151" t="str">
        <f>'İşçi Bilgileri'!A85</f>
        <v/>
      </c>
      <c r="B86" s="151" t="str">
        <f>IF($A86="","",VLOOKUP($A86,'İşçi Bilgileri'!$A$2:$D$750,4,FALSE))</f>
        <v/>
      </c>
      <c r="C86" s="151" t="str">
        <f>CONCATENATE(IF($A86="","",VLOOKUP($A86,'İşçi Bilgileri'!$A$2:$D$750,2,FALSE))," ",IF($A86="","",VLOOKUP($A86,'İşçi Bilgileri'!$A$2:$D$750,3,FALSE)))</f>
        <v xml:space="preserve"> </v>
      </c>
      <c r="D86" s="350">
        <v>35527490</v>
      </c>
      <c r="E86" s="350" t="s">
        <v>177</v>
      </c>
      <c r="F86" s="154" t="str">
        <f>IF($A86="","",VLOOKUP($A86,'İşçi Bilgileri'!$A$2:$F$750,6,FALSE))</f>
        <v/>
      </c>
      <c r="G86" s="152" t="str">
        <f>IF($A86="","",VLOOKUP($A86,'MAAŞ BORDROSU'!$A$4:$V$573,17,FALSE))</f>
        <v/>
      </c>
    </row>
    <row r="87" spans="1:7" x14ac:dyDescent="0.2">
      <c r="A87" s="151" t="str">
        <f>'İşçi Bilgileri'!A86</f>
        <v/>
      </c>
      <c r="B87" s="151" t="str">
        <f>IF($A87="","",VLOOKUP($A87,'İşçi Bilgileri'!$A$2:$D$750,4,FALSE))</f>
        <v/>
      </c>
      <c r="C87" s="151" t="str">
        <f>CONCATENATE(IF($A87="","",VLOOKUP($A87,'İşçi Bilgileri'!$A$2:$D$750,2,FALSE))," ",IF($A87="","",VLOOKUP($A87,'İşçi Bilgileri'!$A$2:$D$750,3,FALSE)))</f>
        <v xml:space="preserve"> </v>
      </c>
      <c r="D87" s="350">
        <v>35527490</v>
      </c>
      <c r="E87" s="350" t="s">
        <v>177</v>
      </c>
      <c r="F87" s="154" t="str">
        <f>IF($A87="","",VLOOKUP($A87,'İşçi Bilgileri'!$A$2:$F$750,6,FALSE))</f>
        <v/>
      </c>
      <c r="G87" s="152" t="str">
        <f>IF($A87="","",VLOOKUP($A87,'MAAŞ BORDROSU'!$A$4:$V$573,17,FALSE))</f>
        <v/>
      </c>
    </row>
    <row r="88" spans="1:7" x14ac:dyDescent="0.2">
      <c r="A88" s="151" t="str">
        <f>'İşçi Bilgileri'!A87</f>
        <v/>
      </c>
      <c r="B88" s="151" t="str">
        <f>IF($A88="","",VLOOKUP($A88,'İşçi Bilgileri'!$A$2:$D$750,4,FALSE))</f>
        <v/>
      </c>
      <c r="C88" s="151" t="str">
        <f>CONCATENATE(IF($A88="","",VLOOKUP($A88,'İşçi Bilgileri'!$A$2:$D$750,2,FALSE))," ",IF($A88="","",VLOOKUP($A88,'İşçi Bilgileri'!$A$2:$D$750,3,FALSE)))</f>
        <v xml:space="preserve"> </v>
      </c>
      <c r="D88" s="350">
        <v>35527490</v>
      </c>
      <c r="E88" s="350" t="s">
        <v>177</v>
      </c>
      <c r="F88" s="154" t="str">
        <f>IF($A88="","",VLOOKUP($A88,'İşçi Bilgileri'!$A$2:$F$750,6,FALSE))</f>
        <v/>
      </c>
      <c r="G88" s="152" t="str">
        <f>IF($A88="","",VLOOKUP($A88,'MAAŞ BORDROSU'!$A$4:$V$573,17,FALSE))</f>
        <v/>
      </c>
    </row>
    <row r="89" spans="1:7" x14ac:dyDescent="0.2">
      <c r="A89" s="151" t="str">
        <f>'İşçi Bilgileri'!A88</f>
        <v/>
      </c>
      <c r="B89" s="151" t="str">
        <f>IF($A89="","",VLOOKUP($A89,'İşçi Bilgileri'!$A$2:$D$750,4,FALSE))</f>
        <v/>
      </c>
      <c r="C89" s="151" t="str">
        <f>CONCATENATE(IF($A89="","",VLOOKUP($A89,'İşçi Bilgileri'!$A$2:$D$750,2,FALSE))," ",IF($A89="","",VLOOKUP($A89,'İşçi Bilgileri'!$A$2:$D$750,3,FALSE)))</f>
        <v xml:space="preserve"> </v>
      </c>
      <c r="D89" s="350">
        <v>35527490</v>
      </c>
      <c r="E89" s="350" t="s">
        <v>177</v>
      </c>
      <c r="F89" s="154" t="str">
        <f>IF($A89="","",VLOOKUP($A89,'İşçi Bilgileri'!$A$2:$F$750,6,FALSE))</f>
        <v/>
      </c>
      <c r="G89" s="152" t="str">
        <f>IF($A89="","",VLOOKUP($A89,'MAAŞ BORDROSU'!$A$4:$V$573,17,FALSE))</f>
        <v/>
      </c>
    </row>
    <row r="90" spans="1:7" x14ac:dyDescent="0.2">
      <c r="A90" s="151" t="str">
        <f>'İşçi Bilgileri'!A89</f>
        <v/>
      </c>
      <c r="B90" s="151" t="str">
        <f>IF($A90="","",VLOOKUP($A90,'İşçi Bilgileri'!$A$2:$D$750,4,FALSE))</f>
        <v/>
      </c>
      <c r="C90" s="151" t="str">
        <f>CONCATENATE(IF($A90="","",VLOOKUP($A90,'İşçi Bilgileri'!$A$2:$D$750,2,FALSE))," ",IF($A90="","",VLOOKUP($A90,'İşçi Bilgileri'!$A$2:$D$750,3,FALSE)))</f>
        <v xml:space="preserve"> </v>
      </c>
      <c r="D90" s="350">
        <v>35527490</v>
      </c>
      <c r="E90" s="350" t="s">
        <v>177</v>
      </c>
      <c r="F90" s="154" t="str">
        <f>IF($A90="","",VLOOKUP($A90,'İşçi Bilgileri'!$A$2:$F$750,6,FALSE))</f>
        <v/>
      </c>
      <c r="G90" s="152" t="str">
        <f>IF($A90="","",VLOOKUP($A90,'MAAŞ BORDROSU'!$A$4:$V$573,17,FALSE))</f>
        <v/>
      </c>
    </row>
    <row r="91" spans="1:7" x14ac:dyDescent="0.2">
      <c r="A91" s="151" t="str">
        <f>'İşçi Bilgileri'!A90</f>
        <v/>
      </c>
      <c r="B91" s="151" t="str">
        <f>IF($A91="","",VLOOKUP($A91,'İşçi Bilgileri'!$A$2:$D$750,4,FALSE))</f>
        <v/>
      </c>
      <c r="C91" s="151" t="str">
        <f>CONCATENATE(IF($A91="","",VLOOKUP($A91,'İşçi Bilgileri'!$A$2:$D$750,2,FALSE))," ",IF($A91="","",VLOOKUP($A91,'İşçi Bilgileri'!$A$2:$D$750,3,FALSE)))</f>
        <v xml:space="preserve"> </v>
      </c>
      <c r="D91" s="350">
        <v>35527490</v>
      </c>
      <c r="E91" s="350" t="s">
        <v>177</v>
      </c>
      <c r="F91" s="154" t="str">
        <f>IF($A91="","",VLOOKUP($A91,'İşçi Bilgileri'!$A$2:$F$750,6,FALSE))</f>
        <v/>
      </c>
      <c r="G91" s="152" t="str">
        <f>IF($A91="","",VLOOKUP($A91,'MAAŞ BORDROSU'!$A$4:$V$573,17,FALSE))</f>
        <v/>
      </c>
    </row>
    <row r="92" spans="1:7" x14ac:dyDescent="0.2">
      <c r="A92" s="151" t="str">
        <f>'İşçi Bilgileri'!A91</f>
        <v/>
      </c>
      <c r="B92" s="151" t="str">
        <f>IF($A92="","",VLOOKUP($A92,'İşçi Bilgileri'!$A$2:$D$750,4,FALSE))</f>
        <v/>
      </c>
      <c r="C92" s="151" t="str">
        <f>CONCATENATE(IF($A92="","",VLOOKUP($A92,'İşçi Bilgileri'!$A$2:$D$750,2,FALSE))," ",IF($A92="","",VLOOKUP($A92,'İşçi Bilgileri'!$A$2:$D$750,3,FALSE)))</f>
        <v xml:space="preserve"> </v>
      </c>
      <c r="D92" s="350">
        <v>35527490</v>
      </c>
      <c r="E92" s="350" t="s">
        <v>177</v>
      </c>
      <c r="F92" s="154" t="str">
        <f>IF($A92="","",VLOOKUP($A92,'İşçi Bilgileri'!$A$2:$F$750,6,FALSE))</f>
        <v/>
      </c>
      <c r="G92" s="152" t="str">
        <f>IF($A92="","",VLOOKUP($A92,'MAAŞ BORDROSU'!$A$4:$V$573,17,FALSE))</f>
        <v/>
      </c>
    </row>
    <row r="93" spans="1:7" x14ac:dyDescent="0.2">
      <c r="A93" s="151" t="str">
        <f>'İşçi Bilgileri'!A92</f>
        <v/>
      </c>
      <c r="B93" s="151" t="str">
        <f>IF($A93="","",VLOOKUP($A93,'İşçi Bilgileri'!$A$2:$D$750,4,FALSE))</f>
        <v/>
      </c>
      <c r="C93" s="151" t="str">
        <f>CONCATENATE(IF($A93="","",VLOOKUP($A93,'İşçi Bilgileri'!$A$2:$D$750,2,FALSE))," ",IF($A93="","",VLOOKUP($A93,'İşçi Bilgileri'!$A$2:$D$750,3,FALSE)))</f>
        <v xml:space="preserve"> </v>
      </c>
      <c r="D93" s="350">
        <v>35527490</v>
      </c>
      <c r="E93" s="350" t="s">
        <v>177</v>
      </c>
      <c r="F93" s="154" t="str">
        <f>IF($A93="","",VLOOKUP($A93,'İşçi Bilgileri'!$A$2:$F$750,6,FALSE))</f>
        <v/>
      </c>
      <c r="G93" s="152" t="str">
        <f>IF($A93="","",VLOOKUP($A93,'MAAŞ BORDROSU'!$A$4:$V$573,17,FALSE))</f>
        <v/>
      </c>
    </row>
    <row r="94" spans="1:7" x14ac:dyDescent="0.2">
      <c r="A94" s="151" t="str">
        <f>'İşçi Bilgileri'!A93</f>
        <v/>
      </c>
      <c r="B94" s="151" t="str">
        <f>IF($A94="","",VLOOKUP($A94,'İşçi Bilgileri'!$A$2:$D$750,4,FALSE))</f>
        <v/>
      </c>
      <c r="C94" s="151" t="str">
        <f>CONCATENATE(IF($A94="","",VLOOKUP($A94,'İşçi Bilgileri'!$A$2:$D$750,2,FALSE))," ",IF($A94="","",VLOOKUP($A94,'İşçi Bilgileri'!$A$2:$D$750,3,FALSE)))</f>
        <v xml:space="preserve"> </v>
      </c>
      <c r="D94" s="350">
        <v>35527490</v>
      </c>
      <c r="E94" s="350" t="s">
        <v>177</v>
      </c>
      <c r="F94" s="154" t="str">
        <f>IF($A94="","",VLOOKUP($A94,'İşçi Bilgileri'!$A$2:$F$750,6,FALSE))</f>
        <v/>
      </c>
      <c r="G94" s="152" t="str">
        <f>IF($A94="","",VLOOKUP($A94,'MAAŞ BORDROSU'!$A$4:$V$573,17,FALSE))</f>
        <v/>
      </c>
    </row>
    <row r="95" spans="1:7" x14ac:dyDescent="0.2">
      <c r="A95" s="151" t="str">
        <f>'İşçi Bilgileri'!A94</f>
        <v/>
      </c>
      <c r="B95" s="151" t="str">
        <f>IF($A95="","",VLOOKUP($A95,'İşçi Bilgileri'!$A$2:$D$750,4,FALSE))</f>
        <v/>
      </c>
      <c r="C95" s="151" t="str">
        <f>CONCATENATE(IF($A95="","",VLOOKUP($A95,'İşçi Bilgileri'!$A$2:$D$750,2,FALSE))," ",IF($A95="","",VLOOKUP($A95,'İşçi Bilgileri'!$A$2:$D$750,3,FALSE)))</f>
        <v xml:space="preserve"> </v>
      </c>
      <c r="D95" s="350">
        <v>35527490</v>
      </c>
      <c r="E95" s="350" t="s">
        <v>177</v>
      </c>
      <c r="F95" s="154" t="str">
        <f>IF($A95="","",VLOOKUP($A95,'İşçi Bilgileri'!$A$2:$F$750,6,FALSE))</f>
        <v/>
      </c>
      <c r="G95" s="152" t="str">
        <f>IF($A95="","",VLOOKUP($A95,'MAAŞ BORDROSU'!$A$4:$V$573,17,FALSE))</f>
        <v/>
      </c>
    </row>
    <row r="96" spans="1:7" x14ac:dyDescent="0.2">
      <c r="A96" s="151" t="str">
        <f>'İşçi Bilgileri'!A95</f>
        <v/>
      </c>
      <c r="B96" s="151" t="str">
        <f>IF($A96="","",VLOOKUP($A96,'İşçi Bilgileri'!$A$2:$D$750,4,FALSE))</f>
        <v/>
      </c>
      <c r="C96" s="151" t="str">
        <f>CONCATENATE(IF($A96="","",VLOOKUP($A96,'İşçi Bilgileri'!$A$2:$D$750,2,FALSE))," ",IF($A96="","",VLOOKUP($A96,'İşçi Bilgileri'!$A$2:$D$750,3,FALSE)))</f>
        <v xml:space="preserve"> </v>
      </c>
      <c r="D96" s="350">
        <v>35527490</v>
      </c>
      <c r="E96" s="350" t="s">
        <v>177</v>
      </c>
      <c r="F96" s="154" t="str">
        <f>IF($A96="","",VLOOKUP($A96,'İşçi Bilgileri'!$A$2:$F$750,6,FALSE))</f>
        <v/>
      </c>
      <c r="G96" s="152" t="str">
        <f>IF($A96="","",VLOOKUP($A96,'MAAŞ BORDROSU'!$A$4:$V$573,17,FALSE))</f>
        <v/>
      </c>
    </row>
    <row r="97" spans="1:7" x14ac:dyDescent="0.2">
      <c r="A97" s="151" t="str">
        <f>'İşçi Bilgileri'!A96</f>
        <v/>
      </c>
      <c r="B97" s="151" t="str">
        <f>IF($A97="","",VLOOKUP($A97,'İşçi Bilgileri'!$A$2:$D$750,4,FALSE))</f>
        <v/>
      </c>
      <c r="C97" s="151" t="str">
        <f>CONCATENATE(IF($A97="","",VLOOKUP($A97,'İşçi Bilgileri'!$A$2:$D$750,2,FALSE))," ",IF($A97="","",VLOOKUP($A97,'İşçi Bilgileri'!$A$2:$D$750,3,FALSE)))</f>
        <v xml:space="preserve"> </v>
      </c>
      <c r="D97" s="350">
        <v>35527490</v>
      </c>
      <c r="E97" s="350" t="s">
        <v>177</v>
      </c>
      <c r="F97" s="154" t="str">
        <f>IF($A97="","",VLOOKUP($A97,'İşçi Bilgileri'!$A$2:$F$750,6,FALSE))</f>
        <v/>
      </c>
      <c r="G97" s="152" t="str">
        <f>IF($A97="","",VLOOKUP($A97,'MAAŞ BORDROSU'!$A$4:$V$573,17,FALSE))</f>
        <v/>
      </c>
    </row>
    <row r="98" spans="1:7" x14ac:dyDescent="0.2">
      <c r="A98" s="151" t="str">
        <f>'İşçi Bilgileri'!A97</f>
        <v/>
      </c>
      <c r="B98" s="151" t="str">
        <f>IF($A98="","",VLOOKUP($A98,'İşçi Bilgileri'!$A$2:$D$750,4,FALSE))</f>
        <v/>
      </c>
      <c r="C98" s="151" t="str">
        <f>CONCATENATE(IF($A98="","",VLOOKUP($A98,'İşçi Bilgileri'!$A$2:$D$750,2,FALSE))," ",IF($A98="","",VLOOKUP($A98,'İşçi Bilgileri'!$A$2:$D$750,3,FALSE)))</f>
        <v xml:space="preserve"> </v>
      </c>
      <c r="D98" s="350">
        <v>35527490</v>
      </c>
      <c r="E98" s="350" t="s">
        <v>177</v>
      </c>
      <c r="F98" s="154" t="str">
        <f>IF($A98="","",VLOOKUP($A98,'İşçi Bilgileri'!$A$2:$F$750,6,FALSE))</f>
        <v/>
      </c>
      <c r="G98" s="152" t="str">
        <f>IF($A98="","",VLOOKUP($A98,'MAAŞ BORDROSU'!$A$4:$V$573,17,FALSE))</f>
        <v/>
      </c>
    </row>
    <row r="99" spans="1:7" x14ac:dyDescent="0.2">
      <c r="A99" s="151" t="str">
        <f>'İşçi Bilgileri'!A98</f>
        <v/>
      </c>
      <c r="B99" s="151" t="str">
        <f>IF($A99="","",VLOOKUP($A99,'İşçi Bilgileri'!$A$2:$D$750,4,FALSE))</f>
        <v/>
      </c>
      <c r="C99" s="151" t="str">
        <f>CONCATENATE(IF($A99="","",VLOOKUP($A99,'İşçi Bilgileri'!$A$2:$D$750,2,FALSE))," ",IF($A99="","",VLOOKUP($A99,'İşçi Bilgileri'!$A$2:$D$750,3,FALSE)))</f>
        <v xml:space="preserve"> </v>
      </c>
      <c r="D99" s="350">
        <v>35527490</v>
      </c>
      <c r="E99" s="350" t="s">
        <v>177</v>
      </c>
      <c r="F99" s="154" t="str">
        <f>IF($A99="","",VLOOKUP($A99,'İşçi Bilgileri'!$A$2:$F$750,6,FALSE))</f>
        <v/>
      </c>
      <c r="G99" s="152" t="str">
        <f>IF($A99="","",VLOOKUP($A99,'MAAŞ BORDROSU'!$A$4:$V$573,17,FALSE))</f>
        <v/>
      </c>
    </row>
    <row r="100" spans="1:7" x14ac:dyDescent="0.2">
      <c r="A100" s="151" t="str">
        <f>'İşçi Bilgileri'!A99</f>
        <v/>
      </c>
      <c r="B100" s="151" t="str">
        <f>IF($A100="","",VLOOKUP($A100,'İşçi Bilgileri'!$A$2:$D$750,4,FALSE))</f>
        <v/>
      </c>
      <c r="C100" s="151" t="str">
        <f>CONCATENATE(IF($A100="","",VLOOKUP($A100,'İşçi Bilgileri'!$A$2:$D$750,2,FALSE))," ",IF($A100="","",VLOOKUP($A100,'İşçi Bilgileri'!$A$2:$D$750,3,FALSE)))</f>
        <v xml:space="preserve"> </v>
      </c>
      <c r="D100" s="350">
        <v>35527490</v>
      </c>
      <c r="E100" s="350" t="s">
        <v>177</v>
      </c>
      <c r="F100" s="154" t="str">
        <f>IF($A100="","",VLOOKUP($A100,'İşçi Bilgileri'!$A$2:$F$750,6,FALSE))</f>
        <v/>
      </c>
      <c r="G100" s="152" t="str">
        <f>IF($A100="","",VLOOKUP($A100,'MAAŞ BORDROSU'!$A$4:$V$573,17,FALSE))</f>
        <v/>
      </c>
    </row>
    <row r="101" spans="1:7" x14ac:dyDescent="0.2">
      <c r="A101" s="151" t="str">
        <f>'İşçi Bilgileri'!A100</f>
        <v/>
      </c>
      <c r="B101" s="151" t="str">
        <f>IF($A101="","",VLOOKUP($A101,'İşçi Bilgileri'!$A$2:$D$750,4,FALSE))</f>
        <v/>
      </c>
      <c r="C101" s="151" t="str">
        <f>CONCATENATE(IF($A101="","",VLOOKUP($A101,'İşçi Bilgileri'!$A$2:$D$750,2,FALSE))," ",IF($A101="","",VLOOKUP($A101,'İşçi Bilgileri'!$A$2:$D$750,3,FALSE)))</f>
        <v xml:space="preserve"> </v>
      </c>
      <c r="D101" s="350">
        <v>35527490</v>
      </c>
      <c r="E101" s="350" t="s">
        <v>177</v>
      </c>
      <c r="F101" s="154" t="str">
        <f>IF($A101="","",VLOOKUP($A101,'İşçi Bilgileri'!$A$2:$F$750,6,FALSE))</f>
        <v/>
      </c>
      <c r="G101" s="152" t="str">
        <f>IF($A101="","",VLOOKUP($A101,'MAAŞ BORDROSU'!$A$4:$V$573,17,FALSE))</f>
        <v/>
      </c>
    </row>
    <row r="102" spans="1:7" x14ac:dyDescent="0.2">
      <c r="A102" s="151" t="str">
        <f>'İşçi Bilgileri'!A101</f>
        <v/>
      </c>
      <c r="B102" s="151" t="str">
        <f>IF($A102="","",VLOOKUP($A102,'İşçi Bilgileri'!$A$2:$D$750,4,FALSE))</f>
        <v/>
      </c>
      <c r="C102" s="151" t="str">
        <f>CONCATENATE(IF($A102="","",VLOOKUP($A102,'İşçi Bilgileri'!$A$2:$D$750,2,FALSE))," ",IF($A102="","",VLOOKUP($A102,'İşçi Bilgileri'!$A$2:$D$750,3,FALSE)))</f>
        <v xml:space="preserve"> </v>
      </c>
      <c r="D102" s="350">
        <v>35527490</v>
      </c>
      <c r="E102" s="350" t="s">
        <v>177</v>
      </c>
      <c r="F102" s="154" t="str">
        <f>IF($A102="","",VLOOKUP($A102,'İşçi Bilgileri'!$A$2:$F$750,6,FALSE))</f>
        <v/>
      </c>
      <c r="G102" s="152" t="str">
        <f>IF($A102="","",VLOOKUP($A102,'MAAŞ BORDROSU'!$A$4:$V$573,17,FALSE))</f>
        <v/>
      </c>
    </row>
    <row r="103" spans="1:7" x14ac:dyDescent="0.2">
      <c r="A103" s="151" t="str">
        <f>'İşçi Bilgileri'!A102</f>
        <v/>
      </c>
      <c r="B103" s="151" t="str">
        <f>IF($A103="","",VLOOKUP($A103,'İşçi Bilgileri'!$A$2:$D$750,4,FALSE))</f>
        <v/>
      </c>
      <c r="C103" s="151" t="str">
        <f>CONCATENATE(IF($A103="","",VLOOKUP($A103,'İşçi Bilgileri'!$A$2:$D$750,2,FALSE))," ",IF($A103="","",VLOOKUP($A103,'İşçi Bilgileri'!$A$2:$D$750,3,FALSE)))</f>
        <v xml:space="preserve"> </v>
      </c>
      <c r="D103" s="350">
        <v>35527490</v>
      </c>
      <c r="E103" s="350" t="s">
        <v>177</v>
      </c>
      <c r="F103" s="154" t="str">
        <f>IF($A103="","",VLOOKUP($A103,'İşçi Bilgileri'!$A$2:$F$750,6,FALSE))</f>
        <v/>
      </c>
      <c r="G103" s="152" t="str">
        <f>IF($A103="","",VLOOKUP($A103,'MAAŞ BORDROSU'!$A$4:$V$573,17,FALSE))</f>
        <v/>
      </c>
    </row>
    <row r="104" spans="1:7" x14ac:dyDescent="0.2">
      <c r="A104" s="151" t="str">
        <f>'İşçi Bilgileri'!A103</f>
        <v/>
      </c>
      <c r="B104" s="151" t="str">
        <f>IF($A104="","",VLOOKUP($A104,'İşçi Bilgileri'!$A$2:$D$750,4,FALSE))</f>
        <v/>
      </c>
      <c r="C104" s="151" t="str">
        <f>CONCATENATE(IF($A104="","",VLOOKUP($A104,'İşçi Bilgileri'!$A$2:$D$750,2,FALSE))," ",IF($A104="","",VLOOKUP($A104,'İşçi Bilgileri'!$A$2:$D$750,3,FALSE)))</f>
        <v xml:space="preserve"> </v>
      </c>
      <c r="D104" s="350">
        <v>35527490</v>
      </c>
      <c r="E104" s="350" t="s">
        <v>177</v>
      </c>
      <c r="F104" s="154" t="str">
        <f>IF($A104="","",VLOOKUP($A104,'İşçi Bilgileri'!$A$2:$F$750,6,FALSE))</f>
        <v/>
      </c>
      <c r="G104" s="152" t="str">
        <f>IF($A104="","",VLOOKUP($A104,'MAAŞ BORDROSU'!$A$4:$V$573,17,FALSE))</f>
        <v/>
      </c>
    </row>
    <row r="105" spans="1:7" x14ac:dyDescent="0.2">
      <c r="A105" s="151" t="str">
        <f>'İşçi Bilgileri'!A104</f>
        <v/>
      </c>
      <c r="B105" s="151" t="str">
        <f>IF($A105="","",VLOOKUP($A105,'İşçi Bilgileri'!$A$2:$D$750,4,FALSE))</f>
        <v/>
      </c>
      <c r="C105" s="151" t="str">
        <f>CONCATENATE(IF($A105="","",VLOOKUP($A105,'İşçi Bilgileri'!$A$2:$D$750,2,FALSE))," ",IF($A105="","",VLOOKUP($A105,'İşçi Bilgileri'!$A$2:$D$750,3,FALSE)))</f>
        <v xml:space="preserve"> </v>
      </c>
      <c r="D105" s="350">
        <v>35527490</v>
      </c>
      <c r="E105" s="350" t="s">
        <v>177</v>
      </c>
      <c r="F105" s="154" t="str">
        <f>IF($A105="","",VLOOKUP($A105,'İşçi Bilgileri'!$A$2:$F$750,6,FALSE))</f>
        <v/>
      </c>
      <c r="G105" s="152" t="str">
        <f>IF($A105="","",VLOOKUP($A105,'MAAŞ BORDROSU'!$A$4:$V$573,17,FALSE))</f>
        <v/>
      </c>
    </row>
    <row r="106" spans="1:7" x14ac:dyDescent="0.2">
      <c r="A106" s="151" t="str">
        <f>'İşçi Bilgileri'!A105</f>
        <v/>
      </c>
      <c r="B106" s="151" t="str">
        <f>IF($A106="","",VLOOKUP($A106,'İşçi Bilgileri'!$A$2:$D$750,4,FALSE))</f>
        <v/>
      </c>
      <c r="C106" s="151" t="str">
        <f>CONCATENATE(IF($A106="","",VLOOKUP($A106,'İşçi Bilgileri'!$A$2:$D$750,2,FALSE))," ",IF($A106="","",VLOOKUP($A106,'İşçi Bilgileri'!$A$2:$D$750,3,FALSE)))</f>
        <v xml:space="preserve"> </v>
      </c>
      <c r="D106" s="350">
        <v>35527490</v>
      </c>
      <c r="E106" s="350" t="s">
        <v>177</v>
      </c>
      <c r="F106" s="154" t="str">
        <f>IF($A106="","",VLOOKUP($A106,'İşçi Bilgileri'!$A$2:$F$750,6,FALSE))</f>
        <v/>
      </c>
      <c r="G106" s="152" t="str">
        <f>IF($A106="","",VLOOKUP($A106,'MAAŞ BORDROSU'!$A$4:$V$573,17,FALSE))</f>
        <v/>
      </c>
    </row>
    <row r="107" spans="1:7" x14ac:dyDescent="0.2">
      <c r="A107" s="151" t="str">
        <f>'İşçi Bilgileri'!A106</f>
        <v/>
      </c>
      <c r="B107" s="151" t="str">
        <f>IF($A107="","",VLOOKUP($A107,'İşçi Bilgileri'!$A$2:$D$750,4,FALSE))</f>
        <v/>
      </c>
      <c r="C107" s="151" t="str">
        <f>CONCATENATE(IF($A107="","",VLOOKUP($A107,'İşçi Bilgileri'!$A$2:$D$750,2,FALSE))," ",IF($A107="","",VLOOKUP($A107,'İşçi Bilgileri'!$A$2:$D$750,3,FALSE)))</f>
        <v xml:space="preserve"> </v>
      </c>
      <c r="D107" s="350">
        <v>35527490</v>
      </c>
      <c r="E107" s="350" t="s">
        <v>177</v>
      </c>
      <c r="F107" s="154" t="str">
        <f>IF($A107="","",VLOOKUP($A107,'İşçi Bilgileri'!$A$2:$F$750,6,FALSE))</f>
        <v/>
      </c>
      <c r="G107" s="152" t="str">
        <f>IF($A107="","",VLOOKUP($A107,'MAAŞ BORDROSU'!$A$4:$V$573,17,FALSE))</f>
        <v/>
      </c>
    </row>
    <row r="108" spans="1:7" x14ac:dyDescent="0.2">
      <c r="A108" s="151" t="str">
        <f>'İşçi Bilgileri'!A107</f>
        <v/>
      </c>
      <c r="B108" s="151" t="str">
        <f>IF($A108="","",VLOOKUP($A108,'İşçi Bilgileri'!$A$2:$D$750,4,FALSE))</f>
        <v/>
      </c>
      <c r="C108" s="151" t="str">
        <f>CONCATENATE(IF($A108="","",VLOOKUP($A108,'İşçi Bilgileri'!$A$2:$D$750,2,FALSE))," ",IF($A108="","",VLOOKUP($A108,'İşçi Bilgileri'!$A$2:$D$750,3,FALSE)))</f>
        <v xml:space="preserve"> </v>
      </c>
      <c r="D108" s="350">
        <v>35527490</v>
      </c>
      <c r="E108" s="350" t="s">
        <v>177</v>
      </c>
      <c r="F108" s="154" t="str">
        <f>IF($A108="","",VLOOKUP($A108,'İşçi Bilgileri'!$A$2:$F$750,6,FALSE))</f>
        <v/>
      </c>
      <c r="G108" s="152" t="str">
        <f>IF($A108="","",VLOOKUP($A108,'MAAŞ BORDROSU'!$A$4:$V$573,17,FALSE))</f>
        <v/>
      </c>
    </row>
    <row r="109" spans="1:7" x14ac:dyDescent="0.2">
      <c r="A109" s="151" t="str">
        <f>'İşçi Bilgileri'!A108</f>
        <v/>
      </c>
      <c r="B109" s="151" t="str">
        <f>IF($A109="","",VLOOKUP($A109,'İşçi Bilgileri'!$A$2:$D$750,4,FALSE))</f>
        <v/>
      </c>
      <c r="C109" s="151" t="str">
        <f>CONCATENATE(IF($A109="","",VLOOKUP($A109,'İşçi Bilgileri'!$A$2:$D$750,2,FALSE))," ",IF($A109="","",VLOOKUP($A109,'İşçi Bilgileri'!$A$2:$D$750,3,FALSE)))</f>
        <v xml:space="preserve"> </v>
      </c>
      <c r="D109" s="350">
        <v>35527490</v>
      </c>
      <c r="E109" s="350" t="s">
        <v>177</v>
      </c>
      <c r="F109" s="154" t="str">
        <f>IF($A109="","",VLOOKUP($A109,'İşçi Bilgileri'!$A$2:$F$750,6,FALSE))</f>
        <v/>
      </c>
      <c r="G109" s="152" t="str">
        <f>IF($A109="","",VLOOKUP($A109,'MAAŞ BORDROSU'!$A$4:$V$573,17,FALSE))</f>
        <v/>
      </c>
    </row>
    <row r="110" spans="1:7" x14ac:dyDescent="0.2">
      <c r="A110" s="151" t="str">
        <f>'İşçi Bilgileri'!A109</f>
        <v/>
      </c>
      <c r="B110" s="151" t="str">
        <f>IF($A110="","",VLOOKUP($A110,'İşçi Bilgileri'!$A$2:$D$750,4,FALSE))</f>
        <v/>
      </c>
      <c r="C110" s="151" t="str">
        <f>CONCATENATE(IF($A110="","",VLOOKUP($A110,'İşçi Bilgileri'!$A$2:$D$750,2,FALSE))," ",IF($A110="","",VLOOKUP($A110,'İşçi Bilgileri'!$A$2:$D$750,3,FALSE)))</f>
        <v xml:space="preserve"> </v>
      </c>
      <c r="D110" s="350">
        <v>35527490</v>
      </c>
      <c r="E110" s="350" t="s">
        <v>177</v>
      </c>
      <c r="F110" s="154" t="str">
        <f>IF($A110="","",VLOOKUP($A110,'İşçi Bilgileri'!$A$2:$F$750,6,FALSE))</f>
        <v/>
      </c>
      <c r="G110" s="152" t="str">
        <f>IF($A110="","",VLOOKUP($A110,'MAAŞ BORDROSU'!$A$4:$V$573,17,FALSE))</f>
        <v/>
      </c>
    </row>
    <row r="111" spans="1:7" x14ac:dyDescent="0.2">
      <c r="A111" s="151" t="str">
        <f>'İşçi Bilgileri'!A110</f>
        <v/>
      </c>
      <c r="B111" s="151" t="str">
        <f>IF($A111="","",VLOOKUP($A111,'İşçi Bilgileri'!$A$2:$D$750,4,FALSE))</f>
        <v/>
      </c>
      <c r="C111" s="151" t="str">
        <f>CONCATENATE(IF($A111="","",VLOOKUP($A111,'İşçi Bilgileri'!$A$2:$D$750,2,FALSE))," ",IF($A111="","",VLOOKUP($A111,'İşçi Bilgileri'!$A$2:$D$750,3,FALSE)))</f>
        <v xml:space="preserve"> </v>
      </c>
      <c r="D111" s="350">
        <v>35527490</v>
      </c>
      <c r="E111" s="350" t="s">
        <v>177</v>
      </c>
      <c r="F111" s="154" t="str">
        <f>IF($A111="","",VLOOKUP($A111,'İşçi Bilgileri'!$A$2:$F$750,6,FALSE))</f>
        <v/>
      </c>
      <c r="G111" s="152" t="str">
        <f>IF($A111="","",VLOOKUP($A111,'MAAŞ BORDROSU'!$A$4:$V$573,17,FALSE))</f>
        <v/>
      </c>
    </row>
    <row r="112" spans="1:7" x14ac:dyDescent="0.2">
      <c r="A112" s="151" t="str">
        <f>'İşçi Bilgileri'!A111</f>
        <v/>
      </c>
      <c r="B112" s="151" t="str">
        <f>IF($A112="","",VLOOKUP($A112,'İşçi Bilgileri'!$A$2:$D$750,4,FALSE))</f>
        <v/>
      </c>
      <c r="C112" s="151" t="str">
        <f>CONCATENATE(IF($A112="","",VLOOKUP($A112,'İşçi Bilgileri'!$A$2:$D$750,2,FALSE))," ",IF($A112="","",VLOOKUP($A112,'İşçi Bilgileri'!$A$2:$D$750,3,FALSE)))</f>
        <v xml:space="preserve"> </v>
      </c>
      <c r="D112" s="350">
        <v>35527490</v>
      </c>
      <c r="E112" s="350" t="s">
        <v>177</v>
      </c>
      <c r="F112" s="154" t="str">
        <f>IF($A112="","",VLOOKUP($A112,'İşçi Bilgileri'!$A$2:$F$750,6,FALSE))</f>
        <v/>
      </c>
      <c r="G112" s="152" t="str">
        <f>IF($A112="","",VLOOKUP($A112,'MAAŞ BORDROSU'!$A$4:$V$573,17,FALSE))</f>
        <v/>
      </c>
    </row>
    <row r="113" spans="1:7" x14ac:dyDescent="0.2">
      <c r="A113" s="151" t="str">
        <f>'İşçi Bilgileri'!A112</f>
        <v/>
      </c>
      <c r="B113" s="151" t="str">
        <f>IF($A113="","",VLOOKUP($A113,'İşçi Bilgileri'!$A$2:$D$750,4,FALSE))</f>
        <v/>
      </c>
      <c r="C113" s="151" t="str">
        <f>CONCATENATE(IF($A113="","",VLOOKUP($A113,'İşçi Bilgileri'!$A$2:$D$750,2,FALSE))," ",IF($A113="","",VLOOKUP($A113,'İşçi Bilgileri'!$A$2:$D$750,3,FALSE)))</f>
        <v xml:space="preserve"> </v>
      </c>
      <c r="D113" s="350">
        <v>35527490</v>
      </c>
      <c r="E113" s="350" t="s">
        <v>177</v>
      </c>
      <c r="F113" s="154" t="str">
        <f>IF($A113="","",VLOOKUP($A113,'İşçi Bilgileri'!$A$2:$F$750,6,FALSE))</f>
        <v/>
      </c>
      <c r="G113" s="152" t="str">
        <f>IF($A113="","",VLOOKUP($A113,'MAAŞ BORDROSU'!$A$4:$V$573,17,FALSE))</f>
        <v/>
      </c>
    </row>
    <row r="114" spans="1:7" x14ac:dyDescent="0.2">
      <c r="A114" s="151" t="str">
        <f>'İşçi Bilgileri'!A113</f>
        <v/>
      </c>
      <c r="B114" s="151" t="str">
        <f>IF($A114="","",VLOOKUP($A114,'İşçi Bilgileri'!$A$2:$D$750,4,FALSE))</f>
        <v/>
      </c>
      <c r="C114" s="151" t="str">
        <f>CONCATENATE(IF($A114="","",VLOOKUP($A114,'İşçi Bilgileri'!$A$2:$D$750,2,FALSE))," ",IF($A114="","",VLOOKUP($A114,'İşçi Bilgileri'!$A$2:$D$750,3,FALSE)))</f>
        <v xml:space="preserve"> </v>
      </c>
      <c r="D114" s="350">
        <v>35527490</v>
      </c>
      <c r="E114" s="350" t="s">
        <v>177</v>
      </c>
      <c r="F114" s="154" t="str">
        <f>IF($A114="","",VLOOKUP($A114,'İşçi Bilgileri'!$A$2:$F$750,6,FALSE))</f>
        <v/>
      </c>
      <c r="G114" s="152" t="str">
        <f>IF($A114="","",VLOOKUP($A114,'MAAŞ BORDROSU'!$A$4:$V$573,17,FALSE))</f>
        <v/>
      </c>
    </row>
    <row r="115" spans="1:7" x14ac:dyDescent="0.2">
      <c r="A115" s="151" t="str">
        <f>'İşçi Bilgileri'!A114</f>
        <v/>
      </c>
      <c r="B115" s="151" t="str">
        <f>IF($A115="","",VLOOKUP($A115,'İşçi Bilgileri'!$A$2:$D$750,4,FALSE))</f>
        <v/>
      </c>
      <c r="C115" s="151" t="str">
        <f>CONCATENATE(IF($A115="","",VLOOKUP($A115,'İşçi Bilgileri'!$A$2:$D$750,2,FALSE))," ",IF($A115="","",VLOOKUP($A115,'İşçi Bilgileri'!$A$2:$D$750,3,FALSE)))</f>
        <v xml:space="preserve"> </v>
      </c>
      <c r="D115" s="350">
        <v>35527490</v>
      </c>
      <c r="E115" s="350" t="s">
        <v>177</v>
      </c>
      <c r="F115" s="154" t="str">
        <f>IF($A115="","",VLOOKUP($A115,'İşçi Bilgileri'!$A$2:$F$750,6,FALSE))</f>
        <v/>
      </c>
      <c r="G115" s="152" t="str">
        <f>IF($A115="","",VLOOKUP($A115,'MAAŞ BORDROSU'!$A$4:$V$573,17,FALSE))</f>
        <v/>
      </c>
    </row>
    <row r="116" spans="1:7" x14ac:dyDescent="0.2">
      <c r="A116" s="151" t="str">
        <f>'İşçi Bilgileri'!A115</f>
        <v/>
      </c>
      <c r="B116" s="151" t="str">
        <f>IF($A116="","",VLOOKUP($A116,'İşçi Bilgileri'!$A$2:$D$750,4,FALSE))</f>
        <v/>
      </c>
      <c r="C116" s="151" t="str">
        <f>CONCATENATE(IF($A116="","",VLOOKUP($A116,'İşçi Bilgileri'!$A$2:$D$750,2,FALSE))," ",IF($A116="","",VLOOKUP($A116,'İşçi Bilgileri'!$A$2:$D$750,3,FALSE)))</f>
        <v xml:space="preserve"> </v>
      </c>
      <c r="D116" s="350">
        <v>35527490</v>
      </c>
      <c r="E116" s="350" t="s">
        <v>177</v>
      </c>
      <c r="F116" s="154" t="str">
        <f>IF($A116="","",VLOOKUP($A116,'İşçi Bilgileri'!$A$2:$F$750,6,FALSE))</f>
        <v/>
      </c>
      <c r="G116" s="152" t="str">
        <f>IF($A116="","",VLOOKUP($A116,'MAAŞ BORDROSU'!$A$4:$V$573,17,FALSE))</f>
        <v/>
      </c>
    </row>
    <row r="117" spans="1:7" x14ac:dyDescent="0.2">
      <c r="A117" s="151" t="str">
        <f>'İşçi Bilgileri'!A116</f>
        <v/>
      </c>
      <c r="B117" s="151" t="str">
        <f>IF($A117="","",VLOOKUP($A117,'İşçi Bilgileri'!$A$2:$D$750,4,FALSE))</f>
        <v/>
      </c>
      <c r="C117" s="151" t="str">
        <f>CONCATENATE(IF($A117="","",VLOOKUP($A117,'İşçi Bilgileri'!$A$2:$D$750,2,FALSE))," ",IF($A117="","",VLOOKUP($A117,'İşçi Bilgileri'!$A$2:$D$750,3,FALSE)))</f>
        <v xml:space="preserve"> </v>
      </c>
      <c r="D117" s="350">
        <v>35527490</v>
      </c>
      <c r="E117" s="350" t="s">
        <v>177</v>
      </c>
      <c r="F117" s="154" t="str">
        <f>IF($A117="","",VLOOKUP($A117,'İşçi Bilgileri'!$A$2:$F$750,6,FALSE))</f>
        <v/>
      </c>
      <c r="G117" s="152" t="str">
        <f>IF($A117="","",VLOOKUP($A117,'MAAŞ BORDROSU'!$A$4:$V$573,17,FALSE))</f>
        <v/>
      </c>
    </row>
    <row r="118" spans="1:7" x14ac:dyDescent="0.2">
      <c r="A118" s="151" t="str">
        <f>'İşçi Bilgileri'!A117</f>
        <v/>
      </c>
      <c r="B118" s="151" t="str">
        <f>IF($A118="","",VLOOKUP($A118,'İşçi Bilgileri'!$A$2:$D$750,4,FALSE))</f>
        <v/>
      </c>
      <c r="C118" s="151" t="str">
        <f>CONCATENATE(IF($A118="","",VLOOKUP($A118,'İşçi Bilgileri'!$A$2:$D$750,2,FALSE))," ",IF($A118="","",VLOOKUP($A118,'İşçi Bilgileri'!$A$2:$D$750,3,FALSE)))</f>
        <v xml:space="preserve"> </v>
      </c>
      <c r="D118" s="350">
        <v>35527490</v>
      </c>
      <c r="E118" s="350" t="s">
        <v>177</v>
      </c>
      <c r="F118" s="154" t="str">
        <f>IF($A118="","",VLOOKUP($A118,'İşçi Bilgileri'!$A$2:$F$750,6,FALSE))</f>
        <v/>
      </c>
      <c r="G118" s="152" t="str">
        <f>IF($A118="","",VLOOKUP($A118,'MAAŞ BORDROSU'!$A$4:$V$573,17,FALSE))</f>
        <v/>
      </c>
    </row>
    <row r="119" spans="1:7" x14ac:dyDescent="0.2">
      <c r="A119" s="151" t="str">
        <f>'İşçi Bilgileri'!A118</f>
        <v/>
      </c>
      <c r="B119" s="151" t="str">
        <f>IF($A119="","",VLOOKUP($A119,'İşçi Bilgileri'!$A$2:$D$750,4,FALSE))</f>
        <v/>
      </c>
      <c r="C119" s="151" t="str">
        <f>CONCATENATE(IF($A119="","",VLOOKUP($A119,'İşçi Bilgileri'!$A$2:$D$750,2,FALSE))," ",IF($A119="","",VLOOKUP($A119,'İşçi Bilgileri'!$A$2:$D$750,3,FALSE)))</f>
        <v xml:space="preserve"> </v>
      </c>
      <c r="D119" s="350">
        <v>35527490</v>
      </c>
      <c r="E119" s="350" t="s">
        <v>177</v>
      </c>
      <c r="F119" s="154" t="str">
        <f>IF($A119="","",VLOOKUP($A119,'İşçi Bilgileri'!$A$2:$F$750,6,FALSE))</f>
        <v/>
      </c>
      <c r="G119" s="152" t="str">
        <f>IF($A119="","",VLOOKUP($A119,'MAAŞ BORDROSU'!$A$4:$V$573,17,FALSE))</f>
        <v/>
      </c>
    </row>
    <row r="120" spans="1:7" x14ac:dyDescent="0.2">
      <c r="A120" s="151" t="str">
        <f>'İşçi Bilgileri'!A119</f>
        <v/>
      </c>
      <c r="B120" s="151" t="str">
        <f>IF($A120="","",VLOOKUP($A120,'İşçi Bilgileri'!$A$2:$D$750,4,FALSE))</f>
        <v/>
      </c>
      <c r="C120" s="151" t="str">
        <f>CONCATENATE(IF($A120="","",VLOOKUP($A120,'İşçi Bilgileri'!$A$2:$D$750,2,FALSE))," ",IF($A120="","",VLOOKUP($A120,'İşçi Bilgileri'!$A$2:$D$750,3,FALSE)))</f>
        <v xml:space="preserve"> </v>
      </c>
      <c r="D120" s="350">
        <v>35527490</v>
      </c>
      <c r="E120" s="350" t="s">
        <v>177</v>
      </c>
      <c r="F120" s="154" t="str">
        <f>IF($A120="","",VLOOKUP($A120,'İşçi Bilgileri'!$A$2:$F$750,6,FALSE))</f>
        <v/>
      </c>
      <c r="G120" s="152" t="str">
        <f>IF($A120="","",VLOOKUP($A120,'MAAŞ BORDROSU'!$A$4:$V$573,17,FALSE))</f>
        <v/>
      </c>
    </row>
    <row r="121" spans="1:7" x14ac:dyDescent="0.2">
      <c r="A121" s="151" t="str">
        <f>'İşçi Bilgileri'!A120</f>
        <v/>
      </c>
      <c r="B121" s="151" t="str">
        <f>IF($A121="","",VLOOKUP($A121,'İşçi Bilgileri'!$A$2:$D$750,4,FALSE))</f>
        <v/>
      </c>
      <c r="C121" s="151" t="str">
        <f>CONCATENATE(IF($A121="","",VLOOKUP($A121,'İşçi Bilgileri'!$A$2:$D$750,2,FALSE))," ",IF($A121="","",VLOOKUP($A121,'İşçi Bilgileri'!$A$2:$D$750,3,FALSE)))</f>
        <v xml:space="preserve"> </v>
      </c>
      <c r="D121" s="350">
        <v>35527490</v>
      </c>
      <c r="E121" s="350" t="s">
        <v>177</v>
      </c>
      <c r="F121" s="154" t="str">
        <f>IF($A121="","",VLOOKUP($A121,'İşçi Bilgileri'!$A$2:$F$750,6,FALSE))</f>
        <v/>
      </c>
      <c r="G121" s="152" t="str">
        <f>IF($A121="","",VLOOKUP($A121,'MAAŞ BORDROSU'!$A$4:$V$573,17,FALSE))</f>
        <v/>
      </c>
    </row>
    <row r="122" spans="1:7" x14ac:dyDescent="0.2">
      <c r="A122" s="151" t="str">
        <f>'İşçi Bilgileri'!A121</f>
        <v/>
      </c>
      <c r="B122" s="151" t="str">
        <f>IF($A122="","",VLOOKUP($A122,'İşçi Bilgileri'!$A$2:$D$750,4,FALSE))</f>
        <v/>
      </c>
      <c r="C122" s="151" t="str">
        <f>CONCATENATE(IF($A122="","",VLOOKUP($A122,'İşçi Bilgileri'!$A$2:$D$750,2,FALSE))," ",IF($A122="","",VLOOKUP($A122,'İşçi Bilgileri'!$A$2:$D$750,3,FALSE)))</f>
        <v xml:space="preserve"> </v>
      </c>
      <c r="D122" s="350">
        <v>35527490</v>
      </c>
      <c r="E122" s="350" t="s">
        <v>177</v>
      </c>
      <c r="F122" s="154" t="str">
        <f>IF($A122="","",VLOOKUP($A122,'İşçi Bilgileri'!$A$2:$F$750,6,FALSE))</f>
        <v/>
      </c>
      <c r="G122" s="152" t="str">
        <f>IF($A122="","",VLOOKUP($A122,'MAAŞ BORDROSU'!$A$4:$V$573,17,FALSE))</f>
        <v/>
      </c>
    </row>
    <row r="123" spans="1:7" x14ac:dyDescent="0.2">
      <c r="A123" s="151" t="str">
        <f>'İşçi Bilgileri'!A122</f>
        <v/>
      </c>
      <c r="B123" s="151" t="str">
        <f>IF($A123="","",VLOOKUP($A123,'İşçi Bilgileri'!$A$2:$D$750,4,FALSE))</f>
        <v/>
      </c>
      <c r="C123" s="151" t="str">
        <f>CONCATENATE(IF($A123="","",VLOOKUP($A123,'İşçi Bilgileri'!$A$2:$D$750,2,FALSE))," ",IF($A123="","",VLOOKUP($A123,'İşçi Bilgileri'!$A$2:$D$750,3,FALSE)))</f>
        <v xml:space="preserve"> </v>
      </c>
      <c r="D123" s="350">
        <v>35527490</v>
      </c>
      <c r="E123" s="350" t="s">
        <v>177</v>
      </c>
      <c r="F123" s="154" t="str">
        <f>IF($A123="","",VLOOKUP($A123,'İşçi Bilgileri'!$A$2:$F$750,6,FALSE))</f>
        <v/>
      </c>
      <c r="G123" s="152" t="str">
        <f>IF($A123="","",VLOOKUP($A123,'MAAŞ BORDROSU'!$A$4:$V$573,17,FALSE))</f>
        <v/>
      </c>
    </row>
    <row r="124" spans="1:7" x14ac:dyDescent="0.2">
      <c r="A124" s="151" t="str">
        <f>'İşçi Bilgileri'!A123</f>
        <v/>
      </c>
      <c r="B124" s="151" t="str">
        <f>IF($A124="","",VLOOKUP($A124,'İşçi Bilgileri'!$A$2:$D$750,4,FALSE))</f>
        <v/>
      </c>
      <c r="C124" s="151" t="str">
        <f>CONCATENATE(IF($A124="","",VLOOKUP($A124,'İşçi Bilgileri'!$A$2:$D$750,2,FALSE))," ",IF($A124="","",VLOOKUP($A124,'İşçi Bilgileri'!$A$2:$D$750,3,FALSE)))</f>
        <v xml:space="preserve"> </v>
      </c>
      <c r="D124" s="350">
        <v>35527490</v>
      </c>
      <c r="E124" s="350" t="s">
        <v>177</v>
      </c>
      <c r="F124" s="154" t="str">
        <f>IF($A124="","",VLOOKUP($A124,'İşçi Bilgileri'!$A$2:$F$750,6,FALSE))</f>
        <v/>
      </c>
      <c r="G124" s="152" t="str">
        <f>IF($A124="","",VLOOKUP($A124,'MAAŞ BORDROSU'!$A$4:$V$573,17,FALSE))</f>
        <v/>
      </c>
    </row>
    <row r="125" spans="1:7" x14ac:dyDescent="0.2">
      <c r="A125" s="151" t="str">
        <f>'İşçi Bilgileri'!A124</f>
        <v/>
      </c>
      <c r="B125" s="151" t="str">
        <f>IF($A125="","",VLOOKUP($A125,'İşçi Bilgileri'!$A$2:$D$750,4,FALSE))</f>
        <v/>
      </c>
      <c r="C125" s="151" t="str">
        <f>CONCATENATE(IF($A125="","",VLOOKUP($A125,'İşçi Bilgileri'!$A$2:$D$750,2,FALSE))," ",IF($A125="","",VLOOKUP($A125,'İşçi Bilgileri'!$A$2:$D$750,3,FALSE)))</f>
        <v xml:space="preserve"> </v>
      </c>
      <c r="D125" s="350">
        <v>35527490</v>
      </c>
      <c r="E125" s="350" t="s">
        <v>177</v>
      </c>
      <c r="F125" s="154" t="str">
        <f>IF($A125="","",VLOOKUP($A125,'İşçi Bilgileri'!$A$2:$F$750,6,FALSE))</f>
        <v/>
      </c>
      <c r="G125" s="152" t="str">
        <f>IF($A125="","",VLOOKUP($A125,'MAAŞ BORDROSU'!$A$4:$V$573,17,FALSE))</f>
        <v/>
      </c>
    </row>
    <row r="126" spans="1:7" x14ac:dyDescent="0.2">
      <c r="A126" s="151" t="str">
        <f>'İşçi Bilgileri'!A125</f>
        <v/>
      </c>
      <c r="B126" s="151" t="str">
        <f>IF($A126="","",VLOOKUP($A126,'İşçi Bilgileri'!$A$2:$D$750,4,FALSE))</f>
        <v/>
      </c>
      <c r="C126" s="151" t="str">
        <f>CONCATENATE(IF($A126="","",VLOOKUP($A126,'İşçi Bilgileri'!$A$2:$D$750,2,FALSE))," ",IF($A126="","",VLOOKUP($A126,'İşçi Bilgileri'!$A$2:$D$750,3,FALSE)))</f>
        <v xml:space="preserve"> </v>
      </c>
      <c r="D126" s="350">
        <v>35527490</v>
      </c>
      <c r="E126" s="350" t="s">
        <v>177</v>
      </c>
      <c r="F126" s="154" t="str">
        <f>IF($A126="","",VLOOKUP($A126,'İşçi Bilgileri'!$A$2:$F$750,6,FALSE))</f>
        <v/>
      </c>
      <c r="G126" s="152" t="str">
        <f>IF($A126="","",VLOOKUP($A126,'MAAŞ BORDROSU'!$A$4:$V$573,17,FALSE))</f>
        <v/>
      </c>
    </row>
    <row r="127" spans="1:7" x14ac:dyDescent="0.2">
      <c r="A127" s="151" t="str">
        <f>'İşçi Bilgileri'!A126</f>
        <v/>
      </c>
      <c r="B127" s="151" t="str">
        <f>IF($A127="","",VLOOKUP($A127,'İşçi Bilgileri'!$A$2:$D$750,4,FALSE))</f>
        <v/>
      </c>
      <c r="C127" s="151" t="str">
        <f>CONCATENATE(IF($A127="","",VLOOKUP($A127,'İşçi Bilgileri'!$A$2:$D$750,2,FALSE))," ",IF($A127="","",VLOOKUP($A127,'İşçi Bilgileri'!$A$2:$D$750,3,FALSE)))</f>
        <v xml:space="preserve"> </v>
      </c>
      <c r="D127" s="350">
        <v>35527490</v>
      </c>
      <c r="E127" s="350" t="s">
        <v>177</v>
      </c>
      <c r="F127" s="154" t="str">
        <f>IF($A127="","",VLOOKUP($A127,'İşçi Bilgileri'!$A$2:$F$750,6,FALSE))</f>
        <v/>
      </c>
      <c r="G127" s="152" t="str">
        <f>IF($A127="","",VLOOKUP($A127,'MAAŞ BORDROSU'!$A$4:$V$573,17,FALSE))</f>
        <v/>
      </c>
    </row>
    <row r="128" spans="1:7" x14ac:dyDescent="0.2">
      <c r="A128" s="151" t="str">
        <f>'İşçi Bilgileri'!A127</f>
        <v/>
      </c>
      <c r="B128" s="151" t="str">
        <f>IF($A128="","",VLOOKUP($A128,'İşçi Bilgileri'!$A$2:$D$750,4,FALSE))</f>
        <v/>
      </c>
      <c r="C128" s="151" t="str">
        <f>CONCATENATE(IF($A128="","",VLOOKUP($A128,'İşçi Bilgileri'!$A$2:$D$750,2,FALSE))," ",IF($A128="","",VLOOKUP($A128,'İşçi Bilgileri'!$A$2:$D$750,3,FALSE)))</f>
        <v xml:space="preserve"> </v>
      </c>
      <c r="D128" s="350">
        <v>35527490</v>
      </c>
      <c r="E128" s="350" t="s">
        <v>177</v>
      </c>
      <c r="F128" s="154" t="str">
        <f>IF($A128="","",VLOOKUP($A128,'İşçi Bilgileri'!$A$2:$F$750,6,FALSE))</f>
        <v/>
      </c>
      <c r="G128" s="152" t="str">
        <f>IF($A128="","",VLOOKUP($A128,'MAAŞ BORDROSU'!$A$4:$V$573,17,FALSE))</f>
        <v/>
      </c>
    </row>
    <row r="129" spans="1:7" x14ac:dyDescent="0.2">
      <c r="A129" s="151" t="str">
        <f>'İşçi Bilgileri'!A128</f>
        <v/>
      </c>
      <c r="B129" s="151" t="str">
        <f>IF($A129="","",VLOOKUP($A129,'İşçi Bilgileri'!$A$2:$D$750,4,FALSE))</f>
        <v/>
      </c>
      <c r="C129" s="151" t="str">
        <f>CONCATENATE(IF($A129="","",VLOOKUP($A129,'İşçi Bilgileri'!$A$2:$D$750,2,FALSE))," ",IF($A129="","",VLOOKUP($A129,'İşçi Bilgileri'!$A$2:$D$750,3,FALSE)))</f>
        <v xml:space="preserve"> </v>
      </c>
      <c r="D129" s="350">
        <v>35527490</v>
      </c>
      <c r="E129" s="350" t="s">
        <v>177</v>
      </c>
      <c r="F129" s="154" t="str">
        <f>IF($A129="","",VLOOKUP($A129,'İşçi Bilgileri'!$A$2:$F$750,6,FALSE))</f>
        <v/>
      </c>
      <c r="G129" s="152" t="str">
        <f>IF($A129="","",VLOOKUP($A129,'MAAŞ BORDROSU'!$A$4:$V$573,17,FALSE))</f>
        <v/>
      </c>
    </row>
    <row r="130" spans="1:7" x14ac:dyDescent="0.2">
      <c r="A130" s="151" t="str">
        <f>'İşçi Bilgileri'!A129</f>
        <v/>
      </c>
      <c r="B130" s="151" t="str">
        <f>IF($A130="","",VLOOKUP($A130,'İşçi Bilgileri'!$A$2:$D$750,4,FALSE))</f>
        <v/>
      </c>
      <c r="C130" s="151" t="str">
        <f>CONCATENATE(IF($A130="","",VLOOKUP($A130,'İşçi Bilgileri'!$A$2:$D$750,2,FALSE))," ",IF($A130="","",VLOOKUP($A130,'İşçi Bilgileri'!$A$2:$D$750,3,FALSE)))</f>
        <v xml:space="preserve"> </v>
      </c>
      <c r="D130" s="350">
        <v>35527490</v>
      </c>
      <c r="E130" s="350" t="s">
        <v>177</v>
      </c>
      <c r="F130" s="154" t="str">
        <f>IF($A130="","",VLOOKUP($A130,'İşçi Bilgileri'!$A$2:$F$750,6,FALSE))</f>
        <v/>
      </c>
      <c r="G130" s="152" t="str">
        <f>IF($A130="","",VLOOKUP($A130,'MAAŞ BORDROSU'!$A$4:$V$573,17,FALSE))</f>
        <v/>
      </c>
    </row>
    <row r="131" spans="1:7" x14ac:dyDescent="0.2">
      <c r="A131" s="151" t="str">
        <f>'İşçi Bilgileri'!A130</f>
        <v/>
      </c>
      <c r="B131" s="151" t="str">
        <f>IF($A131="","",VLOOKUP($A131,'İşçi Bilgileri'!$A$2:$D$750,4,FALSE))</f>
        <v/>
      </c>
      <c r="C131" s="151" t="str">
        <f>CONCATENATE(IF($A131="","",VLOOKUP($A131,'İşçi Bilgileri'!$A$2:$D$750,2,FALSE))," ",IF($A131="","",VLOOKUP($A131,'İşçi Bilgileri'!$A$2:$D$750,3,FALSE)))</f>
        <v xml:space="preserve"> </v>
      </c>
      <c r="D131" s="350">
        <v>35527490</v>
      </c>
      <c r="E131" s="350" t="s">
        <v>177</v>
      </c>
      <c r="F131" s="154" t="str">
        <f>IF($A131="","",VLOOKUP($A131,'İşçi Bilgileri'!$A$2:$F$750,6,FALSE))</f>
        <v/>
      </c>
      <c r="G131" s="152" t="str">
        <f>IF($A131="","",VLOOKUP($A131,'MAAŞ BORDROSU'!$A$4:$V$573,17,FALSE))</f>
        <v/>
      </c>
    </row>
    <row r="132" spans="1:7" x14ac:dyDescent="0.2">
      <c r="A132" s="151" t="str">
        <f>'İşçi Bilgileri'!A131</f>
        <v/>
      </c>
      <c r="B132" s="151" t="str">
        <f>IF($A132="","",VLOOKUP($A132,'İşçi Bilgileri'!$A$2:$D$750,4,FALSE))</f>
        <v/>
      </c>
      <c r="C132" s="151" t="str">
        <f>CONCATENATE(IF($A132="","",VLOOKUP($A132,'İşçi Bilgileri'!$A$2:$D$750,2,FALSE))," ",IF($A132="","",VLOOKUP($A132,'İşçi Bilgileri'!$A$2:$D$750,3,FALSE)))</f>
        <v xml:space="preserve"> </v>
      </c>
      <c r="D132" s="350">
        <v>35527490</v>
      </c>
      <c r="E132" s="350" t="s">
        <v>177</v>
      </c>
      <c r="F132" s="154" t="str">
        <f>IF($A132="","",VLOOKUP($A132,'İşçi Bilgileri'!$A$2:$F$750,6,FALSE))</f>
        <v/>
      </c>
      <c r="G132" s="152" t="str">
        <f>IF($A132="","",VLOOKUP($A132,'MAAŞ BORDROSU'!$A$4:$V$573,17,FALSE))</f>
        <v/>
      </c>
    </row>
    <row r="133" spans="1:7" x14ac:dyDescent="0.2">
      <c r="A133" s="151" t="str">
        <f>'İşçi Bilgileri'!A132</f>
        <v/>
      </c>
      <c r="B133" s="151" t="str">
        <f>IF($A133="","",VLOOKUP($A133,'İşçi Bilgileri'!$A$2:$D$750,4,FALSE))</f>
        <v/>
      </c>
      <c r="C133" s="151" t="str">
        <f>CONCATENATE(IF($A133="","",VLOOKUP($A133,'İşçi Bilgileri'!$A$2:$D$750,2,FALSE))," ",IF($A133="","",VLOOKUP($A133,'İşçi Bilgileri'!$A$2:$D$750,3,FALSE)))</f>
        <v xml:space="preserve"> </v>
      </c>
      <c r="D133" s="350">
        <v>35527490</v>
      </c>
      <c r="E133" s="350" t="s">
        <v>177</v>
      </c>
      <c r="F133" s="154" t="str">
        <f>IF($A133="","",VLOOKUP($A133,'İşçi Bilgileri'!$A$2:$F$750,6,FALSE))</f>
        <v/>
      </c>
      <c r="G133" s="152" t="str">
        <f>IF($A133="","",VLOOKUP($A133,'MAAŞ BORDROSU'!$A$4:$V$573,17,FALSE))</f>
        <v/>
      </c>
    </row>
    <row r="134" spans="1:7" x14ac:dyDescent="0.2">
      <c r="A134" s="151" t="str">
        <f>'İşçi Bilgileri'!A133</f>
        <v/>
      </c>
      <c r="B134" s="151" t="str">
        <f>IF($A134="","",VLOOKUP($A134,'İşçi Bilgileri'!$A$2:$D$750,4,FALSE))</f>
        <v/>
      </c>
      <c r="C134" s="151" t="str">
        <f>CONCATENATE(IF($A134="","",VLOOKUP($A134,'İşçi Bilgileri'!$A$2:$D$750,2,FALSE))," ",IF($A134="","",VLOOKUP($A134,'İşçi Bilgileri'!$A$2:$D$750,3,FALSE)))</f>
        <v xml:space="preserve"> </v>
      </c>
      <c r="D134" s="350">
        <v>35527490</v>
      </c>
      <c r="E134" s="350" t="s">
        <v>177</v>
      </c>
      <c r="F134" s="154" t="str">
        <f>IF($A134="","",VLOOKUP($A134,'İşçi Bilgileri'!$A$2:$F$750,6,FALSE))</f>
        <v/>
      </c>
      <c r="G134" s="152" t="str">
        <f>IF($A134="","",VLOOKUP($A134,'MAAŞ BORDROSU'!$A$4:$V$573,17,FALSE))</f>
        <v/>
      </c>
    </row>
    <row r="135" spans="1:7" x14ac:dyDescent="0.2">
      <c r="A135" s="151" t="str">
        <f>'İşçi Bilgileri'!A134</f>
        <v/>
      </c>
      <c r="B135" s="151" t="str">
        <f>IF($A135="","",VLOOKUP($A135,'İşçi Bilgileri'!$A$2:$D$750,4,FALSE))</f>
        <v/>
      </c>
      <c r="C135" s="151" t="str">
        <f>CONCATENATE(IF($A135="","",VLOOKUP($A135,'İşçi Bilgileri'!$A$2:$D$750,2,FALSE))," ",IF($A135="","",VLOOKUP($A135,'İşçi Bilgileri'!$A$2:$D$750,3,FALSE)))</f>
        <v xml:space="preserve"> </v>
      </c>
      <c r="D135" s="350">
        <v>35527490</v>
      </c>
      <c r="E135" s="350" t="s">
        <v>177</v>
      </c>
      <c r="F135" s="154" t="str">
        <f>IF($A135="","",VLOOKUP($A135,'İşçi Bilgileri'!$A$2:$F$750,6,FALSE))</f>
        <v/>
      </c>
      <c r="G135" s="152" t="str">
        <f>IF($A135="","",VLOOKUP($A135,'MAAŞ BORDROSU'!$A$4:$V$573,17,FALSE))</f>
        <v/>
      </c>
    </row>
    <row r="136" spans="1:7" x14ac:dyDescent="0.2">
      <c r="A136" s="151" t="str">
        <f>'İşçi Bilgileri'!A135</f>
        <v/>
      </c>
      <c r="B136" s="151" t="str">
        <f>IF($A136="","",VLOOKUP($A136,'İşçi Bilgileri'!$A$2:$D$750,4,FALSE))</f>
        <v/>
      </c>
      <c r="C136" s="151" t="str">
        <f>CONCATENATE(IF($A136="","",VLOOKUP($A136,'İşçi Bilgileri'!$A$2:$D$750,2,FALSE))," ",IF($A136="","",VLOOKUP($A136,'İşçi Bilgileri'!$A$2:$D$750,3,FALSE)))</f>
        <v xml:space="preserve"> </v>
      </c>
      <c r="D136" s="350">
        <v>35527490</v>
      </c>
      <c r="E136" s="350" t="s">
        <v>177</v>
      </c>
      <c r="F136" s="154" t="str">
        <f>IF($A136="","",VLOOKUP($A136,'İşçi Bilgileri'!$A$2:$F$750,6,FALSE))</f>
        <v/>
      </c>
      <c r="G136" s="152" t="str">
        <f>IF($A136="","",VLOOKUP($A136,'MAAŞ BORDROSU'!$A$4:$V$573,17,FALSE))</f>
        <v/>
      </c>
    </row>
    <row r="137" spans="1:7" x14ac:dyDescent="0.2">
      <c r="A137" s="151" t="str">
        <f>'İşçi Bilgileri'!A136</f>
        <v/>
      </c>
      <c r="B137" s="151" t="str">
        <f>IF($A137="","",VLOOKUP($A137,'İşçi Bilgileri'!$A$2:$D$750,4,FALSE))</f>
        <v/>
      </c>
      <c r="C137" s="151" t="str">
        <f>CONCATENATE(IF($A137="","",VLOOKUP($A137,'İşçi Bilgileri'!$A$2:$D$750,2,FALSE))," ",IF($A137="","",VLOOKUP($A137,'İşçi Bilgileri'!$A$2:$D$750,3,FALSE)))</f>
        <v xml:space="preserve"> </v>
      </c>
      <c r="D137" s="350">
        <v>35527490</v>
      </c>
      <c r="E137" s="350" t="s">
        <v>177</v>
      </c>
      <c r="F137" s="154" t="str">
        <f>IF($A137="","",VLOOKUP($A137,'İşçi Bilgileri'!$A$2:$F$750,6,FALSE))</f>
        <v/>
      </c>
      <c r="G137" s="152" t="str">
        <f>IF($A137="","",VLOOKUP($A137,'MAAŞ BORDROSU'!$A$4:$V$573,17,FALSE))</f>
        <v/>
      </c>
    </row>
    <row r="138" spans="1:7" x14ac:dyDescent="0.2">
      <c r="A138" s="151" t="str">
        <f>'İşçi Bilgileri'!A137</f>
        <v/>
      </c>
      <c r="B138" s="151" t="str">
        <f>IF($A138="","",VLOOKUP($A138,'İşçi Bilgileri'!$A$2:$D$750,4,FALSE))</f>
        <v/>
      </c>
      <c r="C138" s="151" t="str">
        <f>CONCATENATE(IF($A138="","",VLOOKUP($A138,'İşçi Bilgileri'!$A$2:$D$750,2,FALSE))," ",IF($A138="","",VLOOKUP($A138,'İşçi Bilgileri'!$A$2:$D$750,3,FALSE)))</f>
        <v xml:space="preserve"> </v>
      </c>
      <c r="D138" s="350">
        <v>35527490</v>
      </c>
      <c r="E138" s="350" t="s">
        <v>177</v>
      </c>
      <c r="F138" s="154" t="str">
        <f>IF($A138="","",VLOOKUP($A138,'İşçi Bilgileri'!$A$2:$F$750,6,FALSE))</f>
        <v/>
      </c>
      <c r="G138" s="152" t="str">
        <f>IF($A138="","",VLOOKUP($A138,'MAAŞ BORDROSU'!$A$4:$V$573,17,FALSE))</f>
        <v/>
      </c>
    </row>
    <row r="139" spans="1:7" x14ac:dyDescent="0.2">
      <c r="A139" s="151" t="str">
        <f>'İşçi Bilgileri'!A138</f>
        <v/>
      </c>
      <c r="B139" s="151" t="str">
        <f>IF($A139="","",VLOOKUP($A139,'İşçi Bilgileri'!$A$2:$D$750,4,FALSE))</f>
        <v/>
      </c>
      <c r="C139" s="151" t="str">
        <f>CONCATENATE(IF($A139="","",VLOOKUP($A139,'İşçi Bilgileri'!$A$2:$D$750,2,FALSE))," ",IF($A139="","",VLOOKUP($A139,'İşçi Bilgileri'!$A$2:$D$750,3,FALSE)))</f>
        <v xml:space="preserve"> </v>
      </c>
      <c r="D139" s="350">
        <v>35527490</v>
      </c>
      <c r="E139" s="350" t="s">
        <v>177</v>
      </c>
      <c r="F139" s="154" t="str">
        <f>IF($A139="","",VLOOKUP($A139,'İşçi Bilgileri'!$A$2:$F$750,6,FALSE))</f>
        <v/>
      </c>
      <c r="G139" s="152" t="str">
        <f>IF($A139="","",VLOOKUP($A139,'MAAŞ BORDROSU'!$A$4:$V$573,17,FALSE))</f>
        <v/>
      </c>
    </row>
    <row r="140" spans="1:7" x14ac:dyDescent="0.2">
      <c r="A140" s="151" t="str">
        <f>'İşçi Bilgileri'!A139</f>
        <v/>
      </c>
      <c r="B140" s="151" t="str">
        <f>IF($A140="","",VLOOKUP($A140,'İşçi Bilgileri'!$A$2:$D$750,4,FALSE))</f>
        <v/>
      </c>
      <c r="C140" s="151" t="str">
        <f>CONCATENATE(IF($A140="","",VLOOKUP($A140,'İşçi Bilgileri'!$A$2:$D$750,2,FALSE))," ",IF($A140="","",VLOOKUP($A140,'İşçi Bilgileri'!$A$2:$D$750,3,FALSE)))</f>
        <v xml:space="preserve"> </v>
      </c>
      <c r="D140" s="350">
        <v>35527490</v>
      </c>
      <c r="E140" s="350" t="s">
        <v>177</v>
      </c>
      <c r="F140" s="154" t="str">
        <f>IF($A140="","",VLOOKUP($A140,'İşçi Bilgileri'!$A$2:$F$750,6,FALSE))</f>
        <v/>
      </c>
      <c r="G140" s="152" t="str">
        <f>IF($A140="","",VLOOKUP($A140,'MAAŞ BORDROSU'!$A$4:$V$573,17,FALSE))</f>
        <v/>
      </c>
    </row>
    <row r="141" spans="1:7" x14ac:dyDescent="0.2">
      <c r="A141" s="151" t="str">
        <f>'İşçi Bilgileri'!A140</f>
        <v/>
      </c>
      <c r="B141" s="151" t="str">
        <f>IF($A141="","",VLOOKUP($A141,'İşçi Bilgileri'!$A$2:$D$750,4,FALSE))</f>
        <v/>
      </c>
      <c r="C141" s="151" t="str">
        <f>CONCATENATE(IF($A141="","",VLOOKUP($A141,'İşçi Bilgileri'!$A$2:$D$750,2,FALSE))," ",IF($A141="","",VLOOKUP($A141,'İşçi Bilgileri'!$A$2:$D$750,3,FALSE)))</f>
        <v xml:space="preserve"> </v>
      </c>
      <c r="D141" s="350">
        <v>35527490</v>
      </c>
      <c r="E141" s="350" t="s">
        <v>177</v>
      </c>
      <c r="F141" s="154" t="str">
        <f>IF($A141="","",VLOOKUP($A141,'İşçi Bilgileri'!$A$2:$F$750,6,FALSE))</f>
        <v/>
      </c>
      <c r="G141" s="152" t="str">
        <f>IF($A141="","",VLOOKUP($A141,'MAAŞ BORDROSU'!$A$4:$V$573,17,FALSE))</f>
        <v/>
      </c>
    </row>
    <row r="142" spans="1:7" x14ac:dyDescent="0.2">
      <c r="A142" s="151" t="str">
        <f>'İşçi Bilgileri'!A141</f>
        <v/>
      </c>
      <c r="B142" s="151" t="str">
        <f>IF($A142="","",VLOOKUP($A142,'İşçi Bilgileri'!$A$2:$D$750,4,FALSE))</f>
        <v/>
      </c>
      <c r="C142" s="151" t="str">
        <f>CONCATENATE(IF($A142="","",VLOOKUP($A142,'İşçi Bilgileri'!$A$2:$D$750,2,FALSE))," ",IF($A142="","",VLOOKUP($A142,'İşçi Bilgileri'!$A$2:$D$750,3,FALSE)))</f>
        <v xml:space="preserve"> </v>
      </c>
      <c r="D142" s="350">
        <v>35527490</v>
      </c>
      <c r="E142" s="350" t="s">
        <v>177</v>
      </c>
      <c r="F142" s="154" t="str">
        <f>IF($A142="","",VLOOKUP($A142,'İşçi Bilgileri'!$A$2:$F$750,6,FALSE))</f>
        <v/>
      </c>
      <c r="G142" s="152" t="str">
        <f>IF($A142="","",VLOOKUP($A142,'MAAŞ BORDROSU'!$A$4:$V$573,17,FALSE))</f>
        <v/>
      </c>
    </row>
    <row r="143" spans="1:7" x14ac:dyDescent="0.2">
      <c r="A143" s="151" t="str">
        <f>'İşçi Bilgileri'!A142</f>
        <v/>
      </c>
      <c r="B143" s="151" t="str">
        <f>IF($A143="","",VLOOKUP($A143,'İşçi Bilgileri'!$A$2:$D$750,4,FALSE))</f>
        <v/>
      </c>
      <c r="C143" s="151" t="str">
        <f>CONCATENATE(IF($A143="","",VLOOKUP($A143,'İşçi Bilgileri'!$A$2:$D$750,2,FALSE))," ",IF($A143="","",VLOOKUP($A143,'İşçi Bilgileri'!$A$2:$D$750,3,FALSE)))</f>
        <v xml:space="preserve"> </v>
      </c>
      <c r="D143" s="350">
        <v>35527490</v>
      </c>
      <c r="E143" s="350" t="s">
        <v>177</v>
      </c>
      <c r="F143" s="154" t="str">
        <f>IF($A143="","",VLOOKUP($A143,'İşçi Bilgileri'!$A$2:$F$750,6,FALSE))</f>
        <v/>
      </c>
      <c r="G143" s="152" t="str">
        <f>IF($A143="","",VLOOKUP($A143,'MAAŞ BORDROSU'!$A$4:$V$573,17,FALSE))</f>
        <v/>
      </c>
    </row>
    <row r="144" spans="1:7" x14ac:dyDescent="0.2">
      <c r="A144" s="151" t="str">
        <f>'İşçi Bilgileri'!A143</f>
        <v/>
      </c>
      <c r="B144" s="151" t="str">
        <f>IF($A144="","",VLOOKUP($A144,'İşçi Bilgileri'!$A$2:$D$750,4,FALSE))</f>
        <v/>
      </c>
      <c r="C144" s="151" t="str">
        <f>CONCATENATE(IF($A144="","",VLOOKUP($A144,'İşçi Bilgileri'!$A$2:$D$750,2,FALSE))," ",IF($A144="","",VLOOKUP($A144,'İşçi Bilgileri'!$A$2:$D$750,3,FALSE)))</f>
        <v xml:space="preserve"> </v>
      </c>
      <c r="D144" s="350">
        <v>35527490</v>
      </c>
      <c r="E144" s="350" t="s">
        <v>177</v>
      </c>
      <c r="F144" s="154" t="str">
        <f>IF($A144="","",VLOOKUP($A144,'İşçi Bilgileri'!$A$2:$F$750,6,FALSE))</f>
        <v/>
      </c>
      <c r="G144" s="152" t="str">
        <f>IF($A144="","",VLOOKUP($A144,'MAAŞ BORDROSU'!$A$4:$V$573,17,FALSE))</f>
        <v/>
      </c>
    </row>
    <row r="145" spans="1:7" x14ac:dyDescent="0.2">
      <c r="A145" s="151" t="str">
        <f>'İşçi Bilgileri'!A144</f>
        <v/>
      </c>
      <c r="B145" s="151" t="str">
        <f>IF($A145="","",VLOOKUP($A145,'İşçi Bilgileri'!$A$2:$D$750,4,FALSE))</f>
        <v/>
      </c>
      <c r="C145" s="151" t="str">
        <f>CONCATENATE(IF($A145="","",VLOOKUP($A145,'İşçi Bilgileri'!$A$2:$D$750,2,FALSE))," ",IF($A145="","",VLOOKUP($A145,'İşçi Bilgileri'!$A$2:$D$750,3,FALSE)))</f>
        <v xml:space="preserve"> </v>
      </c>
      <c r="D145" s="350">
        <v>35527490</v>
      </c>
      <c r="E145" s="350" t="s">
        <v>177</v>
      </c>
      <c r="F145" s="154" t="str">
        <f>IF($A145="","",VLOOKUP($A145,'İşçi Bilgileri'!$A$2:$F$750,6,FALSE))</f>
        <v/>
      </c>
      <c r="G145" s="152" t="str">
        <f>IF($A145="","",VLOOKUP($A145,'MAAŞ BORDROSU'!$A$4:$V$573,17,FALSE))</f>
        <v/>
      </c>
    </row>
    <row r="146" spans="1:7" x14ac:dyDescent="0.2">
      <c r="A146" s="151" t="str">
        <f>'İşçi Bilgileri'!A145</f>
        <v/>
      </c>
      <c r="B146" s="151" t="str">
        <f>IF($A146="","",VLOOKUP($A146,'İşçi Bilgileri'!$A$2:$D$750,4,FALSE))</f>
        <v/>
      </c>
      <c r="C146" s="151" t="str">
        <f>CONCATENATE(IF($A146="","",VLOOKUP($A146,'İşçi Bilgileri'!$A$2:$D$750,2,FALSE))," ",IF($A146="","",VLOOKUP($A146,'İşçi Bilgileri'!$A$2:$D$750,3,FALSE)))</f>
        <v xml:space="preserve"> </v>
      </c>
      <c r="D146" s="350">
        <v>35527490</v>
      </c>
      <c r="E146" s="350" t="s">
        <v>177</v>
      </c>
      <c r="F146" s="154" t="str">
        <f>IF($A146="","",VLOOKUP($A146,'İşçi Bilgileri'!$A$2:$F$750,6,FALSE))</f>
        <v/>
      </c>
      <c r="G146" s="152" t="str">
        <f>IF($A146="","",VLOOKUP($A146,'MAAŞ BORDROSU'!$A$4:$V$573,17,FALSE))</f>
        <v/>
      </c>
    </row>
    <row r="147" spans="1:7" x14ac:dyDescent="0.2">
      <c r="A147" s="151" t="str">
        <f>'İşçi Bilgileri'!A146</f>
        <v/>
      </c>
      <c r="B147" s="151" t="str">
        <f>IF($A147="","",VLOOKUP($A147,'İşçi Bilgileri'!$A$2:$D$750,4,FALSE))</f>
        <v/>
      </c>
      <c r="C147" s="151" t="str">
        <f>CONCATENATE(IF($A147="","",VLOOKUP($A147,'İşçi Bilgileri'!$A$2:$D$750,2,FALSE))," ",IF($A147="","",VLOOKUP($A147,'İşçi Bilgileri'!$A$2:$D$750,3,FALSE)))</f>
        <v xml:space="preserve"> </v>
      </c>
      <c r="D147" s="350">
        <v>35527490</v>
      </c>
      <c r="E147" s="350" t="s">
        <v>177</v>
      </c>
      <c r="F147" s="154" t="str">
        <f>IF($A147="","",VLOOKUP($A147,'İşçi Bilgileri'!$A$2:$F$750,6,FALSE))</f>
        <v/>
      </c>
      <c r="G147" s="152" t="str">
        <f>IF($A147="","",VLOOKUP($A147,'MAAŞ BORDROSU'!$A$4:$V$573,17,FALSE))</f>
        <v/>
      </c>
    </row>
    <row r="148" spans="1:7" x14ac:dyDescent="0.2">
      <c r="A148" s="151" t="str">
        <f>'İşçi Bilgileri'!A147</f>
        <v/>
      </c>
      <c r="B148" s="151" t="str">
        <f>IF($A148="","",VLOOKUP($A148,'İşçi Bilgileri'!$A$2:$D$750,4,FALSE))</f>
        <v/>
      </c>
      <c r="C148" s="151" t="str">
        <f>CONCATENATE(IF($A148="","",VLOOKUP($A148,'İşçi Bilgileri'!$A$2:$D$750,2,FALSE))," ",IF($A148="","",VLOOKUP($A148,'İşçi Bilgileri'!$A$2:$D$750,3,FALSE)))</f>
        <v xml:space="preserve"> </v>
      </c>
      <c r="D148" s="350">
        <v>35527490</v>
      </c>
      <c r="E148" s="350" t="s">
        <v>177</v>
      </c>
      <c r="F148" s="154" t="str">
        <f>IF($A148="","",VLOOKUP($A148,'İşçi Bilgileri'!$A$2:$F$750,6,FALSE))</f>
        <v/>
      </c>
      <c r="G148" s="152" t="str">
        <f>IF($A148="","",VLOOKUP($A148,'MAAŞ BORDROSU'!$A$4:$V$573,17,FALSE))</f>
        <v/>
      </c>
    </row>
    <row r="149" spans="1:7" x14ac:dyDescent="0.2">
      <c r="A149" s="151" t="str">
        <f>'İşçi Bilgileri'!A148</f>
        <v/>
      </c>
      <c r="B149" s="151" t="str">
        <f>IF($A149="","",VLOOKUP($A149,'İşçi Bilgileri'!$A$2:$D$750,4,FALSE))</f>
        <v/>
      </c>
      <c r="C149" s="151" t="str">
        <f>CONCATENATE(IF($A149="","",VLOOKUP($A149,'İşçi Bilgileri'!$A$2:$D$750,2,FALSE))," ",IF($A149="","",VLOOKUP($A149,'İşçi Bilgileri'!$A$2:$D$750,3,FALSE)))</f>
        <v xml:space="preserve"> </v>
      </c>
      <c r="D149" s="350">
        <v>35527490</v>
      </c>
      <c r="E149" s="350" t="s">
        <v>177</v>
      </c>
      <c r="F149" s="154" t="str">
        <f>IF($A149="","",VLOOKUP($A149,'İşçi Bilgileri'!$A$2:$F$750,6,FALSE))</f>
        <v/>
      </c>
      <c r="G149" s="152" t="str">
        <f>IF($A149="","",VLOOKUP($A149,'MAAŞ BORDROSU'!$A$4:$V$573,17,FALSE))</f>
        <v/>
      </c>
    </row>
    <row r="150" spans="1:7" x14ac:dyDescent="0.2">
      <c r="A150" s="151" t="str">
        <f>'İşçi Bilgileri'!A149</f>
        <v/>
      </c>
      <c r="B150" s="151" t="str">
        <f>IF($A150="","",VLOOKUP($A150,'İşçi Bilgileri'!$A$2:$D$750,4,FALSE))</f>
        <v/>
      </c>
      <c r="C150" s="151" t="str">
        <f>CONCATENATE(IF($A150="","",VLOOKUP($A150,'İşçi Bilgileri'!$A$2:$D$750,2,FALSE))," ",IF($A150="","",VLOOKUP($A150,'İşçi Bilgileri'!$A$2:$D$750,3,FALSE)))</f>
        <v xml:space="preserve"> </v>
      </c>
      <c r="D150" s="350">
        <v>35527490</v>
      </c>
      <c r="E150" s="350" t="s">
        <v>177</v>
      </c>
      <c r="F150" s="154" t="str">
        <f>IF($A150="","",VLOOKUP($A150,'İşçi Bilgileri'!$A$2:$F$750,6,FALSE))</f>
        <v/>
      </c>
      <c r="G150" s="152" t="str">
        <f>IF($A150="","",VLOOKUP($A150,'MAAŞ BORDROSU'!$A$4:$V$573,17,FALSE))</f>
        <v/>
      </c>
    </row>
    <row r="151" spans="1:7" x14ac:dyDescent="0.2">
      <c r="A151" s="151" t="str">
        <f>'İşçi Bilgileri'!A150</f>
        <v/>
      </c>
      <c r="B151" s="151" t="str">
        <f>IF($A151="","",VLOOKUP($A151,'İşçi Bilgileri'!$A$2:$D$750,4,FALSE))</f>
        <v/>
      </c>
      <c r="C151" s="151" t="str">
        <f>CONCATENATE(IF($A151="","",VLOOKUP($A151,'İşçi Bilgileri'!$A$2:$D$750,2,FALSE))," ",IF($A151="","",VLOOKUP($A151,'İşçi Bilgileri'!$A$2:$D$750,3,FALSE)))</f>
        <v xml:space="preserve"> </v>
      </c>
      <c r="D151" s="350">
        <v>35527490</v>
      </c>
      <c r="E151" s="350" t="s">
        <v>177</v>
      </c>
      <c r="F151" s="154" t="str">
        <f>IF($A151="","",VLOOKUP($A151,'İşçi Bilgileri'!$A$2:$F$750,6,FALSE))</f>
        <v/>
      </c>
      <c r="G151" s="152" t="str">
        <f>IF($A151="","",VLOOKUP($A151,'MAAŞ BORDROSU'!$A$4:$V$573,17,FALSE))</f>
        <v/>
      </c>
    </row>
    <row r="152" spans="1:7" x14ac:dyDescent="0.2">
      <c r="A152" s="151" t="str">
        <f>'İşçi Bilgileri'!A151</f>
        <v/>
      </c>
      <c r="B152" s="151" t="str">
        <f>IF($A152="","",VLOOKUP($A152,'İşçi Bilgileri'!$A$2:$D$750,4,FALSE))</f>
        <v/>
      </c>
      <c r="C152" s="151" t="str">
        <f>CONCATENATE(IF($A152="","",VLOOKUP($A152,'İşçi Bilgileri'!$A$2:$D$750,2,FALSE))," ",IF($A152="","",VLOOKUP($A152,'İşçi Bilgileri'!$A$2:$D$750,3,FALSE)))</f>
        <v xml:space="preserve"> </v>
      </c>
      <c r="D152" s="350">
        <v>35527490</v>
      </c>
      <c r="E152" s="350" t="s">
        <v>177</v>
      </c>
      <c r="F152" s="154" t="str">
        <f>IF($A152="","",VLOOKUP($A152,'İşçi Bilgileri'!$A$2:$F$750,6,FALSE))</f>
        <v/>
      </c>
      <c r="G152" s="152" t="str">
        <f>IF($A152="","",VLOOKUP($A152,'MAAŞ BORDROSU'!$A$4:$V$573,17,FALSE))</f>
        <v/>
      </c>
    </row>
    <row r="153" spans="1:7" x14ac:dyDescent="0.2">
      <c r="A153" s="151" t="str">
        <f>'İşçi Bilgileri'!A152</f>
        <v/>
      </c>
      <c r="B153" s="151" t="str">
        <f>IF($A153="","",VLOOKUP($A153,'İşçi Bilgileri'!$A$2:$D$750,4,FALSE))</f>
        <v/>
      </c>
      <c r="C153" s="151" t="str">
        <f>CONCATENATE(IF($A153="","",VLOOKUP($A153,'İşçi Bilgileri'!$A$2:$D$750,2,FALSE))," ",IF($A153="","",VLOOKUP($A153,'İşçi Bilgileri'!$A$2:$D$750,3,FALSE)))</f>
        <v xml:space="preserve"> </v>
      </c>
      <c r="D153" s="350">
        <v>35527490</v>
      </c>
      <c r="E153" s="350" t="s">
        <v>177</v>
      </c>
      <c r="F153" s="154" t="str">
        <f>IF($A153="","",VLOOKUP($A153,'İşçi Bilgileri'!$A$2:$F$750,6,FALSE))</f>
        <v/>
      </c>
      <c r="G153" s="152" t="str">
        <f>IF($A153="","",VLOOKUP($A153,'MAAŞ BORDROSU'!$A$4:$V$573,17,FALSE))</f>
        <v/>
      </c>
    </row>
    <row r="154" spans="1:7" x14ac:dyDescent="0.2">
      <c r="A154" s="151" t="str">
        <f>'İşçi Bilgileri'!A153</f>
        <v/>
      </c>
      <c r="B154" s="151" t="str">
        <f>IF($A154="","",VLOOKUP($A154,'İşçi Bilgileri'!$A$2:$D$750,4,FALSE))</f>
        <v/>
      </c>
      <c r="C154" s="151" t="str">
        <f>CONCATENATE(IF($A154="","",VLOOKUP($A154,'İşçi Bilgileri'!$A$2:$D$750,2,FALSE))," ",IF($A154="","",VLOOKUP($A154,'İşçi Bilgileri'!$A$2:$D$750,3,FALSE)))</f>
        <v xml:space="preserve"> </v>
      </c>
      <c r="D154" s="350">
        <v>35527490</v>
      </c>
      <c r="E154" s="350" t="s">
        <v>177</v>
      </c>
      <c r="F154" s="154" t="str">
        <f>IF($A154="","",VLOOKUP($A154,'İşçi Bilgileri'!$A$2:$F$750,6,FALSE))</f>
        <v/>
      </c>
      <c r="G154" s="152" t="str">
        <f>IF($A154="","",VLOOKUP($A154,'MAAŞ BORDROSU'!$A$4:$V$573,17,FALSE))</f>
        <v/>
      </c>
    </row>
    <row r="155" spans="1:7" x14ac:dyDescent="0.2">
      <c r="A155" s="151" t="str">
        <f>'İşçi Bilgileri'!A154</f>
        <v/>
      </c>
      <c r="B155" s="151" t="str">
        <f>IF($A155="","",VLOOKUP($A155,'İşçi Bilgileri'!$A$2:$D$750,4,FALSE))</f>
        <v/>
      </c>
      <c r="C155" s="151" t="str">
        <f>CONCATENATE(IF($A155="","",VLOOKUP($A155,'İşçi Bilgileri'!$A$2:$D$750,2,FALSE))," ",IF($A155="","",VLOOKUP($A155,'İşçi Bilgileri'!$A$2:$D$750,3,FALSE)))</f>
        <v xml:space="preserve"> </v>
      </c>
      <c r="D155" s="350">
        <v>35527490</v>
      </c>
      <c r="E155" s="350" t="s">
        <v>177</v>
      </c>
      <c r="F155" s="154" t="str">
        <f>IF($A155="","",VLOOKUP($A155,'İşçi Bilgileri'!$A$2:$F$750,6,FALSE))</f>
        <v/>
      </c>
      <c r="G155" s="152" t="str">
        <f>IF($A155="","",VLOOKUP($A155,'MAAŞ BORDROSU'!$A$4:$V$573,17,FALSE))</f>
        <v/>
      </c>
    </row>
    <row r="156" spans="1:7" x14ac:dyDescent="0.2">
      <c r="A156" s="151" t="str">
        <f>'İşçi Bilgileri'!A155</f>
        <v/>
      </c>
      <c r="B156" s="151" t="str">
        <f>IF($A156="","",VLOOKUP($A156,'İşçi Bilgileri'!$A$2:$D$750,4,FALSE))</f>
        <v/>
      </c>
      <c r="C156" s="151" t="str">
        <f>CONCATENATE(IF($A156="","",VLOOKUP($A156,'İşçi Bilgileri'!$A$2:$D$750,2,FALSE))," ",IF($A156="","",VLOOKUP($A156,'İşçi Bilgileri'!$A$2:$D$750,3,FALSE)))</f>
        <v xml:space="preserve"> </v>
      </c>
      <c r="D156" s="350">
        <v>35527490</v>
      </c>
      <c r="E156" s="350" t="s">
        <v>177</v>
      </c>
      <c r="F156" s="154" t="str">
        <f>IF($A156="","",VLOOKUP($A156,'İşçi Bilgileri'!$A$2:$F$750,6,FALSE))</f>
        <v/>
      </c>
      <c r="G156" s="152" t="str">
        <f>IF($A156="","",VLOOKUP($A156,'MAAŞ BORDROSU'!$A$4:$V$573,17,FALSE))</f>
        <v/>
      </c>
    </row>
    <row r="157" spans="1:7" x14ac:dyDescent="0.2">
      <c r="A157" s="151" t="str">
        <f>'İşçi Bilgileri'!A156</f>
        <v/>
      </c>
      <c r="B157" s="151" t="str">
        <f>IF($A157="","",VLOOKUP($A157,'İşçi Bilgileri'!$A$2:$D$750,4,FALSE))</f>
        <v/>
      </c>
      <c r="C157" s="151" t="str">
        <f>CONCATENATE(IF($A157="","",VLOOKUP($A157,'İşçi Bilgileri'!$A$2:$D$750,2,FALSE))," ",IF($A157="","",VLOOKUP($A157,'İşçi Bilgileri'!$A$2:$D$750,3,FALSE)))</f>
        <v xml:space="preserve"> </v>
      </c>
      <c r="D157" s="350">
        <v>35527490</v>
      </c>
      <c r="E157" s="350" t="s">
        <v>177</v>
      </c>
      <c r="F157" s="154" t="str">
        <f>IF($A157="","",VLOOKUP($A157,'İşçi Bilgileri'!$A$2:$F$750,6,FALSE))</f>
        <v/>
      </c>
      <c r="G157" s="152" t="str">
        <f>IF($A157="","",VLOOKUP($A157,'MAAŞ BORDROSU'!$A$4:$V$573,17,FALSE))</f>
        <v/>
      </c>
    </row>
    <row r="158" spans="1:7" x14ac:dyDescent="0.2">
      <c r="A158" s="151" t="str">
        <f>'İşçi Bilgileri'!A157</f>
        <v/>
      </c>
      <c r="B158" s="151" t="str">
        <f>IF($A158="","",VLOOKUP($A158,'İşçi Bilgileri'!$A$2:$D$750,4,FALSE))</f>
        <v/>
      </c>
      <c r="C158" s="151" t="str">
        <f>CONCATENATE(IF($A158="","",VLOOKUP($A158,'İşçi Bilgileri'!$A$2:$D$750,2,FALSE))," ",IF($A158="","",VLOOKUP($A158,'İşçi Bilgileri'!$A$2:$D$750,3,FALSE)))</f>
        <v xml:space="preserve"> </v>
      </c>
      <c r="D158" s="350">
        <v>35527490</v>
      </c>
      <c r="E158" s="350" t="s">
        <v>177</v>
      </c>
      <c r="F158" s="154" t="str">
        <f>IF($A158="","",VLOOKUP($A158,'İşçi Bilgileri'!$A$2:$F$750,6,FALSE))</f>
        <v/>
      </c>
      <c r="G158" s="152" t="str">
        <f>IF($A158="","",VLOOKUP($A158,'MAAŞ BORDROSU'!$A$4:$V$573,17,FALSE))</f>
        <v/>
      </c>
    </row>
    <row r="159" spans="1:7" x14ac:dyDescent="0.2">
      <c r="A159" s="151" t="str">
        <f>'İşçi Bilgileri'!A158</f>
        <v/>
      </c>
      <c r="B159" s="151" t="str">
        <f>IF($A159="","",VLOOKUP($A159,'İşçi Bilgileri'!$A$2:$D$750,4,FALSE))</f>
        <v/>
      </c>
      <c r="C159" s="151" t="str">
        <f>CONCATENATE(IF($A159="","",VLOOKUP($A159,'İşçi Bilgileri'!$A$2:$D$750,2,FALSE))," ",IF($A159="","",VLOOKUP($A159,'İşçi Bilgileri'!$A$2:$D$750,3,FALSE)))</f>
        <v xml:space="preserve"> </v>
      </c>
      <c r="D159" s="350">
        <v>35527490</v>
      </c>
      <c r="E159" s="350" t="s">
        <v>177</v>
      </c>
      <c r="F159" s="154" t="str">
        <f>IF($A159="","",VLOOKUP($A159,'İşçi Bilgileri'!$A$2:$F$750,6,FALSE))</f>
        <v/>
      </c>
      <c r="G159" s="152" t="str">
        <f>IF($A159="","",VLOOKUP($A159,'MAAŞ BORDROSU'!$A$4:$V$573,17,FALSE))</f>
        <v/>
      </c>
    </row>
    <row r="160" spans="1:7" x14ac:dyDescent="0.2">
      <c r="A160" s="151" t="str">
        <f>'İşçi Bilgileri'!A159</f>
        <v/>
      </c>
      <c r="B160" s="151" t="str">
        <f>IF($A160="","",VLOOKUP($A160,'İşçi Bilgileri'!$A$2:$D$750,4,FALSE))</f>
        <v/>
      </c>
      <c r="C160" s="151" t="str">
        <f>CONCATENATE(IF($A160="","",VLOOKUP($A160,'İşçi Bilgileri'!$A$2:$D$750,2,FALSE))," ",IF($A160="","",VLOOKUP($A160,'İşçi Bilgileri'!$A$2:$D$750,3,FALSE)))</f>
        <v xml:space="preserve"> </v>
      </c>
      <c r="D160" s="350">
        <v>35527490</v>
      </c>
      <c r="E160" s="350" t="s">
        <v>177</v>
      </c>
      <c r="F160" s="154" t="str">
        <f>IF($A160="","",VLOOKUP($A160,'İşçi Bilgileri'!$A$2:$F$750,6,FALSE))</f>
        <v/>
      </c>
      <c r="G160" s="152" t="str">
        <f>IF($A160="","",VLOOKUP($A160,'MAAŞ BORDROSU'!$A$4:$V$573,17,FALSE))</f>
        <v/>
      </c>
    </row>
    <row r="161" spans="1:7" x14ac:dyDescent="0.2">
      <c r="A161" s="151" t="str">
        <f>'İşçi Bilgileri'!A160</f>
        <v/>
      </c>
      <c r="B161" s="151" t="str">
        <f>IF($A161="","",VLOOKUP($A161,'İşçi Bilgileri'!$A$2:$D$750,4,FALSE))</f>
        <v/>
      </c>
      <c r="C161" s="151" t="str">
        <f>CONCATENATE(IF($A161="","",VLOOKUP($A161,'İşçi Bilgileri'!$A$2:$D$750,2,FALSE))," ",IF($A161="","",VLOOKUP($A161,'İşçi Bilgileri'!$A$2:$D$750,3,FALSE)))</f>
        <v xml:space="preserve"> </v>
      </c>
      <c r="D161" s="350">
        <v>35527490</v>
      </c>
      <c r="E161" s="350" t="s">
        <v>177</v>
      </c>
      <c r="F161" s="154" t="str">
        <f>IF($A161="","",VLOOKUP($A161,'İşçi Bilgileri'!$A$2:$F$750,6,FALSE))</f>
        <v/>
      </c>
      <c r="G161" s="152" t="str">
        <f>IF($A161="","",VLOOKUP($A161,'MAAŞ BORDROSU'!$A$4:$V$573,17,FALSE))</f>
        <v/>
      </c>
    </row>
    <row r="162" spans="1:7" x14ac:dyDescent="0.2">
      <c r="A162" s="151" t="str">
        <f>'İşçi Bilgileri'!A161</f>
        <v/>
      </c>
      <c r="B162" s="151" t="str">
        <f>IF($A162="","",VLOOKUP($A162,'İşçi Bilgileri'!$A$2:$D$750,4,FALSE))</f>
        <v/>
      </c>
      <c r="C162" s="151" t="str">
        <f>CONCATENATE(IF($A162="","",VLOOKUP($A162,'İşçi Bilgileri'!$A$2:$D$750,2,FALSE))," ",IF($A162="","",VLOOKUP($A162,'İşçi Bilgileri'!$A$2:$D$750,3,FALSE)))</f>
        <v xml:space="preserve"> </v>
      </c>
      <c r="D162" s="350">
        <v>35527490</v>
      </c>
      <c r="E162" s="350" t="s">
        <v>177</v>
      </c>
      <c r="F162" s="154" t="str">
        <f>IF($A162="","",VLOOKUP($A162,'İşçi Bilgileri'!$A$2:$F$750,6,FALSE))</f>
        <v/>
      </c>
      <c r="G162" s="152" t="str">
        <f>IF($A162="","",VLOOKUP($A162,'MAAŞ BORDROSU'!$A$4:$V$573,17,FALSE))</f>
        <v/>
      </c>
    </row>
    <row r="163" spans="1:7" x14ac:dyDescent="0.2">
      <c r="A163" s="151" t="str">
        <f>'İşçi Bilgileri'!A162</f>
        <v/>
      </c>
      <c r="B163" s="151" t="str">
        <f>IF($A163="","",VLOOKUP($A163,'İşçi Bilgileri'!$A$2:$D$750,4,FALSE))</f>
        <v/>
      </c>
      <c r="C163" s="151" t="str">
        <f>CONCATENATE(IF($A163="","",VLOOKUP($A163,'İşçi Bilgileri'!$A$2:$D$750,2,FALSE))," ",IF($A163="","",VLOOKUP($A163,'İşçi Bilgileri'!$A$2:$D$750,3,FALSE)))</f>
        <v xml:space="preserve"> </v>
      </c>
      <c r="D163" s="350">
        <v>35527490</v>
      </c>
      <c r="E163" s="350" t="s">
        <v>177</v>
      </c>
      <c r="F163" s="154" t="str">
        <f>IF($A163="","",VLOOKUP($A163,'İşçi Bilgileri'!$A$2:$F$750,6,FALSE))</f>
        <v/>
      </c>
      <c r="G163" s="152" t="str">
        <f>IF($A163="","",VLOOKUP($A163,'MAAŞ BORDROSU'!$A$4:$V$573,17,FALSE))</f>
        <v/>
      </c>
    </row>
    <row r="164" spans="1:7" x14ac:dyDescent="0.2">
      <c r="A164" s="151" t="str">
        <f>'İşçi Bilgileri'!A163</f>
        <v/>
      </c>
      <c r="B164" s="151" t="str">
        <f>IF($A164="","",VLOOKUP($A164,'İşçi Bilgileri'!$A$2:$D$750,4,FALSE))</f>
        <v/>
      </c>
      <c r="C164" s="151" t="str">
        <f>CONCATENATE(IF($A164="","",VLOOKUP($A164,'İşçi Bilgileri'!$A$2:$D$750,2,FALSE))," ",IF($A164="","",VLOOKUP($A164,'İşçi Bilgileri'!$A$2:$D$750,3,FALSE)))</f>
        <v xml:space="preserve"> </v>
      </c>
      <c r="D164" s="350">
        <v>35527490</v>
      </c>
      <c r="E164" s="350" t="s">
        <v>177</v>
      </c>
      <c r="F164" s="154" t="str">
        <f>IF($A164="","",VLOOKUP($A164,'İşçi Bilgileri'!$A$2:$F$750,6,FALSE))</f>
        <v/>
      </c>
      <c r="G164" s="152" t="str">
        <f>IF($A164="","",VLOOKUP($A164,'MAAŞ BORDROSU'!$A$4:$V$573,17,FALSE))</f>
        <v/>
      </c>
    </row>
    <row r="165" spans="1:7" x14ac:dyDescent="0.2">
      <c r="A165" s="151" t="str">
        <f>'İşçi Bilgileri'!A164</f>
        <v/>
      </c>
      <c r="B165" s="151" t="str">
        <f>IF($A165="","",VLOOKUP($A165,'İşçi Bilgileri'!$A$2:$D$750,4,FALSE))</f>
        <v/>
      </c>
      <c r="C165" s="151" t="str">
        <f>CONCATENATE(IF($A165="","",VLOOKUP($A165,'İşçi Bilgileri'!$A$2:$D$750,2,FALSE))," ",IF($A165="","",VLOOKUP($A165,'İşçi Bilgileri'!$A$2:$D$750,3,FALSE)))</f>
        <v xml:space="preserve"> </v>
      </c>
      <c r="D165" s="350">
        <v>35527490</v>
      </c>
      <c r="E165" s="350" t="s">
        <v>177</v>
      </c>
      <c r="F165" s="154" t="str">
        <f>IF($A165="","",VLOOKUP($A165,'İşçi Bilgileri'!$A$2:$F$750,6,FALSE))</f>
        <v/>
      </c>
      <c r="G165" s="152" t="str">
        <f>IF($A165="","",VLOOKUP($A165,'MAAŞ BORDROSU'!$A$4:$V$573,17,FALSE))</f>
        <v/>
      </c>
    </row>
    <row r="166" spans="1:7" x14ac:dyDescent="0.2">
      <c r="A166" s="151" t="str">
        <f>'İşçi Bilgileri'!A165</f>
        <v/>
      </c>
      <c r="B166" s="151" t="str">
        <f>IF($A166="","",VLOOKUP($A166,'İşçi Bilgileri'!$A$2:$D$750,4,FALSE))</f>
        <v/>
      </c>
      <c r="C166" s="151" t="str">
        <f>CONCATENATE(IF($A166="","",VLOOKUP($A166,'İşçi Bilgileri'!$A$2:$D$750,2,FALSE))," ",IF($A166="","",VLOOKUP($A166,'İşçi Bilgileri'!$A$2:$D$750,3,FALSE)))</f>
        <v xml:space="preserve"> </v>
      </c>
      <c r="D166" s="350">
        <v>35527490</v>
      </c>
      <c r="E166" s="350" t="s">
        <v>177</v>
      </c>
      <c r="F166" s="154" t="str">
        <f>IF($A166="","",VLOOKUP($A166,'İşçi Bilgileri'!$A$2:$F$750,6,FALSE))</f>
        <v/>
      </c>
      <c r="G166" s="152" t="str">
        <f>IF($A166="","",VLOOKUP($A166,'MAAŞ BORDROSU'!$A$4:$V$573,17,FALSE))</f>
        <v/>
      </c>
    </row>
    <row r="167" spans="1:7" x14ac:dyDescent="0.2">
      <c r="A167" s="151" t="str">
        <f>'İşçi Bilgileri'!A166</f>
        <v/>
      </c>
      <c r="B167" s="151" t="str">
        <f>IF($A167="","",VLOOKUP($A167,'İşçi Bilgileri'!$A$2:$D$750,4,FALSE))</f>
        <v/>
      </c>
      <c r="C167" s="151" t="str">
        <f>CONCATENATE(IF($A167="","",VLOOKUP($A167,'İşçi Bilgileri'!$A$2:$D$750,2,FALSE))," ",IF($A167="","",VLOOKUP($A167,'İşçi Bilgileri'!$A$2:$D$750,3,FALSE)))</f>
        <v xml:space="preserve"> </v>
      </c>
      <c r="D167" s="350">
        <v>35527490</v>
      </c>
      <c r="E167" s="350" t="s">
        <v>177</v>
      </c>
      <c r="F167" s="154" t="str">
        <f>IF($A167="","",VLOOKUP($A167,'İşçi Bilgileri'!$A$2:$F$750,6,FALSE))</f>
        <v/>
      </c>
      <c r="G167" s="152" t="str">
        <f>IF($A167="","",VLOOKUP($A167,'MAAŞ BORDROSU'!$A$4:$V$573,17,FALSE))</f>
        <v/>
      </c>
    </row>
    <row r="168" spans="1:7" x14ac:dyDescent="0.2">
      <c r="A168" s="151" t="str">
        <f>'İşçi Bilgileri'!A167</f>
        <v/>
      </c>
      <c r="B168" s="151" t="str">
        <f>IF($A168="","",VLOOKUP($A168,'İşçi Bilgileri'!$A$2:$D$750,4,FALSE))</f>
        <v/>
      </c>
      <c r="C168" s="151" t="str">
        <f>CONCATENATE(IF($A168="","",VLOOKUP($A168,'İşçi Bilgileri'!$A$2:$D$750,2,FALSE))," ",IF($A168="","",VLOOKUP($A168,'İşçi Bilgileri'!$A$2:$D$750,3,FALSE)))</f>
        <v xml:space="preserve"> </v>
      </c>
      <c r="D168" s="350">
        <v>35527490</v>
      </c>
      <c r="E168" s="350" t="s">
        <v>177</v>
      </c>
      <c r="F168" s="154" t="str">
        <f>IF($A168="","",VLOOKUP($A168,'İşçi Bilgileri'!$A$2:$F$750,6,FALSE))</f>
        <v/>
      </c>
      <c r="G168" s="152" t="str">
        <f>IF($A168="","",VLOOKUP($A168,'MAAŞ BORDROSU'!$A$4:$V$573,17,FALSE))</f>
        <v/>
      </c>
    </row>
    <row r="169" spans="1:7" x14ac:dyDescent="0.2">
      <c r="A169" s="151" t="str">
        <f>'İşçi Bilgileri'!A168</f>
        <v/>
      </c>
      <c r="B169" s="151" t="str">
        <f>IF($A169="","",VLOOKUP($A169,'İşçi Bilgileri'!$A$2:$D$750,4,FALSE))</f>
        <v/>
      </c>
      <c r="C169" s="151" t="str">
        <f>CONCATENATE(IF($A169="","",VLOOKUP($A169,'İşçi Bilgileri'!$A$2:$D$750,2,FALSE))," ",IF($A169="","",VLOOKUP($A169,'İşçi Bilgileri'!$A$2:$D$750,3,FALSE)))</f>
        <v xml:space="preserve"> </v>
      </c>
      <c r="D169" s="350">
        <v>35527490</v>
      </c>
      <c r="E169" s="350" t="s">
        <v>177</v>
      </c>
      <c r="F169" s="154" t="str">
        <f>IF($A169="","",VLOOKUP($A169,'İşçi Bilgileri'!$A$2:$F$750,6,FALSE))</f>
        <v/>
      </c>
      <c r="G169" s="152" t="str">
        <f>IF($A169="","",VLOOKUP($A169,'MAAŞ BORDROSU'!$A$4:$V$573,17,FALSE))</f>
        <v/>
      </c>
    </row>
    <row r="170" spans="1:7" x14ac:dyDescent="0.2">
      <c r="A170" s="151" t="str">
        <f>'İşçi Bilgileri'!A169</f>
        <v/>
      </c>
      <c r="B170" s="151" t="str">
        <f>IF($A170="","",VLOOKUP($A170,'İşçi Bilgileri'!$A$2:$D$750,4,FALSE))</f>
        <v/>
      </c>
      <c r="C170" s="151" t="str">
        <f>CONCATENATE(IF($A170="","",VLOOKUP($A170,'İşçi Bilgileri'!$A$2:$D$750,2,FALSE))," ",IF($A170="","",VLOOKUP($A170,'İşçi Bilgileri'!$A$2:$D$750,3,FALSE)))</f>
        <v xml:space="preserve"> </v>
      </c>
      <c r="D170" s="350">
        <v>35527490</v>
      </c>
      <c r="E170" s="350" t="s">
        <v>177</v>
      </c>
      <c r="F170" s="154" t="str">
        <f>IF($A170="","",VLOOKUP($A170,'İşçi Bilgileri'!$A$2:$F$750,6,FALSE))</f>
        <v/>
      </c>
      <c r="G170" s="152" t="str">
        <f>IF($A170="","",VLOOKUP($A170,'MAAŞ BORDROSU'!$A$4:$V$573,17,FALSE))</f>
        <v/>
      </c>
    </row>
    <row r="171" spans="1:7" x14ac:dyDescent="0.2">
      <c r="A171" s="151" t="str">
        <f>'İşçi Bilgileri'!A170</f>
        <v/>
      </c>
      <c r="B171" s="151" t="str">
        <f>IF($A171="","",VLOOKUP($A171,'İşçi Bilgileri'!$A$2:$D$750,4,FALSE))</f>
        <v/>
      </c>
      <c r="C171" s="151" t="str">
        <f>CONCATENATE(IF($A171="","",VLOOKUP($A171,'İşçi Bilgileri'!$A$2:$D$750,2,FALSE))," ",IF($A171="","",VLOOKUP($A171,'İşçi Bilgileri'!$A$2:$D$750,3,FALSE)))</f>
        <v xml:space="preserve"> </v>
      </c>
      <c r="D171" s="350">
        <v>35527490</v>
      </c>
      <c r="E171" s="350" t="s">
        <v>177</v>
      </c>
      <c r="F171" s="154" t="str">
        <f>IF($A171="","",VLOOKUP($A171,'İşçi Bilgileri'!$A$2:$F$750,6,FALSE))</f>
        <v/>
      </c>
      <c r="G171" s="152" t="str">
        <f>IF($A171="","",VLOOKUP($A171,'MAAŞ BORDROSU'!$A$4:$V$573,17,FALSE))</f>
        <v/>
      </c>
    </row>
    <row r="172" spans="1:7" x14ac:dyDescent="0.2">
      <c r="A172" s="151" t="str">
        <f>'İşçi Bilgileri'!A171</f>
        <v/>
      </c>
      <c r="B172" s="151" t="str">
        <f>IF($A172="","",VLOOKUP($A172,'İşçi Bilgileri'!$A$2:$D$750,4,FALSE))</f>
        <v/>
      </c>
      <c r="C172" s="151" t="str">
        <f>CONCATENATE(IF($A172="","",VLOOKUP($A172,'İşçi Bilgileri'!$A$2:$D$750,2,FALSE))," ",IF($A172="","",VLOOKUP($A172,'İşçi Bilgileri'!$A$2:$D$750,3,FALSE)))</f>
        <v xml:space="preserve"> </v>
      </c>
      <c r="D172" s="350">
        <v>35527490</v>
      </c>
      <c r="E172" s="350" t="s">
        <v>177</v>
      </c>
      <c r="F172" s="154" t="str">
        <f>IF($A172="","",VLOOKUP($A172,'İşçi Bilgileri'!$A$2:$F$750,6,FALSE))</f>
        <v/>
      </c>
      <c r="G172" s="152" t="str">
        <f>IF($A172="","",VLOOKUP($A172,'MAAŞ BORDROSU'!$A$4:$V$573,17,FALSE))</f>
        <v/>
      </c>
    </row>
    <row r="173" spans="1:7" x14ac:dyDescent="0.2">
      <c r="A173" s="151" t="str">
        <f>'İşçi Bilgileri'!A172</f>
        <v/>
      </c>
      <c r="B173" s="151" t="str">
        <f>IF($A173="","",VLOOKUP($A173,'İşçi Bilgileri'!$A$2:$D$750,4,FALSE))</f>
        <v/>
      </c>
      <c r="C173" s="151" t="str">
        <f>CONCATENATE(IF($A173="","",VLOOKUP($A173,'İşçi Bilgileri'!$A$2:$D$750,2,FALSE))," ",IF($A173="","",VLOOKUP($A173,'İşçi Bilgileri'!$A$2:$D$750,3,FALSE)))</f>
        <v xml:space="preserve"> </v>
      </c>
      <c r="D173" s="350">
        <v>35527490</v>
      </c>
      <c r="E173" s="350" t="s">
        <v>177</v>
      </c>
      <c r="F173" s="154" t="str">
        <f>IF($A173="","",VLOOKUP($A173,'İşçi Bilgileri'!$A$2:$F$750,6,FALSE))</f>
        <v/>
      </c>
      <c r="G173" s="152" t="str">
        <f>IF($A173="","",VLOOKUP($A173,'MAAŞ BORDROSU'!$A$4:$V$573,17,FALSE))</f>
        <v/>
      </c>
    </row>
    <row r="174" spans="1:7" x14ac:dyDescent="0.2">
      <c r="A174" s="151" t="str">
        <f>'İşçi Bilgileri'!A173</f>
        <v/>
      </c>
      <c r="B174" s="151" t="str">
        <f>IF($A174="","",VLOOKUP($A174,'İşçi Bilgileri'!$A$2:$D$750,4,FALSE))</f>
        <v/>
      </c>
      <c r="C174" s="151" t="str">
        <f>CONCATENATE(IF($A174="","",VLOOKUP($A174,'İşçi Bilgileri'!$A$2:$D$750,2,FALSE))," ",IF($A174="","",VLOOKUP($A174,'İşçi Bilgileri'!$A$2:$D$750,3,FALSE)))</f>
        <v xml:space="preserve"> </v>
      </c>
      <c r="D174" s="350">
        <v>35527490</v>
      </c>
      <c r="E174" s="350" t="s">
        <v>177</v>
      </c>
      <c r="F174" s="154" t="str">
        <f>IF($A174="","",VLOOKUP($A174,'İşçi Bilgileri'!$A$2:$F$750,6,FALSE))</f>
        <v/>
      </c>
      <c r="G174" s="152" t="str">
        <f>IF($A174="","",VLOOKUP($A174,'MAAŞ BORDROSU'!$A$4:$V$573,17,FALSE))</f>
        <v/>
      </c>
    </row>
    <row r="175" spans="1:7" x14ac:dyDescent="0.2">
      <c r="A175" s="151" t="str">
        <f>'İşçi Bilgileri'!A174</f>
        <v/>
      </c>
      <c r="B175" s="151" t="str">
        <f>IF($A175="","",VLOOKUP($A175,'İşçi Bilgileri'!$A$2:$D$750,4,FALSE))</f>
        <v/>
      </c>
      <c r="C175" s="151" t="str">
        <f>CONCATENATE(IF($A175="","",VLOOKUP($A175,'İşçi Bilgileri'!$A$2:$D$750,2,FALSE))," ",IF($A175="","",VLOOKUP($A175,'İşçi Bilgileri'!$A$2:$D$750,3,FALSE)))</f>
        <v xml:space="preserve"> </v>
      </c>
      <c r="D175" s="350">
        <v>35527490</v>
      </c>
      <c r="E175" s="350" t="s">
        <v>177</v>
      </c>
      <c r="F175" s="154" t="str">
        <f>IF($A175="","",VLOOKUP($A175,'İşçi Bilgileri'!$A$2:$F$750,6,FALSE))</f>
        <v/>
      </c>
      <c r="G175" s="152" t="str">
        <f>IF($A175="","",VLOOKUP($A175,'MAAŞ BORDROSU'!$A$4:$V$573,17,FALSE))</f>
        <v/>
      </c>
    </row>
    <row r="176" spans="1:7" x14ac:dyDescent="0.2">
      <c r="A176" s="151" t="str">
        <f>'İşçi Bilgileri'!A175</f>
        <v/>
      </c>
      <c r="B176" s="151" t="str">
        <f>IF($A176="","",VLOOKUP($A176,'İşçi Bilgileri'!$A$2:$D$750,4,FALSE))</f>
        <v/>
      </c>
      <c r="C176" s="151" t="str">
        <f>CONCATENATE(IF($A176="","",VLOOKUP($A176,'İşçi Bilgileri'!$A$2:$D$750,2,FALSE))," ",IF($A176="","",VLOOKUP($A176,'İşçi Bilgileri'!$A$2:$D$750,3,FALSE)))</f>
        <v xml:space="preserve"> </v>
      </c>
      <c r="D176" s="350">
        <v>35527490</v>
      </c>
      <c r="E176" s="350" t="s">
        <v>177</v>
      </c>
      <c r="F176" s="154" t="str">
        <f>IF($A176="","",VLOOKUP($A176,'İşçi Bilgileri'!$A$2:$F$750,6,FALSE))</f>
        <v/>
      </c>
      <c r="G176" s="152" t="str">
        <f>IF($A176="","",VLOOKUP($A176,'MAAŞ BORDROSU'!$A$4:$V$573,17,FALSE))</f>
        <v/>
      </c>
    </row>
    <row r="177" spans="1:7" x14ac:dyDescent="0.2">
      <c r="A177" s="151" t="str">
        <f>'İşçi Bilgileri'!A176</f>
        <v/>
      </c>
      <c r="B177" s="151" t="str">
        <f>IF($A177="","",VLOOKUP($A177,'İşçi Bilgileri'!$A$2:$D$750,4,FALSE))</f>
        <v/>
      </c>
      <c r="C177" s="151" t="str">
        <f>CONCATENATE(IF($A177="","",VLOOKUP($A177,'İşçi Bilgileri'!$A$2:$D$750,2,FALSE))," ",IF($A177="","",VLOOKUP($A177,'İşçi Bilgileri'!$A$2:$D$750,3,FALSE)))</f>
        <v xml:space="preserve"> </v>
      </c>
      <c r="D177" s="350">
        <v>35527490</v>
      </c>
      <c r="E177" s="350" t="s">
        <v>177</v>
      </c>
      <c r="F177" s="154" t="str">
        <f>IF($A177="","",VLOOKUP($A177,'İşçi Bilgileri'!$A$2:$F$750,6,FALSE))</f>
        <v/>
      </c>
      <c r="G177" s="152" t="str">
        <f>IF($A177="","",VLOOKUP($A177,'MAAŞ BORDROSU'!$A$4:$V$573,17,FALSE))</f>
        <v/>
      </c>
    </row>
    <row r="178" spans="1:7" x14ac:dyDescent="0.2">
      <c r="A178" s="151" t="str">
        <f>'İşçi Bilgileri'!A177</f>
        <v/>
      </c>
      <c r="B178" s="151" t="str">
        <f>IF($A178="","",VLOOKUP($A178,'İşçi Bilgileri'!$A$2:$D$750,4,FALSE))</f>
        <v/>
      </c>
      <c r="C178" s="151" t="str">
        <f>CONCATENATE(IF($A178="","",VLOOKUP($A178,'İşçi Bilgileri'!$A$2:$D$750,2,FALSE))," ",IF($A178="","",VLOOKUP($A178,'İşçi Bilgileri'!$A$2:$D$750,3,FALSE)))</f>
        <v xml:space="preserve"> </v>
      </c>
      <c r="D178" s="350">
        <v>35527490</v>
      </c>
      <c r="E178" s="350" t="s">
        <v>177</v>
      </c>
      <c r="F178" s="154" t="str">
        <f>IF($A178="","",VLOOKUP($A178,'İşçi Bilgileri'!$A$2:$F$750,6,FALSE))</f>
        <v/>
      </c>
      <c r="G178" s="152" t="str">
        <f>IF($A178="","",VLOOKUP($A178,'MAAŞ BORDROSU'!$A$4:$V$573,17,FALSE))</f>
        <v/>
      </c>
    </row>
    <row r="179" spans="1:7" x14ac:dyDescent="0.2">
      <c r="A179" s="151" t="str">
        <f>'İşçi Bilgileri'!A178</f>
        <v/>
      </c>
      <c r="B179" s="151" t="str">
        <f>IF($A179="","",VLOOKUP($A179,'İşçi Bilgileri'!$A$2:$D$750,4,FALSE))</f>
        <v/>
      </c>
      <c r="C179" s="151" t="str">
        <f>CONCATENATE(IF($A179="","",VLOOKUP($A179,'İşçi Bilgileri'!$A$2:$D$750,2,FALSE))," ",IF($A179="","",VLOOKUP($A179,'İşçi Bilgileri'!$A$2:$D$750,3,FALSE)))</f>
        <v xml:space="preserve"> </v>
      </c>
      <c r="D179" s="350">
        <v>35527490</v>
      </c>
      <c r="E179" s="350" t="s">
        <v>177</v>
      </c>
      <c r="F179" s="154" t="str">
        <f>IF($A179="","",VLOOKUP($A179,'İşçi Bilgileri'!$A$2:$F$750,6,FALSE))</f>
        <v/>
      </c>
      <c r="G179" s="152" t="str">
        <f>IF($A179="","",VLOOKUP($A179,'MAAŞ BORDROSU'!$A$4:$V$573,17,FALSE))</f>
        <v/>
      </c>
    </row>
    <row r="180" spans="1:7" x14ac:dyDescent="0.2">
      <c r="A180" s="151" t="str">
        <f>'İşçi Bilgileri'!A179</f>
        <v/>
      </c>
      <c r="B180" s="151" t="str">
        <f>IF($A180="","",VLOOKUP($A180,'İşçi Bilgileri'!$A$2:$D$750,4,FALSE))</f>
        <v/>
      </c>
      <c r="C180" s="151" t="str">
        <f>CONCATENATE(IF($A180="","",VLOOKUP($A180,'İşçi Bilgileri'!$A$2:$D$750,2,FALSE))," ",IF($A180="","",VLOOKUP($A180,'İşçi Bilgileri'!$A$2:$D$750,3,FALSE)))</f>
        <v xml:space="preserve"> </v>
      </c>
      <c r="D180" s="350">
        <v>35527490</v>
      </c>
      <c r="E180" s="350" t="s">
        <v>177</v>
      </c>
      <c r="F180" s="154" t="str">
        <f>IF($A180="","",VLOOKUP($A180,'İşçi Bilgileri'!$A$2:$F$750,6,FALSE))</f>
        <v/>
      </c>
      <c r="G180" s="152" t="str">
        <f>IF($A180="","",VLOOKUP($A180,'MAAŞ BORDROSU'!$A$4:$V$573,17,FALSE))</f>
        <v/>
      </c>
    </row>
    <row r="181" spans="1:7" x14ac:dyDescent="0.2">
      <c r="A181" s="151" t="str">
        <f>'İşçi Bilgileri'!A180</f>
        <v/>
      </c>
      <c r="B181" s="151" t="str">
        <f>IF($A181="","",VLOOKUP($A181,'İşçi Bilgileri'!$A$2:$D$750,4,FALSE))</f>
        <v/>
      </c>
      <c r="C181" s="151" t="str">
        <f>CONCATENATE(IF($A181="","",VLOOKUP($A181,'İşçi Bilgileri'!$A$2:$D$750,2,FALSE))," ",IF($A181="","",VLOOKUP($A181,'İşçi Bilgileri'!$A$2:$D$750,3,FALSE)))</f>
        <v xml:space="preserve"> </v>
      </c>
      <c r="D181" s="350">
        <v>35527490</v>
      </c>
      <c r="E181" s="350" t="s">
        <v>177</v>
      </c>
      <c r="F181" s="154" t="str">
        <f>IF($A181="","",VLOOKUP($A181,'İşçi Bilgileri'!$A$2:$F$750,6,FALSE))</f>
        <v/>
      </c>
      <c r="G181" s="152" t="str">
        <f>IF($A181="","",VLOOKUP($A181,'MAAŞ BORDROSU'!$A$4:$V$573,17,FALSE))</f>
        <v/>
      </c>
    </row>
    <row r="182" spans="1:7" x14ac:dyDescent="0.2">
      <c r="A182" s="151" t="str">
        <f>'İşçi Bilgileri'!A181</f>
        <v/>
      </c>
      <c r="B182" s="151" t="str">
        <f>IF($A182="","",VLOOKUP($A182,'İşçi Bilgileri'!$A$2:$D$750,4,FALSE))</f>
        <v/>
      </c>
      <c r="C182" s="151" t="str">
        <f>CONCATENATE(IF($A182="","",VLOOKUP($A182,'İşçi Bilgileri'!$A$2:$D$750,2,FALSE))," ",IF($A182="","",VLOOKUP($A182,'İşçi Bilgileri'!$A$2:$D$750,3,FALSE)))</f>
        <v xml:space="preserve"> </v>
      </c>
      <c r="D182" s="350">
        <v>35527490</v>
      </c>
      <c r="E182" s="350" t="s">
        <v>177</v>
      </c>
      <c r="F182" s="154" t="str">
        <f>IF($A182="","",VLOOKUP($A182,'İşçi Bilgileri'!$A$2:$F$750,6,FALSE))</f>
        <v/>
      </c>
      <c r="G182" s="152" t="str">
        <f>IF($A182="","",VLOOKUP($A182,'MAAŞ BORDROSU'!$A$4:$V$573,17,FALSE))</f>
        <v/>
      </c>
    </row>
    <row r="183" spans="1:7" x14ac:dyDescent="0.2">
      <c r="A183" s="151" t="str">
        <f>'İşçi Bilgileri'!A182</f>
        <v/>
      </c>
      <c r="B183" s="151" t="str">
        <f>IF($A183="","",VLOOKUP($A183,'İşçi Bilgileri'!$A$2:$D$750,4,FALSE))</f>
        <v/>
      </c>
      <c r="C183" s="151" t="str">
        <f>CONCATENATE(IF($A183="","",VLOOKUP($A183,'İşçi Bilgileri'!$A$2:$D$750,2,FALSE))," ",IF($A183="","",VLOOKUP($A183,'İşçi Bilgileri'!$A$2:$D$750,3,FALSE)))</f>
        <v xml:space="preserve"> </v>
      </c>
      <c r="D183" s="350">
        <v>35527490</v>
      </c>
      <c r="E183" s="350" t="s">
        <v>177</v>
      </c>
      <c r="F183" s="154" t="str">
        <f>IF($A183="","",VLOOKUP($A183,'İşçi Bilgileri'!$A$2:$F$750,6,FALSE))</f>
        <v/>
      </c>
      <c r="G183" s="152" t="str">
        <f>IF($A183="","",VLOOKUP($A183,'MAAŞ BORDROSU'!$A$4:$V$573,17,FALSE))</f>
        <v/>
      </c>
    </row>
    <row r="184" spans="1:7" x14ac:dyDescent="0.2">
      <c r="A184" s="151" t="str">
        <f>'İşçi Bilgileri'!A183</f>
        <v/>
      </c>
      <c r="B184" s="151" t="str">
        <f>IF($A184="","",VLOOKUP($A184,'İşçi Bilgileri'!$A$2:$D$750,4,FALSE))</f>
        <v/>
      </c>
      <c r="C184" s="151" t="str">
        <f>CONCATENATE(IF($A184="","",VLOOKUP($A184,'İşçi Bilgileri'!$A$2:$D$750,2,FALSE))," ",IF($A184="","",VLOOKUP($A184,'İşçi Bilgileri'!$A$2:$D$750,3,FALSE)))</f>
        <v xml:space="preserve"> </v>
      </c>
      <c r="D184" s="350">
        <v>35527490</v>
      </c>
      <c r="E184" s="350" t="s">
        <v>177</v>
      </c>
      <c r="F184" s="154" t="str">
        <f>IF($A184="","",VLOOKUP($A184,'İşçi Bilgileri'!$A$2:$F$750,6,FALSE))</f>
        <v/>
      </c>
      <c r="G184" s="152" t="str">
        <f>IF($A184="","",VLOOKUP($A184,'MAAŞ BORDROSU'!$A$4:$V$573,17,FALSE))</f>
        <v/>
      </c>
    </row>
    <row r="185" spans="1:7" x14ac:dyDescent="0.2">
      <c r="A185" s="151" t="str">
        <f>'İşçi Bilgileri'!A184</f>
        <v/>
      </c>
      <c r="B185" s="151" t="str">
        <f>IF($A185="","",VLOOKUP($A185,'İşçi Bilgileri'!$A$2:$D$750,4,FALSE))</f>
        <v/>
      </c>
      <c r="C185" s="151" t="str">
        <f>CONCATENATE(IF($A185="","",VLOOKUP($A185,'İşçi Bilgileri'!$A$2:$D$750,2,FALSE))," ",IF($A185="","",VLOOKUP($A185,'İşçi Bilgileri'!$A$2:$D$750,3,FALSE)))</f>
        <v xml:space="preserve"> </v>
      </c>
      <c r="D185" s="350">
        <v>35527490</v>
      </c>
      <c r="E185" s="350" t="s">
        <v>177</v>
      </c>
      <c r="F185" s="154" t="str">
        <f>IF($A185="","",VLOOKUP($A185,'İşçi Bilgileri'!$A$2:$F$750,6,FALSE))</f>
        <v/>
      </c>
      <c r="G185" s="152" t="str">
        <f>IF($A185="","",VLOOKUP($A185,'MAAŞ BORDROSU'!$A$4:$V$573,17,FALSE))</f>
        <v/>
      </c>
    </row>
    <row r="186" spans="1:7" x14ac:dyDescent="0.2">
      <c r="A186" s="151" t="str">
        <f>'İşçi Bilgileri'!A185</f>
        <v/>
      </c>
      <c r="B186" s="151" t="str">
        <f>IF($A186="","",VLOOKUP($A186,'İşçi Bilgileri'!$A$2:$D$750,4,FALSE))</f>
        <v/>
      </c>
      <c r="C186" s="151" t="str">
        <f>CONCATENATE(IF($A186="","",VLOOKUP($A186,'İşçi Bilgileri'!$A$2:$D$750,2,FALSE))," ",IF($A186="","",VLOOKUP($A186,'İşçi Bilgileri'!$A$2:$D$750,3,FALSE)))</f>
        <v xml:space="preserve"> </v>
      </c>
      <c r="D186" s="350">
        <v>35527490</v>
      </c>
      <c r="E186" s="350" t="s">
        <v>177</v>
      </c>
      <c r="F186" s="154" t="str">
        <f>IF($A186="","",VLOOKUP($A186,'İşçi Bilgileri'!$A$2:$F$750,6,FALSE))</f>
        <v/>
      </c>
      <c r="G186" s="152" t="str">
        <f>IF($A186="","",VLOOKUP($A186,'MAAŞ BORDROSU'!$A$4:$V$573,17,FALSE))</f>
        <v/>
      </c>
    </row>
    <row r="187" spans="1:7" x14ac:dyDescent="0.2">
      <c r="A187" s="151" t="str">
        <f>'İşçi Bilgileri'!A186</f>
        <v/>
      </c>
      <c r="B187" s="151" t="str">
        <f>IF($A187="","",VLOOKUP($A187,'İşçi Bilgileri'!$A$2:$D$750,4,FALSE))</f>
        <v/>
      </c>
      <c r="C187" s="151" t="str">
        <f>CONCATENATE(IF($A187="","",VLOOKUP($A187,'İşçi Bilgileri'!$A$2:$D$750,2,FALSE))," ",IF($A187="","",VLOOKUP($A187,'İşçi Bilgileri'!$A$2:$D$750,3,FALSE)))</f>
        <v xml:space="preserve"> </v>
      </c>
      <c r="D187" s="350">
        <v>35527490</v>
      </c>
      <c r="E187" s="350" t="s">
        <v>177</v>
      </c>
      <c r="F187" s="154" t="str">
        <f>IF($A187="","",VLOOKUP($A187,'İşçi Bilgileri'!$A$2:$F$750,6,FALSE))</f>
        <v/>
      </c>
      <c r="G187" s="152" t="str">
        <f>IF($A187="","",VLOOKUP($A187,'MAAŞ BORDROSU'!$A$4:$V$573,17,FALSE))</f>
        <v/>
      </c>
    </row>
    <row r="188" spans="1:7" x14ac:dyDescent="0.2">
      <c r="A188" s="151" t="str">
        <f>'İşçi Bilgileri'!A187</f>
        <v/>
      </c>
      <c r="B188" s="151" t="str">
        <f>IF($A188="","",VLOOKUP($A188,'İşçi Bilgileri'!$A$2:$D$750,4,FALSE))</f>
        <v/>
      </c>
      <c r="C188" s="151" t="str">
        <f>CONCATENATE(IF($A188="","",VLOOKUP($A188,'İşçi Bilgileri'!$A$2:$D$750,2,FALSE))," ",IF($A188="","",VLOOKUP($A188,'İşçi Bilgileri'!$A$2:$D$750,3,FALSE)))</f>
        <v xml:space="preserve"> </v>
      </c>
      <c r="D188" s="350">
        <v>35527490</v>
      </c>
      <c r="E188" s="350" t="s">
        <v>177</v>
      </c>
      <c r="F188" s="154" t="str">
        <f>IF($A188="","",VLOOKUP($A188,'İşçi Bilgileri'!$A$2:$F$750,6,FALSE))</f>
        <v/>
      </c>
      <c r="G188" s="152" t="str">
        <f>IF($A188="","",VLOOKUP($A188,'MAAŞ BORDROSU'!$A$4:$V$573,17,FALSE))</f>
        <v/>
      </c>
    </row>
    <row r="189" spans="1:7" x14ac:dyDescent="0.2">
      <c r="A189" s="151" t="str">
        <f>'İşçi Bilgileri'!A188</f>
        <v/>
      </c>
      <c r="B189" s="151" t="str">
        <f>IF($A189="","",VLOOKUP($A189,'İşçi Bilgileri'!$A$2:$D$750,4,FALSE))</f>
        <v/>
      </c>
      <c r="C189" s="151" t="str">
        <f>CONCATENATE(IF($A189="","",VLOOKUP($A189,'İşçi Bilgileri'!$A$2:$D$750,2,FALSE))," ",IF($A189="","",VLOOKUP($A189,'İşçi Bilgileri'!$A$2:$D$750,3,FALSE)))</f>
        <v xml:space="preserve"> </v>
      </c>
      <c r="D189" s="350">
        <v>35527490</v>
      </c>
      <c r="E189" s="350" t="s">
        <v>177</v>
      </c>
      <c r="F189" s="154" t="str">
        <f>IF($A189="","",VLOOKUP($A189,'İşçi Bilgileri'!$A$2:$F$750,6,FALSE))</f>
        <v/>
      </c>
      <c r="G189" s="152" t="str">
        <f>IF($A189="","",VLOOKUP($A189,'MAAŞ BORDROSU'!$A$4:$V$573,17,FALSE))</f>
        <v/>
      </c>
    </row>
    <row r="190" spans="1:7" x14ac:dyDescent="0.2">
      <c r="A190" s="151" t="str">
        <f>'İşçi Bilgileri'!A189</f>
        <v/>
      </c>
      <c r="B190" s="151" t="str">
        <f>IF($A190="","",VLOOKUP($A190,'İşçi Bilgileri'!$A$2:$D$750,4,FALSE))</f>
        <v/>
      </c>
      <c r="C190" s="151" t="str">
        <f>CONCATENATE(IF($A190="","",VLOOKUP($A190,'İşçi Bilgileri'!$A$2:$D$750,2,FALSE))," ",IF($A190="","",VLOOKUP($A190,'İşçi Bilgileri'!$A$2:$D$750,3,FALSE)))</f>
        <v xml:space="preserve"> </v>
      </c>
      <c r="D190" s="350">
        <v>35527490</v>
      </c>
      <c r="E190" s="350" t="s">
        <v>177</v>
      </c>
      <c r="F190" s="154" t="str">
        <f>IF($A190="","",VLOOKUP($A190,'İşçi Bilgileri'!$A$2:$F$750,6,FALSE))</f>
        <v/>
      </c>
      <c r="G190" s="152" t="str">
        <f>IF($A190="","",VLOOKUP($A190,'MAAŞ BORDROSU'!$A$4:$V$573,17,FALSE))</f>
        <v/>
      </c>
    </row>
    <row r="191" spans="1:7" x14ac:dyDescent="0.2">
      <c r="A191" s="151" t="str">
        <f>'İşçi Bilgileri'!A190</f>
        <v/>
      </c>
      <c r="B191" s="151" t="str">
        <f>IF($A191="","",VLOOKUP($A191,'İşçi Bilgileri'!$A$2:$D$750,4,FALSE))</f>
        <v/>
      </c>
      <c r="C191" s="151" t="str">
        <f>CONCATENATE(IF($A191="","",VLOOKUP($A191,'İşçi Bilgileri'!$A$2:$D$750,2,FALSE))," ",IF($A191="","",VLOOKUP($A191,'İşçi Bilgileri'!$A$2:$D$750,3,FALSE)))</f>
        <v xml:space="preserve"> </v>
      </c>
      <c r="D191" s="350">
        <v>35527490</v>
      </c>
      <c r="E191" s="350" t="s">
        <v>177</v>
      </c>
      <c r="F191" s="154" t="str">
        <f>IF($A191="","",VLOOKUP($A191,'İşçi Bilgileri'!$A$2:$F$750,6,FALSE))</f>
        <v/>
      </c>
      <c r="G191" s="152" t="str">
        <f>IF($A191="","",VLOOKUP($A191,'MAAŞ BORDROSU'!$A$4:$V$573,17,FALSE))</f>
        <v/>
      </c>
    </row>
    <row r="192" spans="1:7" x14ac:dyDescent="0.2">
      <c r="A192" s="151" t="str">
        <f>'İşçi Bilgileri'!A191</f>
        <v/>
      </c>
      <c r="B192" s="151" t="str">
        <f>IF($A192="","",VLOOKUP($A192,'İşçi Bilgileri'!$A$2:$D$750,4,FALSE))</f>
        <v/>
      </c>
      <c r="C192" s="151" t="str">
        <f>CONCATENATE(IF($A192="","",VLOOKUP($A192,'İşçi Bilgileri'!$A$2:$D$750,2,FALSE))," ",IF($A192="","",VLOOKUP($A192,'İşçi Bilgileri'!$A$2:$D$750,3,FALSE)))</f>
        <v xml:space="preserve"> </v>
      </c>
      <c r="D192" s="350">
        <v>35527490</v>
      </c>
      <c r="E192" s="350" t="s">
        <v>177</v>
      </c>
      <c r="F192" s="154" t="str">
        <f>IF($A192="","",VLOOKUP($A192,'İşçi Bilgileri'!$A$2:$F$750,6,FALSE))</f>
        <v/>
      </c>
      <c r="G192" s="152" t="str">
        <f>IF($A192="","",VLOOKUP($A192,'MAAŞ BORDROSU'!$A$4:$V$573,17,FALSE))</f>
        <v/>
      </c>
    </row>
    <row r="193" spans="1:7" x14ac:dyDescent="0.2">
      <c r="A193" s="151" t="str">
        <f>'İşçi Bilgileri'!A192</f>
        <v/>
      </c>
      <c r="B193" s="151" t="str">
        <f>IF($A193="","",VLOOKUP($A193,'İşçi Bilgileri'!$A$2:$D$750,4,FALSE))</f>
        <v/>
      </c>
      <c r="C193" s="151" t="str">
        <f>CONCATENATE(IF($A193="","",VLOOKUP($A193,'İşçi Bilgileri'!$A$2:$D$750,2,FALSE))," ",IF($A193="","",VLOOKUP($A193,'İşçi Bilgileri'!$A$2:$D$750,3,FALSE)))</f>
        <v xml:space="preserve"> </v>
      </c>
      <c r="D193" s="350">
        <v>35527490</v>
      </c>
      <c r="E193" s="350" t="s">
        <v>177</v>
      </c>
      <c r="F193" s="154" t="str">
        <f>IF($A193="","",VLOOKUP($A193,'İşçi Bilgileri'!$A$2:$F$750,6,FALSE))</f>
        <v/>
      </c>
      <c r="G193" s="152" t="str">
        <f>IF($A193="","",VLOOKUP($A193,'MAAŞ BORDROSU'!$A$4:$V$573,17,FALSE))</f>
        <v/>
      </c>
    </row>
    <row r="194" spans="1:7" x14ac:dyDescent="0.2">
      <c r="A194" s="151" t="str">
        <f>'İşçi Bilgileri'!A193</f>
        <v/>
      </c>
      <c r="B194" s="151" t="str">
        <f>IF($A194="","",VLOOKUP($A194,'İşçi Bilgileri'!$A$2:$D$750,4,FALSE))</f>
        <v/>
      </c>
      <c r="C194" s="151" t="str">
        <f>CONCATENATE(IF($A194="","",VLOOKUP($A194,'İşçi Bilgileri'!$A$2:$D$750,2,FALSE))," ",IF($A194="","",VLOOKUP($A194,'İşçi Bilgileri'!$A$2:$D$750,3,FALSE)))</f>
        <v xml:space="preserve"> </v>
      </c>
      <c r="D194" s="350">
        <v>35527490</v>
      </c>
      <c r="E194" s="350" t="s">
        <v>177</v>
      </c>
      <c r="F194" s="154" t="str">
        <f>IF($A194="","",VLOOKUP($A194,'İşçi Bilgileri'!$A$2:$F$750,6,FALSE))</f>
        <v/>
      </c>
      <c r="G194" s="152" t="str">
        <f>IF($A194="","",VLOOKUP($A194,'MAAŞ BORDROSU'!$A$4:$V$573,17,FALSE))</f>
        <v/>
      </c>
    </row>
    <row r="195" spans="1:7" x14ac:dyDescent="0.2">
      <c r="A195" s="151" t="str">
        <f>'İşçi Bilgileri'!A194</f>
        <v/>
      </c>
      <c r="B195" s="151" t="str">
        <f>IF($A195="","",VLOOKUP($A195,'İşçi Bilgileri'!$A$2:$D$750,4,FALSE))</f>
        <v/>
      </c>
      <c r="C195" s="151" t="str">
        <f>CONCATENATE(IF($A195="","",VLOOKUP($A195,'İşçi Bilgileri'!$A$2:$D$750,2,FALSE))," ",IF($A195="","",VLOOKUP($A195,'İşçi Bilgileri'!$A$2:$D$750,3,FALSE)))</f>
        <v xml:space="preserve"> </v>
      </c>
      <c r="D195" s="350">
        <v>35527490</v>
      </c>
      <c r="E195" s="350" t="s">
        <v>177</v>
      </c>
      <c r="F195" s="154" t="str">
        <f>IF($A195="","",VLOOKUP($A195,'İşçi Bilgileri'!$A$2:$F$750,6,FALSE))</f>
        <v/>
      </c>
      <c r="G195" s="152" t="str">
        <f>IF($A195="","",VLOOKUP($A195,'MAAŞ BORDROSU'!$A$4:$V$573,17,FALSE))</f>
        <v/>
      </c>
    </row>
    <row r="196" spans="1:7" x14ac:dyDescent="0.2">
      <c r="A196" s="151" t="str">
        <f>'İşçi Bilgileri'!A195</f>
        <v/>
      </c>
      <c r="B196" s="151" t="str">
        <f>IF($A196="","",VLOOKUP($A196,'İşçi Bilgileri'!$A$2:$D$750,4,FALSE))</f>
        <v/>
      </c>
      <c r="C196" s="151" t="str">
        <f>CONCATENATE(IF($A196="","",VLOOKUP($A196,'İşçi Bilgileri'!$A$2:$D$750,2,FALSE))," ",IF($A196="","",VLOOKUP($A196,'İşçi Bilgileri'!$A$2:$D$750,3,FALSE)))</f>
        <v xml:space="preserve"> </v>
      </c>
      <c r="D196" s="350">
        <v>35527490</v>
      </c>
      <c r="E196" s="350" t="s">
        <v>177</v>
      </c>
      <c r="F196" s="154" t="str">
        <f>IF($A196="","",VLOOKUP($A196,'İşçi Bilgileri'!$A$2:$F$750,6,FALSE))</f>
        <v/>
      </c>
      <c r="G196" s="152" t="str">
        <f>IF($A196="","",VLOOKUP($A196,'MAAŞ BORDROSU'!$A$4:$V$573,17,FALSE))</f>
        <v/>
      </c>
    </row>
    <row r="197" spans="1:7" x14ac:dyDescent="0.2">
      <c r="A197" s="151" t="str">
        <f>'İşçi Bilgileri'!A196</f>
        <v/>
      </c>
      <c r="B197" s="151" t="str">
        <f>IF($A197="","",VLOOKUP($A197,'İşçi Bilgileri'!$A$2:$D$750,4,FALSE))</f>
        <v/>
      </c>
      <c r="C197" s="151" t="str">
        <f>CONCATENATE(IF($A197="","",VLOOKUP($A197,'İşçi Bilgileri'!$A$2:$D$750,2,FALSE))," ",IF($A197="","",VLOOKUP($A197,'İşçi Bilgileri'!$A$2:$D$750,3,FALSE)))</f>
        <v xml:space="preserve"> </v>
      </c>
      <c r="D197" s="350">
        <v>35527490</v>
      </c>
      <c r="E197" s="350" t="s">
        <v>177</v>
      </c>
      <c r="F197" s="154" t="str">
        <f>IF($A197="","",VLOOKUP($A197,'İşçi Bilgileri'!$A$2:$F$750,6,FALSE))</f>
        <v/>
      </c>
      <c r="G197" s="152" t="str">
        <f>IF($A197="","",VLOOKUP($A197,'MAAŞ BORDROSU'!$A$4:$V$573,17,FALSE))</f>
        <v/>
      </c>
    </row>
    <row r="198" spans="1:7" x14ac:dyDescent="0.2">
      <c r="A198" s="151" t="str">
        <f>'İşçi Bilgileri'!A197</f>
        <v/>
      </c>
      <c r="B198" s="151" t="str">
        <f>IF($A198="","",VLOOKUP($A198,'İşçi Bilgileri'!$A$2:$D$750,4,FALSE))</f>
        <v/>
      </c>
      <c r="C198" s="151" t="str">
        <f>CONCATENATE(IF($A198="","",VLOOKUP($A198,'İşçi Bilgileri'!$A$2:$D$750,2,FALSE))," ",IF($A198="","",VLOOKUP($A198,'İşçi Bilgileri'!$A$2:$D$750,3,FALSE)))</f>
        <v xml:space="preserve"> </v>
      </c>
      <c r="D198" s="350">
        <v>35527490</v>
      </c>
      <c r="E198" s="350" t="s">
        <v>177</v>
      </c>
      <c r="F198" s="154" t="str">
        <f>IF($A198="","",VLOOKUP($A198,'İşçi Bilgileri'!$A$2:$F$750,6,FALSE))</f>
        <v/>
      </c>
      <c r="G198" s="152" t="str">
        <f>IF($A198="","",VLOOKUP($A198,'MAAŞ BORDROSU'!$A$4:$V$573,17,FALSE))</f>
        <v/>
      </c>
    </row>
    <row r="199" spans="1:7" x14ac:dyDescent="0.2">
      <c r="A199" s="151" t="str">
        <f>'İşçi Bilgileri'!A198</f>
        <v/>
      </c>
      <c r="B199" s="151" t="str">
        <f>IF($A199="","",VLOOKUP($A199,'İşçi Bilgileri'!$A$2:$D$750,4,FALSE))</f>
        <v/>
      </c>
      <c r="C199" s="151" t="str">
        <f>CONCATENATE(IF($A199="","",VLOOKUP($A199,'İşçi Bilgileri'!$A$2:$D$750,2,FALSE))," ",IF($A199="","",VLOOKUP($A199,'İşçi Bilgileri'!$A$2:$D$750,3,FALSE)))</f>
        <v xml:space="preserve"> </v>
      </c>
      <c r="D199" s="350">
        <v>35527490</v>
      </c>
      <c r="E199" s="350" t="s">
        <v>177</v>
      </c>
      <c r="F199" s="154" t="str">
        <f>IF($A199="","",VLOOKUP($A199,'İşçi Bilgileri'!$A$2:$F$750,6,FALSE))</f>
        <v/>
      </c>
      <c r="G199" s="152" t="str">
        <f>IF($A199="","",VLOOKUP($A199,'MAAŞ BORDROSU'!$A$4:$V$573,17,FALSE))</f>
        <v/>
      </c>
    </row>
    <row r="200" spans="1:7" x14ac:dyDescent="0.2">
      <c r="A200" s="151" t="str">
        <f>'İşçi Bilgileri'!A199</f>
        <v/>
      </c>
      <c r="B200" s="151" t="str">
        <f>IF($A200="","",VLOOKUP($A200,'İşçi Bilgileri'!$A$2:$D$750,4,FALSE))</f>
        <v/>
      </c>
      <c r="C200" s="151" t="str">
        <f>CONCATENATE(IF($A200="","",VLOOKUP($A200,'İşçi Bilgileri'!$A$2:$D$750,2,FALSE))," ",IF($A200="","",VLOOKUP($A200,'İşçi Bilgileri'!$A$2:$D$750,3,FALSE)))</f>
        <v xml:space="preserve"> </v>
      </c>
      <c r="D200" s="350">
        <v>35527490</v>
      </c>
      <c r="E200" s="350" t="s">
        <v>177</v>
      </c>
      <c r="F200" s="154" t="str">
        <f>IF($A200="","",VLOOKUP($A200,'İşçi Bilgileri'!$A$2:$F$750,6,FALSE))</f>
        <v/>
      </c>
      <c r="G200" s="152" t="str">
        <f>IF($A200="","",VLOOKUP($A200,'MAAŞ BORDROSU'!$A$4:$V$573,17,FALSE))</f>
        <v/>
      </c>
    </row>
    <row r="201" spans="1:7" x14ac:dyDescent="0.2">
      <c r="A201" s="151" t="str">
        <f>'İşçi Bilgileri'!A200</f>
        <v/>
      </c>
      <c r="B201" s="151" t="str">
        <f>IF($A201="","",VLOOKUP($A201,'İşçi Bilgileri'!$A$2:$D$750,4,FALSE))</f>
        <v/>
      </c>
      <c r="C201" s="151" t="str">
        <f>CONCATENATE(IF($A201="","",VLOOKUP($A201,'İşçi Bilgileri'!$A$2:$D$750,2,FALSE))," ",IF($A201="","",VLOOKUP($A201,'İşçi Bilgileri'!$A$2:$D$750,3,FALSE)))</f>
        <v xml:space="preserve"> </v>
      </c>
      <c r="D201" s="350">
        <v>35527490</v>
      </c>
      <c r="E201" s="350" t="s">
        <v>177</v>
      </c>
      <c r="F201" s="154" t="str">
        <f>IF($A201="","",VLOOKUP($A201,'İşçi Bilgileri'!$A$2:$F$750,6,FALSE))</f>
        <v/>
      </c>
      <c r="G201" s="152" t="str">
        <f>IF($A201="","",VLOOKUP($A201,'MAAŞ BORDROSU'!$A$4:$V$573,17,FALSE))</f>
        <v/>
      </c>
    </row>
    <row r="202" spans="1:7" x14ac:dyDescent="0.2">
      <c r="A202" s="151" t="str">
        <f>'İşçi Bilgileri'!A201</f>
        <v/>
      </c>
      <c r="B202" s="151" t="str">
        <f>IF($A202="","",VLOOKUP($A202,'İşçi Bilgileri'!$A$2:$D$750,4,FALSE))</f>
        <v/>
      </c>
      <c r="C202" s="151" t="str">
        <f>CONCATENATE(IF($A202="","",VLOOKUP($A202,'İşçi Bilgileri'!$A$2:$D$750,2,FALSE))," ",IF($A202="","",VLOOKUP($A202,'İşçi Bilgileri'!$A$2:$D$750,3,FALSE)))</f>
        <v xml:space="preserve"> </v>
      </c>
      <c r="D202" s="350">
        <v>35527490</v>
      </c>
      <c r="E202" s="350" t="s">
        <v>177</v>
      </c>
      <c r="F202" s="154" t="str">
        <f>IF($A202="","",VLOOKUP($A202,'İşçi Bilgileri'!$A$2:$F$750,6,FALSE))</f>
        <v/>
      </c>
      <c r="G202" s="152" t="str">
        <f>IF($A202="","",VLOOKUP($A202,'MAAŞ BORDROSU'!$A$4:$V$573,17,FALSE))</f>
        <v/>
      </c>
    </row>
    <row r="203" spans="1:7" x14ac:dyDescent="0.2">
      <c r="A203" s="151" t="str">
        <f>'İşçi Bilgileri'!A202</f>
        <v/>
      </c>
      <c r="B203" s="151" t="str">
        <f>IF($A203="","",VLOOKUP($A203,'İşçi Bilgileri'!$A$2:$D$750,4,FALSE))</f>
        <v/>
      </c>
      <c r="C203" s="151" t="str">
        <f>CONCATENATE(IF($A203="","",VLOOKUP($A203,'İşçi Bilgileri'!$A$2:$D$750,2,FALSE))," ",IF($A203="","",VLOOKUP($A203,'İşçi Bilgileri'!$A$2:$D$750,3,FALSE)))</f>
        <v xml:space="preserve"> </v>
      </c>
      <c r="D203" s="350">
        <v>35527490</v>
      </c>
      <c r="E203" s="350" t="s">
        <v>177</v>
      </c>
      <c r="F203" s="154" t="str">
        <f>IF($A203="","",VLOOKUP($A203,'İşçi Bilgileri'!$A$2:$F$750,6,FALSE))</f>
        <v/>
      </c>
      <c r="G203" s="152" t="str">
        <f>IF($A203="","",VLOOKUP($A203,'MAAŞ BORDROSU'!$A$4:$V$573,17,FALSE))</f>
        <v/>
      </c>
    </row>
    <row r="204" spans="1:7" x14ac:dyDescent="0.2">
      <c r="A204" s="151" t="str">
        <f>'İşçi Bilgileri'!A203</f>
        <v/>
      </c>
      <c r="B204" s="151" t="str">
        <f>IF($A204="","",VLOOKUP($A204,'İşçi Bilgileri'!$A$2:$D$750,4,FALSE))</f>
        <v/>
      </c>
      <c r="C204" s="151" t="str">
        <f>CONCATENATE(IF($A204="","",VLOOKUP($A204,'İşçi Bilgileri'!$A$2:$D$750,2,FALSE))," ",IF($A204="","",VLOOKUP($A204,'İşçi Bilgileri'!$A$2:$D$750,3,FALSE)))</f>
        <v xml:space="preserve"> </v>
      </c>
      <c r="D204" s="350">
        <v>35527490</v>
      </c>
      <c r="E204" s="350" t="s">
        <v>177</v>
      </c>
      <c r="F204" s="154" t="str">
        <f>IF($A204="","",VLOOKUP($A204,'İşçi Bilgileri'!$A$2:$F$750,6,FALSE))</f>
        <v/>
      </c>
      <c r="G204" s="152" t="str">
        <f>IF($A204="","",VLOOKUP($A204,'MAAŞ BORDROSU'!$A$4:$V$573,17,FALSE))</f>
        <v/>
      </c>
    </row>
    <row r="205" spans="1:7" x14ac:dyDescent="0.2">
      <c r="A205" s="151" t="str">
        <f>'İşçi Bilgileri'!A204</f>
        <v/>
      </c>
      <c r="B205" s="151" t="str">
        <f>IF($A205="","",VLOOKUP($A205,'İşçi Bilgileri'!$A$2:$D$750,4,FALSE))</f>
        <v/>
      </c>
      <c r="C205" s="151" t="str">
        <f>CONCATENATE(IF($A205="","",VLOOKUP($A205,'İşçi Bilgileri'!$A$2:$D$750,2,FALSE))," ",IF($A205="","",VLOOKUP($A205,'İşçi Bilgileri'!$A$2:$D$750,3,FALSE)))</f>
        <v xml:space="preserve"> </v>
      </c>
      <c r="D205" s="350">
        <v>35527490</v>
      </c>
      <c r="E205" s="350" t="s">
        <v>177</v>
      </c>
      <c r="F205" s="154" t="str">
        <f>IF($A205="","",VLOOKUP($A205,'İşçi Bilgileri'!$A$2:$F$750,6,FALSE))</f>
        <v/>
      </c>
      <c r="G205" s="152" t="str">
        <f>IF($A205="","",VLOOKUP($A205,'MAAŞ BORDROSU'!$A$4:$V$573,17,FALSE))</f>
        <v/>
      </c>
    </row>
    <row r="206" spans="1:7" x14ac:dyDescent="0.2">
      <c r="A206" s="151" t="str">
        <f>'İşçi Bilgileri'!A205</f>
        <v/>
      </c>
      <c r="B206" s="151" t="str">
        <f>IF($A206="","",VLOOKUP($A206,'İşçi Bilgileri'!$A$2:$D$750,4,FALSE))</f>
        <v/>
      </c>
      <c r="C206" s="151" t="str">
        <f>CONCATENATE(IF($A206="","",VLOOKUP($A206,'İşçi Bilgileri'!$A$2:$D$750,2,FALSE))," ",IF($A206="","",VLOOKUP($A206,'İşçi Bilgileri'!$A$2:$D$750,3,FALSE)))</f>
        <v xml:space="preserve"> </v>
      </c>
      <c r="D206" s="350">
        <v>35527490</v>
      </c>
      <c r="E206" s="350" t="s">
        <v>177</v>
      </c>
      <c r="F206" s="154" t="str">
        <f>IF($A206="","",VLOOKUP($A206,'İşçi Bilgileri'!$A$2:$F$750,6,FALSE))</f>
        <v/>
      </c>
      <c r="G206" s="152" t="str">
        <f>IF($A206="","",VLOOKUP($A206,'MAAŞ BORDROSU'!$A$4:$V$573,17,FALSE))</f>
        <v/>
      </c>
    </row>
    <row r="207" spans="1:7" x14ac:dyDescent="0.2">
      <c r="A207" s="151" t="str">
        <f>'İşçi Bilgileri'!A206</f>
        <v/>
      </c>
      <c r="B207" s="151" t="str">
        <f>IF($A207="","",VLOOKUP($A207,'İşçi Bilgileri'!$A$2:$D$750,4,FALSE))</f>
        <v/>
      </c>
      <c r="C207" s="151" t="str">
        <f>CONCATENATE(IF($A207="","",VLOOKUP($A207,'İşçi Bilgileri'!$A$2:$D$750,2,FALSE))," ",IF($A207="","",VLOOKUP($A207,'İşçi Bilgileri'!$A$2:$D$750,3,FALSE)))</f>
        <v xml:space="preserve"> </v>
      </c>
      <c r="D207" s="350">
        <v>35527490</v>
      </c>
      <c r="E207" s="350" t="s">
        <v>177</v>
      </c>
      <c r="F207" s="154" t="str">
        <f>IF($A207="","",VLOOKUP($A207,'İşçi Bilgileri'!$A$2:$F$750,6,FALSE))</f>
        <v/>
      </c>
      <c r="G207" s="152" t="str">
        <f>IF($A207="","",VLOOKUP($A207,'MAAŞ BORDROSU'!$A$4:$V$573,17,FALSE))</f>
        <v/>
      </c>
    </row>
    <row r="208" spans="1:7" x14ac:dyDescent="0.2">
      <c r="A208" s="151" t="str">
        <f>'İşçi Bilgileri'!A207</f>
        <v/>
      </c>
      <c r="B208" s="151" t="str">
        <f>IF($A208="","",VLOOKUP($A208,'İşçi Bilgileri'!$A$2:$D$750,4,FALSE))</f>
        <v/>
      </c>
      <c r="C208" s="151" t="str">
        <f>CONCATENATE(IF($A208="","",VLOOKUP($A208,'İşçi Bilgileri'!$A$2:$D$750,2,FALSE))," ",IF($A208="","",VLOOKUP($A208,'İşçi Bilgileri'!$A$2:$D$750,3,FALSE)))</f>
        <v xml:space="preserve"> </v>
      </c>
      <c r="D208" s="350">
        <v>35527490</v>
      </c>
      <c r="E208" s="350" t="s">
        <v>177</v>
      </c>
      <c r="F208" s="154" t="str">
        <f>IF($A208="","",VLOOKUP($A208,'İşçi Bilgileri'!$A$2:$F$750,6,FALSE))</f>
        <v/>
      </c>
      <c r="G208" s="152" t="str">
        <f>IF($A208="","",VLOOKUP($A208,'MAAŞ BORDROSU'!$A$4:$V$573,17,FALSE))</f>
        <v/>
      </c>
    </row>
    <row r="209" spans="1:7" x14ac:dyDescent="0.2">
      <c r="A209" s="151" t="str">
        <f>'İşçi Bilgileri'!A208</f>
        <v/>
      </c>
      <c r="B209" s="151" t="str">
        <f>IF($A209="","",VLOOKUP($A209,'İşçi Bilgileri'!$A$2:$D$750,4,FALSE))</f>
        <v/>
      </c>
      <c r="C209" s="151" t="str">
        <f>CONCATENATE(IF($A209="","",VLOOKUP($A209,'İşçi Bilgileri'!$A$2:$D$750,2,FALSE))," ",IF($A209="","",VLOOKUP($A209,'İşçi Bilgileri'!$A$2:$D$750,3,FALSE)))</f>
        <v xml:space="preserve"> </v>
      </c>
      <c r="D209" s="350">
        <v>35527490</v>
      </c>
      <c r="E209" s="350" t="s">
        <v>177</v>
      </c>
      <c r="F209" s="154" t="str">
        <f>IF($A209="","",VLOOKUP($A209,'İşçi Bilgileri'!$A$2:$F$750,6,FALSE))</f>
        <v/>
      </c>
      <c r="G209" s="152" t="str">
        <f>IF($A209="","",VLOOKUP($A209,'MAAŞ BORDROSU'!$A$4:$V$573,17,FALSE))</f>
        <v/>
      </c>
    </row>
    <row r="210" spans="1:7" x14ac:dyDescent="0.2">
      <c r="A210" s="151" t="str">
        <f>'İşçi Bilgileri'!A209</f>
        <v/>
      </c>
      <c r="B210" s="151" t="str">
        <f>IF($A210="","",VLOOKUP($A210,'İşçi Bilgileri'!$A$2:$D$750,4,FALSE))</f>
        <v/>
      </c>
      <c r="C210" s="151" t="str">
        <f>CONCATENATE(IF($A210="","",VLOOKUP($A210,'İşçi Bilgileri'!$A$2:$D$750,2,FALSE))," ",IF($A210="","",VLOOKUP($A210,'İşçi Bilgileri'!$A$2:$D$750,3,FALSE)))</f>
        <v xml:space="preserve"> </v>
      </c>
      <c r="D210" s="350">
        <v>35527490</v>
      </c>
      <c r="E210" s="350" t="s">
        <v>177</v>
      </c>
      <c r="F210" s="154" t="str">
        <f>IF($A210="","",VLOOKUP($A210,'İşçi Bilgileri'!$A$2:$F$750,6,FALSE))</f>
        <v/>
      </c>
      <c r="G210" s="152" t="str">
        <f>IF($A210="","",VLOOKUP($A210,'MAAŞ BORDROSU'!$A$4:$V$573,17,FALSE))</f>
        <v/>
      </c>
    </row>
    <row r="211" spans="1:7" x14ac:dyDescent="0.2">
      <c r="A211" s="151" t="str">
        <f>'İşçi Bilgileri'!A210</f>
        <v/>
      </c>
      <c r="B211" s="151" t="str">
        <f>IF($A211="","",VLOOKUP($A211,'İşçi Bilgileri'!$A$2:$D$750,4,FALSE))</f>
        <v/>
      </c>
      <c r="C211" s="151" t="str">
        <f>CONCATENATE(IF($A211="","",VLOOKUP($A211,'İşçi Bilgileri'!$A$2:$D$750,2,FALSE))," ",IF($A211="","",VLOOKUP($A211,'İşçi Bilgileri'!$A$2:$D$750,3,FALSE)))</f>
        <v xml:space="preserve"> </v>
      </c>
      <c r="D211" s="350">
        <v>35527490</v>
      </c>
      <c r="E211" s="350" t="s">
        <v>177</v>
      </c>
      <c r="F211" s="154" t="str">
        <f>IF($A211="","",VLOOKUP($A211,'İşçi Bilgileri'!$A$2:$F$750,6,FALSE))</f>
        <v/>
      </c>
      <c r="G211" s="152" t="str">
        <f>IF($A211="","",VLOOKUP($A211,'MAAŞ BORDROSU'!$A$4:$V$573,17,FALSE))</f>
        <v/>
      </c>
    </row>
    <row r="212" spans="1:7" x14ac:dyDescent="0.2">
      <c r="A212" s="151" t="str">
        <f>'İşçi Bilgileri'!A211</f>
        <v/>
      </c>
      <c r="B212" s="151" t="str">
        <f>IF($A212="","",VLOOKUP($A212,'İşçi Bilgileri'!$A$2:$D$750,4,FALSE))</f>
        <v/>
      </c>
      <c r="C212" s="151" t="str">
        <f>CONCATENATE(IF($A212="","",VLOOKUP($A212,'İşçi Bilgileri'!$A$2:$D$750,2,FALSE))," ",IF($A212="","",VLOOKUP($A212,'İşçi Bilgileri'!$A$2:$D$750,3,FALSE)))</f>
        <v xml:space="preserve"> </v>
      </c>
      <c r="D212" s="350">
        <v>35527490</v>
      </c>
      <c r="E212" s="350" t="s">
        <v>177</v>
      </c>
      <c r="F212" s="154" t="str">
        <f>IF($A212="","",VLOOKUP($A212,'İşçi Bilgileri'!$A$2:$F$750,6,FALSE))</f>
        <v/>
      </c>
      <c r="G212" s="152" t="str">
        <f>IF($A212="","",VLOOKUP($A212,'MAAŞ BORDROSU'!$A$4:$V$573,17,FALSE))</f>
        <v/>
      </c>
    </row>
    <row r="213" spans="1:7" x14ac:dyDescent="0.2">
      <c r="A213" s="151" t="str">
        <f>'İşçi Bilgileri'!A212</f>
        <v/>
      </c>
      <c r="B213" s="151" t="str">
        <f>IF($A213="","",VLOOKUP($A213,'İşçi Bilgileri'!$A$2:$D$750,4,FALSE))</f>
        <v/>
      </c>
      <c r="C213" s="151" t="str">
        <f>CONCATENATE(IF($A213="","",VLOOKUP($A213,'İşçi Bilgileri'!$A$2:$D$750,2,FALSE))," ",IF($A213="","",VLOOKUP($A213,'İşçi Bilgileri'!$A$2:$D$750,3,FALSE)))</f>
        <v xml:space="preserve"> </v>
      </c>
      <c r="D213" s="350">
        <v>35527490</v>
      </c>
      <c r="E213" s="350" t="s">
        <v>177</v>
      </c>
      <c r="F213" s="154" t="str">
        <f>IF($A213="","",VLOOKUP($A213,'İşçi Bilgileri'!$A$2:$F$750,6,FALSE))</f>
        <v/>
      </c>
      <c r="G213" s="152" t="str">
        <f>IF($A213="","",VLOOKUP($A213,'MAAŞ BORDROSU'!$A$4:$V$573,17,FALSE))</f>
        <v/>
      </c>
    </row>
    <row r="214" spans="1:7" x14ac:dyDescent="0.2">
      <c r="A214" s="151" t="str">
        <f>'İşçi Bilgileri'!A213</f>
        <v/>
      </c>
      <c r="B214" s="151" t="str">
        <f>IF($A214="","",VLOOKUP($A214,'İşçi Bilgileri'!$A$2:$D$750,4,FALSE))</f>
        <v/>
      </c>
      <c r="C214" s="151" t="str">
        <f>CONCATENATE(IF($A214="","",VLOOKUP($A214,'İşçi Bilgileri'!$A$2:$D$750,2,FALSE))," ",IF($A214="","",VLOOKUP($A214,'İşçi Bilgileri'!$A$2:$D$750,3,FALSE)))</f>
        <v xml:space="preserve"> </v>
      </c>
      <c r="D214" s="350">
        <v>35527490</v>
      </c>
      <c r="E214" s="350" t="s">
        <v>177</v>
      </c>
      <c r="F214" s="154" t="str">
        <f>IF($A214="","",VLOOKUP($A214,'İşçi Bilgileri'!$A$2:$F$750,6,FALSE))</f>
        <v/>
      </c>
      <c r="G214" s="152" t="str">
        <f>IF($A214="","",VLOOKUP($A214,'MAAŞ BORDROSU'!$A$4:$V$573,17,FALSE))</f>
        <v/>
      </c>
    </row>
    <row r="215" spans="1:7" x14ac:dyDescent="0.2">
      <c r="A215" s="151" t="str">
        <f>'İşçi Bilgileri'!A214</f>
        <v/>
      </c>
      <c r="B215" s="151" t="str">
        <f>IF($A215="","",VLOOKUP($A215,'İşçi Bilgileri'!$A$2:$D$750,4,FALSE))</f>
        <v/>
      </c>
      <c r="C215" s="151" t="str">
        <f>CONCATENATE(IF($A215="","",VLOOKUP($A215,'İşçi Bilgileri'!$A$2:$D$750,2,FALSE))," ",IF($A215="","",VLOOKUP($A215,'İşçi Bilgileri'!$A$2:$D$750,3,FALSE)))</f>
        <v xml:space="preserve"> </v>
      </c>
      <c r="D215" s="350">
        <v>35527490</v>
      </c>
      <c r="E215" s="350" t="s">
        <v>177</v>
      </c>
      <c r="F215" s="154" t="str">
        <f>IF($A215="","",VLOOKUP($A215,'İşçi Bilgileri'!$A$2:$F$750,6,FALSE))</f>
        <v/>
      </c>
      <c r="G215" s="152" t="str">
        <f>IF($A215="","",VLOOKUP($A215,'MAAŞ BORDROSU'!$A$4:$V$573,17,FALSE))</f>
        <v/>
      </c>
    </row>
    <row r="216" spans="1:7" x14ac:dyDescent="0.2">
      <c r="A216" s="151" t="str">
        <f>'İşçi Bilgileri'!A215</f>
        <v/>
      </c>
      <c r="B216" s="151" t="str">
        <f>IF($A216="","",VLOOKUP($A216,'İşçi Bilgileri'!$A$2:$D$750,4,FALSE))</f>
        <v/>
      </c>
      <c r="C216" s="151" t="str">
        <f>CONCATENATE(IF($A216="","",VLOOKUP($A216,'İşçi Bilgileri'!$A$2:$D$750,2,FALSE))," ",IF($A216="","",VLOOKUP($A216,'İşçi Bilgileri'!$A$2:$D$750,3,FALSE)))</f>
        <v xml:space="preserve"> </v>
      </c>
      <c r="D216" s="350">
        <v>35527490</v>
      </c>
      <c r="E216" s="350" t="s">
        <v>177</v>
      </c>
      <c r="F216" s="154" t="str">
        <f>IF($A216="","",VLOOKUP($A216,'İşçi Bilgileri'!$A$2:$F$750,6,FALSE))</f>
        <v/>
      </c>
      <c r="G216" s="152" t="str">
        <f>IF($A216="","",VLOOKUP($A216,'MAAŞ BORDROSU'!$A$4:$V$573,17,FALSE))</f>
        <v/>
      </c>
    </row>
    <row r="217" spans="1:7" x14ac:dyDescent="0.2">
      <c r="A217" s="151" t="str">
        <f>'İşçi Bilgileri'!A216</f>
        <v/>
      </c>
      <c r="B217" s="151" t="str">
        <f>IF($A217="","",VLOOKUP($A217,'İşçi Bilgileri'!$A$2:$D$750,4,FALSE))</f>
        <v/>
      </c>
      <c r="C217" s="151" t="str">
        <f>CONCATENATE(IF($A217="","",VLOOKUP($A217,'İşçi Bilgileri'!$A$2:$D$750,2,FALSE))," ",IF($A217="","",VLOOKUP($A217,'İşçi Bilgileri'!$A$2:$D$750,3,FALSE)))</f>
        <v xml:space="preserve"> </v>
      </c>
      <c r="D217" s="350">
        <v>35527490</v>
      </c>
      <c r="E217" s="350" t="s">
        <v>177</v>
      </c>
      <c r="F217" s="154" t="str">
        <f>IF($A217="","",VLOOKUP($A217,'İşçi Bilgileri'!$A$2:$F$750,6,FALSE))</f>
        <v/>
      </c>
      <c r="G217" s="152" t="str">
        <f>IF($A217="","",VLOOKUP($A217,'MAAŞ BORDROSU'!$A$4:$V$573,17,FALSE))</f>
        <v/>
      </c>
    </row>
    <row r="218" spans="1:7" x14ac:dyDescent="0.2">
      <c r="A218" s="151" t="str">
        <f>'İşçi Bilgileri'!A217</f>
        <v/>
      </c>
      <c r="B218" s="151" t="str">
        <f>IF($A218="","",VLOOKUP($A218,'İşçi Bilgileri'!$A$2:$D$750,4,FALSE))</f>
        <v/>
      </c>
      <c r="C218" s="151" t="str">
        <f>CONCATENATE(IF($A218="","",VLOOKUP($A218,'İşçi Bilgileri'!$A$2:$D$750,2,FALSE))," ",IF($A218="","",VLOOKUP($A218,'İşçi Bilgileri'!$A$2:$D$750,3,FALSE)))</f>
        <v xml:space="preserve"> </v>
      </c>
      <c r="D218" s="350">
        <v>35527490</v>
      </c>
      <c r="E218" s="350" t="s">
        <v>177</v>
      </c>
      <c r="F218" s="154" t="str">
        <f>IF($A218="","",VLOOKUP($A218,'İşçi Bilgileri'!$A$2:$F$750,6,FALSE))</f>
        <v/>
      </c>
      <c r="G218" s="152" t="str">
        <f>IF($A218="","",VLOOKUP($A218,'MAAŞ BORDROSU'!$A$4:$V$573,17,FALSE))</f>
        <v/>
      </c>
    </row>
    <row r="219" spans="1:7" x14ac:dyDescent="0.2">
      <c r="A219" s="151" t="str">
        <f>'İşçi Bilgileri'!A218</f>
        <v/>
      </c>
      <c r="B219" s="151" t="str">
        <f>IF($A219="","",VLOOKUP($A219,'İşçi Bilgileri'!$A$2:$D$750,4,FALSE))</f>
        <v/>
      </c>
      <c r="C219" s="151" t="str">
        <f>CONCATENATE(IF($A219="","",VLOOKUP($A219,'İşçi Bilgileri'!$A$2:$D$750,2,FALSE))," ",IF($A219="","",VLOOKUP($A219,'İşçi Bilgileri'!$A$2:$D$750,3,FALSE)))</f>
        <v xml:space="preserve"> </v>
      </c>
      <c r="D219" s="350">
        <v>35527490</v>
      </c>
      <c r="E219" s="350" t="s">
        <v>177</v>
      </c>
      <c r="F219" s="154" t="str">
        <f>IF($A219="","",VLOOKUP($A219,'İşçi Bilgileri'!$A$2:$F$750,6,FALSE))</f>
        <v/>
      </c>
      <c r="G219" s="152" t="str">
        <f>IF($A219="","",VLOOKUP($A219,'MAAŞ BORDROSU'!$A$4:$V$573,17,FALSE))</f>
        <v/>
      </c>
    </row>
    <row r="220" spans="1:7" x14ac:dyDescent="0.2">
      <c r="A220" s="151" t="str">
        <f>'İşçi Bilgileri'!A219</f>
        <v/>
      </c>
      <c r="B220" s="151" t="str">
        <f>IF($A220="","",VLOOKUP($A220,'İşçi Bilgileri'!$A$2:$D$750,4,FALSE))</f>
        <v/>
      </c>
      <c r="C220" s="151" t="str">
        <f>CONCATENATE(IF($A220="","",VLOOKUP($A220,'İşçi Bilgileri'!$A$2:$D$750,2,FALSE))," ",IF($A220="","",VLOOKUP($A220,'İşçi Bilgileri'!$A$2:$D$750,3,FALSE)))</f>
        <v xml:space="preserve"> </v>
      </c>
      <c r="D220" s="350">
        <v>35527490</v>
      </c>
      <c r="E220" s="350" t="s">
        <v>177</v>
      </c>
      <c r="F220" s="154" t="str">
        <f>IF($A220="","",VLOOKUP($A220,'İşçi Bilgileri'!$A$2:$F$750,6,FALSE))</f>
        <v/>
      </c>
      <c r="G220" s="152" t="str">
        <f>IF($A220="","",VLOOKUP($A220,'MAAŞ BORDROSU'!$A$4:$V$573,17,FALSE))</f>
        <v/>
      </c>
    </row>
    <row r="221" spans="1:7" x14ac:dyDescent="0.2">
      <c r="A221" s="151" t="str">
        <f>'İşçi Bilgileri'!A220</f>
        <v/>
      </c>
      <c r="B221" s="151" t="str">
        <f>IF($A221="","",VLOOKUP($A221,'İşçi Bilgileri'!$A$2:$D$750,4,FALSE))</f>
        <v/>
      </c>
      <c r="C221" s="151" t="str">
        <f>CONCATENATE(IF($A221="","",VLOOKUP($A221,'İşçi Bilgileri'!$A$2:$D$750,2,FALSE))," ",IF($A221="","",VLOOKUP($A221,'İşçi Bilgileri'!$A$2:$D$750,3,FALSE)))</f>
        <v xml:space="preserve"> </v>
      </c>
      <c r="D221" s="350">
        <v>35527490</v>
      </c>
      <c r="E221" s="350" t="s">
        <v>177</v>
      </c>
      <c r="F221" s="154" t="str">
        <f>IF($A221="","",VLOOKUP($A221,'İşçi Bilgileri'!$A$2:$F$750,6,FALSE))</f>
        <v/>
      </c>
      <c r="G221" s="152" t="str">
        <f>IF($A221="","",VLOOKUP($A221,'MAAŞ BORDROSU'!$A$4:$V$573,17,FALSE))</f>
        <v/>
      </c>
    </row>
    <row r="222" spans="1:7" x14ac:dyDescent="0.2">
      <c r="A222" s="151" t="str">
        <f>'İşçi Bilgileri'!A221</f>
        <v/>
      </c>
      <c r="B222" s="151" t="str">
        <f>IF($A222="","",VLOOKUP($A222,'İşçi Bilgileri'!$A$2:$D$750,4,FALSE))</f>
        <v/>
      </c>
      <c r="C222" s="151" t="str">
        <f>CONCATENATE(IF($A222="","",VLOOKUP($A222,'İşçi Bilgileri'!$A$2:$D$750,2,FALSE))," ",IF($A222="","",VLOOKUP($A222,'İşçi Bilgileri'!$A$2:$D$750,3,FALSE)))</f>
        <v xml:space="preserve"> </v>
      </c>
      <c r="D222" s="350">
        <v>35527490</v>
      </c>
      <c r="E222" s="350" t="s">
        <v>177</v>
      </c>
      <c r="F222" s="154" t="str">
        <f>IF($A222="","",VLOOKUP($A222,'İşçi Bilgileri'!$A$2:$F$750,6,FALSE))</f>
        <v/>
      </c>
      <c r="G222" s="152" t="str">
        <f>IF($A222="","",VLOOKUP($A222,'MAAŞ BORDROSU'!$A$4:$V$573,17,FALSE))</f>
        <v/>
      </c>
    </row>
    <row r="223" spans="1:7" x14ac:dyDescent="0.2">
      <c r="A223" s="151" t="str">
        <f>'İşçi Bilgileri'!A222</f>
        <v/>
      </c>
      <c r="B223" s="151" t="str">
        <f>IF($A223="","",VLOOKUP($A223,'İşçi Bilgileri'!$A$2:$D$750,4,FALSE))</f>
        <v/>
      </c>
      <c r="C223" s="151" t="str">
        <f>CONCATENATE(IF($A223="","",VLOOKUP($A223,'İşçi Bilgileri'!$A$2:$D$750,2,FALSE))," ",IF($A223="","",VLOOKUP($A223,'İşçi Bilgileri'!$A$2:$D$750,3,FALSE)))</f>
        <v xml:space="preserve"> </v>
      </c>
      <c r="D223" s="350">
        <v>35527490</v>
      </c>
      <c r="E223" s="350" t="s">
        <v>177</v>
      </c>
      <c r="F223" s="154" t="str">
        <f>IF($A223="","",VLOOKUP($A223,'İşçi Bilgileri'!$A$2:$F$750,6,FALSE))</f>
        <v/>
      </c>
      <c r="G223" s="152" t="str">
        <f>IF($A223="","",VLOOKUP($A223,'MAAŞ BORDROSU'!$A$4:$V$573,17,FALSE))</f>
        <v/>
      </c>
    </row>
    <row r="224" spans="1:7" x14ac:dyDescent="0.2">
      <c r="A224" s="151" t="str">
        <f>'İşçi Bilgileri'!A223</f>
        <v/>
      </c>
      <c r="B224" s="151" t="str">
        <f>IF($A224="","",VLOOKUP($A224,'İşçi Bilgileri'!$A$2:$D$750,4,FALSE))</f>
        <v/>
      </c>
      <c r="C224" s="151" t="str">
        <f>CONCATENATE(IF($A224="","",VLOOKUP($A224,'İşçi Bilgileri'!$A$2:$D$750,2,FALSE))," ",IF($A224="","",VLOOKUP($A224,'İşçi Bilgileri'!$A$2:$D$750,3,FALSE)))</f>
        <v xml:space="preserve"> </v>
      </c>
      <c r="D224" s="350">
        <v>35527490</v>
      </c>
      <c r="E224" s="350" t="s">
        <v>177</v>
      </c>
      <c r="F224" s="154" t="str">
        <f>IF($A224="","",VLOOKUP($A224,'İşçi Bilgileri'!$A$2:$F$750,6,FALSE))</f>
        <v/>
      </c>
      <c r="G224" s="152" t="str">
        <f>IF($A224="","",VLOOKUP($A224,'MAAŞ BORDROSU'!$A$4:$V$573,17,FALSE))</f>
        <v/>
      </c>
    </row>
    <row r="225" spans="1:7" x14ac:dyDescent="0.2">
      <c r="A225" s="151" t="str">
        <f>'İşçi Bilgileri'!A224</f>
        <v/>
      </c>
      <c r="B225" s="151" t="str">
        <f>IF($A225="","",VLOOKUP($A225,'İşçi Bilgileri'!$A$2:$D$750,4,FALSE))</f>
        <v/>
      </c>
      <c r="C225" s="151" t="str">
        <f>CONCATENATE(IF($A225="","",VLOOKUP($A225,'İşçi Bilgileri'!$A$2:$D$750,2,FALSE))," ",IF($A225="","",VLOOKUP($A225,'İşçi Bilgileri'!$A$2:$D$750,3,FALSE)))</f>
        <v xml:space="preserve"> </v>
      </c>
      <c r="D225" s="350">
        <v>35527490</v>
      </c>
      <c r="E225" s="350" t="s">
        <v>177</v>
      </c>
      <c r="F225" s="154" t="str">
        <f>IF($A225="","",VLOOKUP($A225,'İşçi Bilgileri'!$A$2:$F$750,6,FALSE))</f>
        <v/>
      </c>
      <c r="G225" s="152" t="str">
        <f>IF($A225="","",VLOOKUP($A225,'MAAŞ BORDROSU'!$A$4:$V$573,17,FALSE))</f>
        <v/>
      </c>
    </row>
    <row r="226" spans="1:7" x14ac:dyDescent="0.2">
      <c r="A226" s="151" t="str">
        <f>'İşçi Bilgileri'!A225</f>
        <v/>
      </c>
      <c r="B226" s="151" t="str">
        <f>IF($A226="","",VLOOKUP($A226,'İşçi Bilgileri'!$A$2:$D$750,4,FALSE))</f>
        <v/>
      </c>
      <c r="C226" s="151" t="str">
        <f>CONCATENATE(IF($A226="","",VLOOKUP($A226,'İşçi Bilgileri'!$A$2:$D$750,2,FALSE))," ",IF($A226="","",VLOOKUP($A226,'İşçi Bilgileri'!$A$2:$D$750,3,FALSE)))</f>
        <v xml:space="preserve"> </v>
      </c>
      <c r="D226" s="350">
        <v>35527490</v>
      </c>
      <c r="E226" s="350" t="s">
        <v>177</v>
      </c>
      <c r="F226" s="154" t="str">
        <f>IF($A226="","",VLOOKUP($A226,'İşçi Bilgileri'!$A$2:$F$750,6,FALSE))</f>
        <v/>
      </c>
      <c r="G226" s="152" t="str">
        <f>IF($A226="","",VLOOKUP($A226,'MAAŞ BORDROSU'!$A$4:$V$573,17,FALSE))</f>
        <v/>
      </c>
    </row>
    <row r="227" spans="1:7" x14ac:dyDescent="0.2">
      <c r="A227" s="151" t="str">
        <f>'İşçi Bilgileri'!A226</f>
        <v/>
      </c>
      <c r="B227" s="151" t="str">
        <f>IF($A227="","",VLOOKUP($A227,'İşçi Bilgileri'!$A$2:$D$750,4,FALSE))</f>
        <v/>
      </c>
      <c r="C227" s="151" t="str">
        <f>CONCATENATE(IF($A227="","",VLOOKUP($A227,'İşçi Bilgileri'!$A$2:$D$750,2,FALSE))," ",IF($A227="","",VLOOKUP($A227,'İşçi Bilgileri'!$A$2:$D$750,3,FALSE)))</f>
        <v xml:space="preserve"> </v>
      </c>
      <c r="D227" s="350">
        <v>35527490</v>
      </c>
      <c r="E227" s="350" t="s">
        <v>177</v>
      </c>
      <c r="F227" s="154" t="str">
        <f>IF($A227="","",VLOOKUP($A227,'İşçi Bilgileri'!$A$2:$F$750,6,FALSE))</f>
        <v/>
      </c>
      <c r="G227" s="152" t="str">
        <f>IF($A227="","",VLOOKUP($A227,'MAAŞ BORDROSU'!$A$4:$V$573,17,FALSE))</f>
        <v/>
      </c>
    </row>
    <row r="228" spans="1:7" x14ac:dyDescent="0.2">
      <c r="A228" s="151" t="str">
        <f>'İşçi Bilgileri'!A227</f>
        <v/>
      </c>
      <c r="B228" s="151" t="str">
        <f>IF($A228="","",VLOOKUP($A228,'İşçi Bilgileri'!$A$2:$D$750,4,FALSE))</f>
        <v/>
      </c>
      <c r="C228" s="151" t="str">
        <f>CONCATENATE(IF($A228="","",VLOOKUP($A228,'İşçi Bilgileri'!$A$2:$D$750,2,FALSE))," ",IF($A228="","",VLOOKUP($A228,'İşçi Bilgileri'!$A$2:$D$750,3,FALSE)))</f>
        <v xml:space="preserve"> </v>
      </c>
      <c r="D228" s="350">
        <v>35527490</v>
      </c>
      <c r="E228" s="350" t="s">
        <v>177</v>
      </c>
      <c r="F228" s="154" t="str">
        <f>IF($A228="","",VLOOKUP($A228,'İşçi Bilgileri'!$A$2:$F$750,6,FALSE))</f>
        <v/>
      </c>
      <c r="G228" s="152" t="str">
        <f>IF($A228="","",VLOOKUP($A228,'MAAŞ BORDROSU'!$A$4:$V$573,17,FALSE))</f>
        <v/>
      </c>
    </row>
    <row r="229" spans="1:7" x14ac:dyDescent="0.2">
      <c r="A229" s="151" t="str">
        <f>'İşçi Bilgileri'!A228</f>
        <v/>
      </c>
      <c r="B229" s="151" t="str">
        <f>IF($A229="","",VLOOKUP($A229,'İşçi Bilgileri'!$A$2:$D$750,4,FALSE))</f>
        <v/>
      </c>
      <c r="C229" s="151" t="str">
        <f>CONCATENATE(IF($A229="","",VLOOKUP($A229,'İşçi Bilgileri'!$A$2:$D$750,2,FALSE))," ",IF($A229="","",VLOOKUP($A229,'İşçi Bilgileri'!$A$2:$D$750,3,FALSE)))</f>
        <v xml:space="preserve"> </v>
      </c>
      <c r="D229" s="350">
        <v>35527490</v>
      </c>
      <c r="E229" s="350" t="s">
        <v>177</v>
      </c>
      <c r="F229" s="154" t="str">
        <f>IF($A229="","",VLOOKUP($A229,'İşçi Bilgileri'!$A$2:$F$750,6,FALSE))</f>
        <v/>
      </c>
      <c r="G229" s="152" t="str">
        <f>IF($A229="","",VLOOKUP($A229,'MAAŞ BORDROSU'!$A$4:$V$573,17,FALSE))</f>
        <v/>
      </c>
    </row>
    <row r="230" spans="1:7" x14ac:dyDescent="0.2">
      <c r="A230" s="151" t="str">
        <f>'İşçi Bilgileri'!A229</f>
        <v/>
      </c>
      <c r="B230" s="151" t="str">
        <f>IF($A230="","",VLOOKUP($A230,'İşçi Bilgileri'!$A$2:$D$750,4,FALSE))</f>
        <v/>
      </c>
      <c r="C230" s="151" t="str">
        <f>CONCATENATE(IF($A230="","",VLOOKUP($A230,'İşçi Bilgileri'!$A$2:$D$750,2,FALSE))," ",IF($A230="","",VLOOKUP($A230,'İşçi Bilgileri'!$A$2:$D$750,3,FALSE)))</f>
        <v xml:space="preserve"> </v>
      </c>
      <c r="D230" s="350">
        <v>35527490</v>
      </c>
      <c r="E230" s="350" t="s">
        <v>177</v>
      </c>
      <c r="F230" s="154" t="str">
        <f>IF($A230="","",VLOOKUP($A230,'İşçi Bilgileri'!$A$2:$F$750,6,FALSE))</f>
        <v/>
      </c>
      <c r="G230" s="152" t="str">
        <f>IF($A230="","",VLOOKUP($A230,'MAAŞ BORDROSU'!$A$4:$V$573,17,FALSE))</f>
        <v/>
      </c>
    </row>
    <row r="231" spans="1:7" x14ac:dyDescent="0.2">
      <c r="A231" s="151" t="str">
        <f>'İşçi Bilgileri'!A230</f>
        <v/>
      </c>
      <c r="B231" s="151" t="str">
        <f>IF($A231="","",VLOOKUP($A231,'İşçi Bilgileri'!$A$2:$D$750,4,FALSE))</f>
        <v/>
      </c>
      <c r="C231" s="151" t="str">
        <f>CONCATENATE(IF($A231="","",VLOOKUP($A231,'İşçi Bilgileri'!$A$2:$D$750,2,FALSE))," ",IF($A231="","",VLOOKUP($A231,'İşçi Bilgileri'!$A$2:$D$750,3,FALSE)))</f>
        <v xml:space="preserve"> </v>
      </c>
      <c r="D231" s="350">
        <v>35527490</v>
      </c>
      <c r="E231" s="350" t="s">
        <v>177</v>
      </c>
      <c r="F231" s="154" t="str">
        <f>IF($A231="","",VLOOKUP($A231,'İşçi Bilgileri'!$A$2:$F$750,6,FALSE))</f>
        <v/>
      </c>
      <c r="G231" s="152" t="str">
        <f>IF($A231="","",VLOOKUP($A231,'MAAŞ BORDROSU'!$A$4:$V$573,17,FALSE))</f>
        <v/>
      </c>
    </row>
    <row r="232" spans="1:7" x14ac:dyDescent="0.2">
      <c r="A232" s="151" t="str">
        <f>'İşçi Bilgileri'!A231</f>
        <v/>
      </c>
      <c r="B232" s="151" t="str">
        <f>IF($A232="","",VLOOKUP($A232,'İşçi Bilgileri'!$A$2:$D$750,4,FALSE))</f>
        <v/>
      </c>
      <c r="C232" s="151" t="str">
        <f>CONCATENATE(IF($A232="","",VLOOKUP($A232,'İşçi Bilgileri'!$A$2:$D$750,2,FALSE))," ",IF($A232="","",VLOOKUP($A232,'İşçi Bilgileri'!$A$2:$D$750,3,FALSE)))</f>
        <v xml:space="preserve"> </v>
      </c>
      <c r="D232" s="350">
        <v>35527490</v>
      </c>
      <c r="E232" s="350" t="s">
        <v>177</v>
      </c>
      <c r="F232" s="154" t="str">
        <f>IF($A232="","",VLOOKUP($A232,'İşçi Bilgileri'!$A$2:$F$750,6,FALSE))</f>
        <v/>
      </c>
      <c r="G232" s="152" t="str">
        <f>IF($A232="","",VLOOKUP($A232,'MAAŞ BORDROSU'!$A$4:$V$573,17,FALSE))</f>
        <v/>
      </c>
    </row>
    <row r="233" spans="1:7" x14ac:dyDescent="0.2">
      <c r="A233" s="151" t="str">
        <f>'İşçi Bilgileri'!A232</f>
        <v/>
      </c>
      <c r="B233" s="151" t="str">
        <f>IF($A233="","",VLOOKUP($A233,'İşçi Bilgileri'!$A$2:$D$750,4,FALSE))</f>
        <v/>
      </c>
      <c r="C233" s="151" t="str">
        <f>CONCATENATE(IF($A233="","",VLOOKUP($A233,'İşçi Bilgileri'!$A$2:$D$750,2,FALSE))," ",IF($A233="","",VLOOKUP($A233,'İşçi Bilgileri'!$A$2:$D$750,3,FALSE)))</f>
        <v xml:space="preserve"> </v>
      </c>
      <c r="D233" s="350">
        <v>35527490</v>
      </c>
      <c r="E233" s="350" t="s">
        <v>177</v>
      </c>
      <c r="F233" s="154" t="str">
        <f>IF($A233="","",VLOOKUP($A233,'İşçi Bilgileri'!$A$2:$F$750,6,FALSE))</f>
        <v/>
      </c>
      <c r="G233" s="152" t="str">
        <f>IF($A233="","",VLOOKUP($A233,'MAAŞ BORDROSU'!$A$4:$V$573,17,FALSE))</f>
        <v/>
      </c>
    </row>
    <row r="234" spans="1:7" x14ac:dyDescent="0.2">
      <c r="A234" s="151" t="str">
        <f>'İşçi Bilgileri'!A233</f>
        <v/>
      </c>
      <c r="B234" s="151" t="str">
        <f>IF($A234="","",VLOOKUP($A234,'İşçi Bilgileri'!$A$2:$D$750,4,FALSE))</f>
        <v/>
      </c>
      <c r="C234" s="151" t="str">
        <f>CONCATENATE(IF($A234="","",VLOOKUP($A234,'İşçi Bilgileri'!$A$2:$D$750,2,FALSE))," ",IF($A234="","",VLOOKUP($A234,'İşçi Bilgileri'!$A$2:$D$750,3,FALSE)))</f>
        <v xml:space="preserve"> </v>
      </c>
      <c r="D234" s="350">
        <v>35527490</v>
      </c>
      <c r="E234" s="350" t="s">
        <v>177</v>
      </c>
      <c r="F234" s="154" t="str">
        <f>IF($A234="","",VLOOKUP($A234,'İşçi Bilgileri'!$A$2:$F$750,6,FALSE))</f>
        <v/>
      </c>
      <c r="G234" s="152" t="str">
        <f>IF($A234="","",VLOOKUP($A234,'MAAŞ BORDROSU'!$A$4:$V$573,17,FALSE))</f>
        <v/>
      </c>
    </row>
    <row r="235" spans="1:7" x14ac:dyDescent="0.2">
      <c r="A235" s="151" t="str">
        <f>'İşçi Bilgileri'!A234</f>
        <v/>
      </c>
      <c r="B235" s="151" t="str">
        <f>IF($A235="","",VLOOKUP($A235,'İşçi Bilgileri'!$A$2:$D$750,4,FALSE))</f>
        <v/>
      </c>
      <c r="C235" s="151" t="str">
        <f>CONCATENATE(IF($A235="","",VLOOKUP($A235,'İşçi Bilgileri'!$A$2:$D$750,2,FALSE))," ",IF($A235="","",VLOOKUP($A235,'İşçi Bilgileri'!$A$2:$D$750,3,FALSE)))</f>
        <v xml:space="preserve"> </v>
      </c>
      <c r="D235" s="350">
        <v>35527490</v>
      </c>
      <c r="E235" s="350" t="s">
        <v>177</v>
      </c>
      <c r="F235" s="154" t="str">
        <f>IF($A235="","",VLOOKUP($A235,'İşçi Bilgileri'!$A$2:$F$750,6,FALSE))</f>
        <v/>
      </c>
      <c r="G235" s="152" t="str">
        <f>IF($A235="","",VLOOKUP($A235,'MAAŞ BORDROSU'!$A$4:$V$573,17,FALSE))</f>
        <v/>
      </c>
    </row>
    <row r="236" spans="1:7" x14ac:dyDescent="0.2">
      <c r="A236" s="151" t="str">
        <f>'İşçi Bilgileri'!A235</f>
        <v/>
      </c>
      <c r="B236" s="151" t="str">
        <f>IF($A236="","",VLOOKUP($A236,'İşçi Bilgileri'!$A$2:$D$750,4,FALSE))</f>
        <v/>
      </c>
      <c r="C236" s="151" t="str">
        <f>CONCATENATE(IF($A236="","",VLOOKUP($A236,'İşçi Bilgileri'!$A$2:$D$750,2,FALSE))," ",IF($A236="","",VLOOKUP($A236,'İşçi Bilgileri'!$A$2:$D$750,3,FALSE)))</f>
        <v xml:space="preserve"> </v>
      </c>
      <c r="D236" s="350">
        <v>35527490</v>
      </c>
      <c r="E236" s="350" t="s">
        <v>177</v>
      </c>
      <c r="F236" s="154" t="str">
        <f>IF($A236="","",VLOOKUP($A236,'İşçi Bilgileri'!$A$2:$F$750,6,FALSE))</f>
        <v/>
      </c>
      <c r="G236" s="152" t="str">
        <f>IF($A236="","",VLOOKUP($A236,'MAAŞ BORDROSU'!$A$4:$V$573,17,FALSE))</f>
        <v/>
      </c>
    </row>
    <row r="237" spans="1:7" x14ac:dyDescent="0.2">
      <c r="A237" s="151" t="str">
        <f>'İşçi Bilgileri'!A236</f>
        <v/>
      </c>
      <c r="B237" s="151" t="str">
        <f>IF($A237="","",VLOOKUP($A237,'İşçi Bilgileri'!$A$2:$D$750,4,FALSE))</f>
        <v/>
      </c>
      <c r="C237" s="151" t="str">
        <f>CONCATENATE(IF($A237="","",VLOOKUP($A237,'İşçi Bilgileri'!$A$2:$D$750,2,FALSE))," ",IF($A237="","",VLOOKUP($A237,'İşçi Bilgileri'!$A$2:$D$750,3,FALSE)))</f>
        <v xml:space="preserve"> </v>
      </c>
      <c r="D237" s="350">
        <v>35527490</v>
      </c>
      <c r="E237" s="350" t="s">
        <v>177</v>
      </c>
      <c r="F237" s="154" t="str">
        <f>IF($A237="","",VLOOKUP($A237,'İşçi Bilgileri'!$A$2:$F$750,6,FALSE))</f>
        <v/>
      </c>
      <c r="G237" s="152" t="str">
        <f>IF($A237="","",VLOOKUP($A237,'MAAŞ BORDROSU'!$A$4:$V$573,17,FALSE))</f>
        <v/>
      </c>
    </row>
    <row r="238" spans="1:7" x14ac:dyDescent="0.2">
      <c r="A238" s="151" t="str">
        <f>'İşçi Bilgileri'!A237</f>
        <v/>
      </c>
      <c r="B238" s="151" t="str">
        <f>IF($A238="","",VLOOKUP($A238,'İşçi Bilgileri'!$A$2:$D$750,4,FALSE))</f>
        <v/>
      </c>
      <c r="C238" s="151" t="str">
        <f>CONCATENATE(IF($A238="","",VLOOKUP($A238,'İşçi Bilgileri'!$A$2:$D$750,2,FALSE))," ",IF($A238="","",VLOOKUP($A238,'İşçi Bilgileri'!$A$2:$D$750,3,FALSE)))</f>
        <v xml:space="preserve"> </v>
      </c>
      <c r="D238" s="350">
        <v>35527490</v>
      </c>
      <c r="E238" s="350" t="s">
        <v>177</v>
      </c>
      <c r="F238" s="154" t="str">
        <f>IF($A238="","",VLOOKUP($A238,'İşçi Bilgileri'!$A$2:$F$750,6,FALSE))</f>
        <v/>
      </c>
      <c r="G238" s="152" t="str">
        <f>IF($A238="","",VLOOKUP($A238,'MAAŞ BORDROSU'!$A$4:$V$573,17,FALSE))</f>
        <v/>
      </c>
    </row>
    <row r="239" spans="1:7" x14ac:dyDescent="0.2">
      <c r="A239" s="151" t="str">
        <f>'İşçi Bilgileri'!A238</f>
        <v/>
      </c>
      <c r="B239" s="151" t="str">
        <f>IF($A239="","",VLOOKUP($A239,'İşçi Bilgileri'!$A$2:$D$750,4,FALSE))</f>
        <v/>
      </c>
      <c r="C239" s="151" t="str">
        <f>CONCATENATE(IF($A239="","",VLOOKUP($A239,'İşçi Bilgileri'!$A$2:$D$750,2,FALSE))," ",IF($A239="","",VLOOKUP($A239,'İşçi Bilgileri'!$A$2:$D$750,3,FALSE)))</f>
        <v xml:space="preserve"> </v>
      </c>
      <c r="D239" s="350">
        <v>35527490</v>
      </c>
      <c r="E239" s="350" t="s">
        <v>177</v>
      </c>
      <c r="F239" s="154" t="str">
        <f>IF($A239="","",VLOOKUP($A239,'İşçi Bilgileri'!$A$2:$F$750,6,FALSE))</f>
        <v/>
      </c>
      <c r="G239" s="152" t="str">
        <f>IF($A239="","",VLOOKUP($A239,'MAAŞ BORDROSU'!$A$4:$V$573,17,FALSE))</f>
        <v/>
      </c>
    </row>
    <row r="240" spans="1:7" x14ac:dyDescent="0.2">
      <c r="A240" s="151" t="str">
        <f>'İşçi Bilgileri'!A239</f>
        <v/>
      </c>
      <c r="B240" s="151" t="str">
        <f>IF($A240="","",VLOOKUP($A240,'İşçi Bilgileri'!$A$2:$D$750,4,FALSE))</f>
        <v/>
      </c>
      <c r="C240" s="151" t="str">
        <f>CONCATENATE(IF($A240="","",VLOOKUP($A240,'İşçi Bilgileri'!$A$2:$D$750,2,FALSE))," ",IF($A240="","",VLOOKUP($A240,'İşçi Bilgileri'!$A$2:$D$750,3,FALSE)))</f>
        <v xml:space="preserve"> </v>
      </c>
      <c r="D240" s="350">
        <v>35527490</v>
      </c>
      <c r="E240" s="350" t="s">
        <v>177</v>
      </c>
      <c r="F240" s="154" t="str">
        <f>IF($A240="","",VLOOKUP($A240,'İşçi Bilgileri'!$A$2:$F$750,6,FALSE))</f>
        <v/>
      </c>
      <c r="G240" s="152" t="str">
        <f>IF($A240="","",VLOOKUP($A240,'MAAŞ BORDROSU'!$A$4:$V$573,17,FALSE))</f>
        <v/>
      </c>
    </row>
    <row r="241" spans="1:7" x14ac:dyDescent="0.2">
      <c r="A241" s="151" t="str">
        <f>'İşçi Bilgileri'!A240</f>
        <v/>
      </c>
      <c r="B241" s="151" t="str">
        <f>IF($A241="","",VLOOKUP($A241,'İşçi Bilgileri'!$A$2:$D$750,4,FALSE))</f>
        <v/>
      </c>
      <c r="C241" s="151" t="str">
        <f>CONCATENATE(IF($A241="","",VLOOKUP($A241,'İşçi Bilgileri'!$A$2:$D$750,2,FALSE))," ",IF($A241="","",VLOOKUP($A241,'İşçi Bilgileri'!$A$2:$D$750,3,FALSE)))</f>
        <v xml:space="preserve"> </v>
      </c>
      <c r="D241" s="350">
        <v>35527490</v>
      </c>
      <c r="E241" s="350" t="s">
        <v>177</v>
      </c>
      <c r="F241" s="154" t="str">
        <f>IF($A241="","",VLOOKUP($A241,'İşçi Bilgileri'!$A$2:$F$750,6,FALSE))</f>
        <v/>
      </c>
      <c r="G241" s="152" t="str">
        <f>IF($A241="","",VLOOKUP($A241,'MAAŞ BORDROSU'!$A$4:$V$573,17,FALSE))</f>
        <v/>
      </c>
    </row>
    <row r="242" spans="1:7" x14ac:dyDescent="0.2">
      <c r="A242" s="151" t="str">
        <f>'İşçi Bilgileri'!A241</f>
        <v/>
      </c>
      <c r="B242" s="151" t="str">
        <f>IF($A242="","",VLOOKUP($A242,'İşçi Bilgileri'!$A$2:$D$750,4,FALSE))</f>
        <v/>
      </c>
      <c r="C242" s="151" t="str">
        <f>CONCATENATE(IF($A242="","",VLOOKUP($A242,'İşçi Bilgileri'!$A$2:$D$750,2,FALSE))," ",IF($A242="","",VLOOKUP($A242,'İşçi Bilgileri'!$A$2:$D$750,3,FALSE)))</f>
        <v xml:space="preserve"> </v>
      </c>
      <c r="D242" s="350">
        <v>35527490</v>
      </c>
      <c r="E242" s="350" t="s">
        <v>177</v>
      </c>
      <c r="F242" s="154" t="str">
        <f>IF($A242="","",VLOOKUP($A242,'İşçi Bilgileri'!$A$2:$F$750,6,FALSE))</f>
        <v/>
      </c>
      <c r="G242" s="152" t="str">
        <f>IF($A242="","",VLOOKUP($A242,'MAAŞ BORDROSU'!$A$4:$V$573,17,FALSE))</f>
        <v/>
      </c>
    </row>
    <row r="243" spans="1:7" x14ac:dyDescent="0.2">
      <c r="A243" s="151" t="str">
        <f>'İşçi Bilgileri'!A242</f>
        <v/>
      </c>
      <c r="B243" s="151" t="str">
        <f>IF($A243="","",VLOOKUP($A243,'İşçi Bilgileri'!$A$2:$D$750,4,FALSE))</f>
        <v/>
      </c>
      <c r="C243" s="151" t="str">
        <f>CONCATENATE(IF($A243="","",VLOOKUP($A243,'İşçi Bilgileri'!$A$2:$D$750,2,FALSE))," ",IF($A243="","",VLOOKUP($A243,'İşçi Bilgileri'!$A$2:$D$750,3,FALSE)))</f>
        <v xml:space="preserve"> </v>
      </c>
      <c r="D243" s="350">
        <v>35527490</v>
      </c>
      <c r="E243" s="350" t="s">
        <v>177</v>
      </c>
      <c r="F243" s="154" t="str">
        <f>IF($A243="","",VLOOKUP($A243,'İşçi Bilgileri'!$A$2:$F$750,6,FALSE))</f>
        <v/>
      </c>
      <c r="G243" s="152" t="str">
        <f>IF($A243="","",VLOOKUP($A243,'MAAŞ BORDROSU'!$A$4:$V$573,17,FALSE))</f>
        <v/>
      </c>
    </row>
    <row r="244" spans="1:7" x14ac:dyDescent="0.2">
      <c r="A244" s="151" t="str">
        <f>'İşçi Bilgileri'!A243</f>
        <v/>
      </c>
      <c r="B244" s="151" t="str">
        <f>IF($A244="","",VLOOKUP($A244,'İşçi Bilgileri'!$A$2:$D$750,4,FALSE))</f>
        <v/>
      </c>
      <c r="C244" s="151" t="str">
        <f>CONCATENATE(IF($A244="","",VLOOKUP($A244,'İşçi Bilgileri'!$A$2:$D$750,2,FALSE))," ",IF($A244="","",VLOOKUP($A244,'İşçi Bilgileri'!$A$2:$D$750,3,FALSE)))</f>
        <v xml:space="preserve"> </v>
      </c>
      <c r="D244" s="350">
        <v>35527490</v>
      </c>
      <c r="E244" s="350" t="s">
        <v>177</v>
      </c>
      <c r="F244" s="154" t="str">
        <f>IF($A244="","",VLOOKUP($A244,'İşçi Bilgileri'!$A$2:$F$750,6,FALSE))</f>
        <v/>
      </c>
      <c r="G244" s="152" t="str">
        <f>IF($A244="","",VLOOKUP($A244,'MAAŞ BORDROSU'!$A$4:$V$573,17,FALSE))</f>
        <v/>
      </c>
    </row>
    <row r="245" spans="1:7" x14ac:dyDescent="0.2">
      <c r="A245" s="151" t="str">
        <f>'İşçi Bilgileri'!A244</f>
        <v/>
      </c>
      <c r="B245" s="151" t="str">
        <f>IF($A245="","",VLOOKUP($A245,'İşçi Bilgileri'!$A$2:$D$750,4,FALSE))</f>
        <v/>
      </c>
      <c r="C245" s="151" t="str">
        <f>CONCATENATE(IF($A245="","",VLOOKUP($A245,'İşçi Bilgileri'!$A$2:$D$750,2,FALSE))," ",IF($A245="","",VLOOKUP($A245,'İşçi Bilgileri'!$A$2:$D$750,3,FALSE)))</f>
        <v xml:space="preserve"> </v>
      </c>
      <c r="D245" s="350">
        <v>35527490</v>
      </c>
      <c r="E245" s="350" t="s">
        <v>177</v>
      </c>
      <c r="F245" s="154" t="str">
        <f>IF($A245="","",VLOOKUP($A245,'İşçi Bilgileri'!$A$2:$F$750,6,FALSE))</f>
        <v/>
      </c>
      <c r="G245" s="152" t="str">
        <f>IF($A245="","",VLOOKUP($A245,'MAAŞ BORDROSU'!$A$4:$V$573,17,FALSE))</f>
        <v/>
      </c>
    </row>
    <row r="246" spans="1:7" x14ac:dyDescent="0.2">
      <c r="A246" s="151" t="str">
        <f>'İşçi Bilgileri'!A245</f>
        <v/>
      </c>
      <c r="B246" s="151" t="str">
        <f>IF($A246="","",VLOOKUP($A246,'İşçi Bilgileri'!$A$2:$D$750,4,FALSE))</f>
        <v/>
      </c>
      <c r="C246" s="151" t="str">
        <f>CONCATENATE(IF($A246="","",VLOOKUP($A246,'İşçi Bilgileri'!$A$2:$D$750,2,FALSE))," ",IF($A246="","",VLOOKUP($A246,'İşçi Bilgileri'!$A$2:$D$750,3,FALSE)))</f>
        <v xml:space="preserve"> </v>
      </c>
      <c r="D246" s="350">
        <v>35527490</v>
      </c>
      <c r="E246" s="350" t="s">
        <v>177</v>
      </c>
      <c r="F246" s="154" t="str">
        <f>IF($A246="","",VLOOKUP($A246,'İşçi Bilgileri'!$A$2:$F$750,6,FALSE))</f>
        <v/>
      </c>
      <c r="G246" s="152" t="str">
        <f>IF($A246="","",VLOOKUP($A246,'MAAŞ BORDROSU'!$A$4:$V$573,17,FALSE))</f>
        <v/>
      </c>
    </row>
    <row r="247" spans="1:7" x14ac:dyDescent="0.2">
      <c r="A247" s="151" t="str">
        <f>'İşçi Bilgileri'!A246</f>
        <v/>
      </c>
      <c r="B247" s="151" t="str">
        <f>IF($A247="","",VLOOKUP($A247,'İşçi Bilgileri'!$A$2:$D$750,4,FALSE))</f>
        <v/>
      </c>
      <c r="C247" s="151" t="str">
        <f>CONCATENATE(IF($A247="","",VLOOKUP($A247,'İşçi Bilgileri'!$A$2:$D$750,2,FALSE))," ",IF($A247="","",VLOOKUP($A247,'İşçi Bilgileri'!$A$2:$D$750,3,FALSE)))</f>
        <v xml:space="preserve"> </v>
      </c>
      <c r="D247" s="350">
        <v>35527490</v>
      </c>
      <c r="E247" s="350" t="s">
        <v>177</v>
      </c>
      <c r="F247" s="154" t="str">
        <f>IF($A247="","",VLOOKUP($A247,'İşçi Bilgileri'!$A$2:$F$750,6,FALSE))</f>
        <v/>
      </c>
      <c r="G247" s="152" t="str">
        <f>IF($A247="","",VLOOKUP($A247,'MAAŞ BORDROSU'!$A$4:$V$573,17,FALSE))</f>
        <v/>
      </c>
    </row>
    <row r="248" spans="1:7" x14ac:dyDescent="0.2">
      <c r="A248" s="151" t="str">
        <f>'İşçi Bilgileri'!A247</f>
        <v/>
      </c>
      <c r="B248" s="151" t="str">
        <f>IF($A248="","",VLOOKUP($A248,'İşçi Bilgileri'!$A$2:$D$750,4,FALSE))</f>
        <v/>
      </c>
      <c r="C248" s="151" t="str">
        <f>CONCATENATE(IF($A248="","",VLOOKUP($A248,'İşçi Bilgileri'!$A$2:$D$750,2,FALSE))," ",IF($A248="","",VLOOKUP($A248,'İşçi Bilgileri'!$A$2:$D$750,3,FALSE)))</f>
        <v xml:space="preserve"> </v>
      </c>
      <c r="D248" s="350">
        <v>35527490</v>
      </c>
      <c r="E248" s="350" t="s">
        <v>177</v>
      </c>
      <c r="F248" s="154" t="str">
        <f>IF($A248="","",VLOOKUP($A248,'İşçi Bilgileri'!$A$2:$F$750,6,FALSE))</f>
        <v/>
      </c>
      <c r="G248" s="152" t="str">
        <f>IF($A248="","",VLOOKUP($A248,'MAAŞ BORDROSU'!$A$4:$V$573,17,FALSE))</f>
        <v/>
      </c>
    </row>
    <row r="249" spans="1:7" x14ac:dyDescent="0.2">
      <c r="A249" s="151" t="str">
        <f>'İşçi Bilgileri'!A248</f>
        <v/>
      </c>
      <c r="B249" s="151" t="str">
        <f>IF($A249="","",VLOOKUP($A249,'İşçi Bilgileri'!$A$2:$D$750,4,FALSE))</f>
        <v/>
      </c>
      <c r="C249" s="151" t="str">
        <f>CONCATENATE(IF($A249="","",VLOOKUP($A249,'İşçi Bilgileri'!$A$2:$D$750,2,FALSE))," ",IF($A249="","",VLOOKUP($A249,'İşçi Bilgileri'!$A$2:$D$750,3,FALSE)))</f>
        <v xml:space="preserve"> </v>
      </c>
      <c r="D249" s="350">
        <v>35527490</v>
      </c>
      <c r="E249" s="350" t="s">
        <v>177</v>
      </c>
      <c r="F249" s="154" t="str">
        <f>IF($A249="","",VLOOKUP($A249,'İşçi Bilgileri'!$A$2:$F$750,6,FALSE))</f>
        <v/>
      </c>
      <c r="G249" s="152" t="str">
        <f>IF($A249="","",VLOOKUP($A249,'MAAŞ BORDROSU'!$A$4:$V$573,17,FALSE))</f>
        <v/>
      </c>
    </row>
    <row r="250" spans="1:7" x14ac:dyDescent="0.2">
      <c r="A250" s="151" t="str">
        <f>'İşçi Bilgileri'!A249</f>
        <v/>
      </c>
      <c r="B250" s="151" t="str">
        <f>IF($A250="","",VLOOKUP($A250,'İşçi Bilgileri'!$A$2:$D$750,4,FALSE))</f>
        <v/>
      </c>
      <c r="C250" s="151" t="str">
        <f>CONCATENATE(IF($A250="","",VLOOKUP($A250,'İşçi Bilgileri'!$A$2:$D$750,2,FALSE))," ",IF($A250="","",VLOOKUP($A250,'İşçi Bilgileri'!$A$2:$D$750,3,FALSE)))</f>
        <v xml:space="preserve"> </v>
      </c>
      <c r="D250" s="350">
        <v>35527490</v>
      </c>
      <c r="E250" s="350" t="s">
        <v>177</v>
      </c>
      <c r="F250" s="154" t="str">
        <f>IF($A250="","",VLOOKUP($A250,'İşçi Bilgileri'!$A$2:$F$750,6,FALSE))</f>
        <v/>
      </c>
      <c r="G250" s="152" t="str">
        <f>IF($A250="","",VLOOKUP($A250,'MAAŞ BORDROSU'!$A$4:$V$573,17,FALSE))</f>
        <v/>
      </c>
    </row>
    <row r="251" spans="1:7" x14ac:dyDescent="0.2">
      <c r="A251" s="151" t="str">
        <f>'İşçi Bilgileri'!A250</f>
        <v/>
      </c>
      <c r="B251" s="151" t="str">
        <f>IF($A251="","",VLOOKUP($A251,'İşçi Bilgileri'!$A$2:$D$750,4,FALSE))</f>
        <v/>
      </c>
      <c r="C251" s="151" t="str">
        <f>CONCATENATE(IF($A251="","",VLOOKUP($A251,'İşçi Bilgileri'!$A$2:$D$750,2,FALSE))," ",IF($A251="","",VLOOKUP($A251,'İşçi Bilgileri'!$A$2:$D$750,3,FALSE)))</f>
        <v xml:space="preserve"> </v>
      </c>
      <c r="D251" s="350">
        <v>35527490</v>
      </c>
      <c r="E251" s="350" t="s">
        <v>177</v>
      </c>
      <c r="F251" s="154" t="str">
        <f>IF($A251="","",VLOOKUP($A251,'İşçi Bilgileri'!$A$2:$F$750,6,FALSE))</f>
        <v/>
      </c>
      <c r="G251" s="152" t="str">
        <f>IF($A251="","",VLOOKUP($A251,'MAAŞ BORDROSU'!$A$4:$V$573,17,FALSE))</f>
        <v/>
      </c>
    </row>
    <row r="252" spans="1:7" x14ac:dyDescent="0.2">
      <c r="A252" s="151" t="str">
        <f>'İşçi Bilgileri'!A251</f>
        <v/>
      </c>
      <c r="B252" s="151" t="str">
        <f>IF($A252="","",VLOOKUP($A252,'İşçi Bilgileri'!$A$2:$D$750,4,FALSE))</f>
        <v/>
      </c>
      <c r="C252" s="151" t="str">
        <f>CONCATENATE(IF($A252="","",VLOOKUP($A252,'İşçi Bilgileri'!$A$2:$D$750,2,FALSE))," ",IF($A252="","",VLOOKUP($A252,'İşçi Bilgileri'!$A$2:$D$750,3,FALSE)))</f>
        <v xml:space="preserve"> </v>
      </c>
      <c r="D252" s="350">
        <v>35527490</v>
      </c>
      <c r="E252" s="350" t="s">
        <v>177</v>
      </c>
      <c r="F252" s="154" t="str">
        <f>IF($A252="","",VLOOKUP($A252,'İşçi Bilgileri'!$A$2:$F$750,6,FALSE))</f>
        <v/>
      </c>
      <c r="G252" s="152" t="str">
        <f>IF($A252="","",VLOOKUP($A252,'MAAŞ BORDROSU'!$A$4:$V$573,17,FALSE))</f>
        <v/>
      </c>
    </row>
    <row r="253" spans="1:7" x14ac:dyDescent="0.2">
      <c r="A253" s="151" t="str">
        <f>'İşçi Bilgileri'!A252</f>
        <v/>
      </c>
      <c r="B253" s="151" t="str">
        <f>IF($A253="","",VLOOKUP($A253,'İşçi Bilgileri'!$A$2:$D$750,4,FALSE))</f>
        <v/>
      </c>
      <c r="C253" s="151" t="str">
        <f>CONCATENATE(IF($A253="","",VLOOKUP($A253,'İşçi Bilgileri'!$A$2:$D$750,2,FALSE))," ",IF($A253="","",VLOOKUP($A253,'İşçi Bilgileri'!$A$2:$D$750,3,FALSE)))</f>
        <v xml:space="preserve"> </v>
      </c>
      <c r="D253" s="350">
        <v>35527490</v>
      </c>
      <c r="E253" s="350" t="s">
        <v>177</v>
      </c>
      <c r="F253" s="154" t="str">
        <f>IF($A253="","",VLOOKUP($A253,'İşçi Bilgileri'!$A$2:$F$750,6,FALSE))</f>
        <v/>
      </c>
      <c r="G253" s="152" t="str">
        <f>IF($A253="","",VLOOKUP($A253,'MAAŞ BORDROSU'!$A$4:$V$573,17,FALSE))</f>
        <v/>
      </c>
    </row>
    <row r="254" spans="1:7" x14ac:dyDescent="0.2">
      <c r="A254" s="151" t="str">
        <f>'İşçi Bilgileri'!A253</f>
        <v/>
      </c>
      <c r="B254" s="151" t="str">
        <f>IF($A254="","",VLOOKUP($A254,'İşçi Bilgileri'!$A$2:$D$750,4,FALSE))</f>
        <v/>
      </c>
      <c r="C254" s="151" t="str">
        <f>CONCATENATE(IF($A254="","",VLOOKUP($A254,'İşçi Bilgileri'!$A$2:$D$750,2,FALSE))," ",IF($A254="","",VLOOKUP($A254,'İşçi Bilgileri'!$A$2:$D$750,3,FALSE)))</f>
        <v xml:space="preserve"> </v>
      </c>
      <c r="D254" s="350">
        <v>35527490</v>
      </c>
      <c r="E254" s="350" t="s">
        <v>177</v>
      </c>
      <c r="F254" s="154" t="str">
        <f>IF($A254="","",VLOOKUP($A254,'İşçi Bilgileri'!$A$2:$F$750,6,FALSE))</f>
        <v/>
      </c>
      <c r="G254" s="152" t="str">
        <f>IF($A254="","",VLOOKUP($A254,'MAAŞ BORDROSU'!$A$4:$V$573,17,FALSE))</f>
        <v/>
      </c>
    </row>
    <row r="255" spans="1:7" x14ac:dyDescent="0.2">
      <c r="A255" s="151" t="str">
        <f>'İşçi Bilgileri'!A254</f>
        <v/>
      </c>
      <c r="B255" s="151" t="str">
        <f>IF($A255="","",VLOOKUP($A255,'İşçi Bilgileri'!$A$2:$D$750,4,FALSE))</f>
        <v/>
      </c>
      <c r="C255" s="151" t="str">
        <f>CONCATENATE(IF($A255="","",VLOOKUP($A255,'İşçi Bilgileri'!$A$2:$D$750,2,FALSE))," ",IF($A255="","",VLOOKUP($A255,'İşçi Bilgileri'!$A$2:$D$750,3,FALSE)))</f>
        <v xml:space="preserve"> </v>
      </c>
      <c r="D255" s="350">
        <v>35527490</v>
      </c>
      <c r="E255" s="350" t="s">
        <v>177</v>
      </c>
      <c r="F255" s="154" t="str">
        <f>IF($A255="","",VLOOKUP($A255,'İşçi Bilgileri'!$A$2:$F$750,6,FALSE))</f>
        <v/>
      </c>
      <c r="G255" s="152" t="str">
        <f>IF($A255="","",VLOOKUP($A255,'MAAŞ BORDROSU'!$A$4:$V$573,17,FALSE))</f>
        <v/>
      </c>
    </row>
    <row r="256" spans="1:7" x14ac:dyDescent="0.2">
      <c r="A256" s="151" t="str">
        <f>'İşçi Bilgileri'!A255</f>
        <v/>
      </c>
      <c r="B256" s="151" t="str">
        <f>IF($A256="","",VLOOKUP($A256,'İşçi Bilgileri'!$A$2:$D$750,4,FALSE))</f>
        <v/>
      </c>
      <c r="C256" s="151" t="str">
        <f>CONCATENATE(IF($A256="","",VLOOKUP($A256,'İşçi Bilgileri'!$A$2:$D$750,2,FALSE))," ",IF($A256="","",VLOOKUP($A256,'İşçi Bilgileri'!$A$2:$D$750,3,FALSE)))</f>
        <v xml:space="preserve"> </v>
      </c>
      <c r="D256" s="350">
        <v>35527490</v>
      </c>
      <c r="E256" s="350" t="s">
        <v>177</v>
      </c>
      <c r="F256" s="154" t="str">
        <f>IF($A256="","",VLOOKUP($A256,'İşçi Bilgileri'!$A$2:$F$750,6,FALSE))</f>
        <v/>
      </c>
      <c r="G256" s="152" t="str">
        <f>IF($A256="","",VLOOKUP($A256,'MAAŞ BORDROSU'!$A$4:$V$573,17,FALSE))</f>
        <v/>
      </c>
    </row>
    <row r="257" spans="1:7" x14ac:dyDescent="0.2">
      <c r="A257" s="151" t="str">
        <f>'İşçi Bilgileri'!A256</f>
        <v/>
      </c>
      <c r="B257" s="151" t="str">
        <f>IF($A257="","",VLOOKUP($A257,'İşçi Bilgileri'!$A$2:$D$750,4,FALSE))</f>
        <v/>
      </c>
      <c r="C257" s="151" t="str">
        <f>CONCATENATE(IF($A257="","",VLOOKUP($A257,'İşçi Bilgileri'!$A$2:$D$750,2,FALSE))," ",IF($A257="","",VLOOKUP($A257,'İşçi Bilgileri'!$A$2:$D$750,3,FALSE)))</f>
        <v xml:space="preserve"> </v>
      </c>
      <c r="D257" s="350">
        <v>35527490</v>
      </c>
      <c r="E257" s="350" t="s">
        <v>177</v>
      </c>
      <c r="F257" s="154" t="str">
        <f>IF($A257="","",VLOOKUP($A257,'İşçi Bilgileri'!$A$2:$F$750,6,FALSE))</f>
        <v/>
      </c>
      <c r="G257" s="152" t="str">
        <f>IF($A257="","",VLOOKUP($A257,'MAAŞ BORDROSU'!$A$4:$V$573,17,FALSE))</f>
        <v/>
      </c>
    </row>
    <row r="258" spans="1:7" x14ac:dyDescent="0.2">
      <c r="A258" s="151" t="str">
        <f>'İşçi Bilgileri'!A257</f>
        <v/>
      </c>
      <c r="B258" s="151" t="str">
        <f>IF($A258="","",VLOOKUP($A258,'İşçi Bilgileri'!$A$2:$D$750,4,FALSE))</f>
        <v/>
      </c>
      <c r="C258" s="151" t="str">
        <f>CONCATENATE(IF($A258="","",VLOOKUP($A258,'İşçi Bilgileri'!$A$2:$D$750,2,FALSE))," ",IF($A258="","",VLOOKUP($A258,'İşçi Bilgileri'!$A$2:$D$750,3,FALSE)))</f>
        <v xml:space="preserve"> </v>
      </c>
      <c r="D258" s="350">
        <v>35527490</v>
      </c>
      <c r="E258" s="350" t="s">
        <v>177</v>
      </c>
      <c r="F258" s="154" t="str">
        <f>IF($A258="","",VLOOKUP($A258,'İşçi Bilgileri'!$A$2:$F$750,6,FALSE))</f>
        <v/>
      </c>
      <c r="G258" s="152" t="str">
        <f>IF($A258="","",VLOOKUP($A258,'MAAŞ BORDROSU'!$A$4:$V$573,17,FALSE))</f>
        <v/>
      </c>
    </row>
    <row r="259" spans="1:7" x14ac:dyDescent="0.2">
      <c r="A259" s="151" t="str">
        <f>'İşçi Bilgileri'!A258</f>
        <v/>
      </c>
      <c r="B259" s="151" t="str">
        <f>IF($A259="","",VLOOKUP($A259,'İşçi Bilgileri'!$A$2:$D$750,4,FALSE))</f>
        <v/>
      </c>
      <c r="C259" s="151" t="str">
        <f>CONCATENATE(IF($A259="","",VLOOKUP($A259,'İşçi Bilgileri'!$A$2:$D$750,2,FALSE))," ",IF($A259="","",VLOOKUP($A259,'İşçi Bilgileri'!$A$2:$D$750,3,FALSE)))</f>
        <v xml:space="preserve"> </v>
      </c>
      <c r="D259" s="350">
        <v>35527490</v>
      </c>
      <c r="E259" s="350" t="s">
        <v>177</v>
      </c>
      <c r="F259" s="154" t="str">
        <f>IF($A259="","",VLOOKUP($A259,'İşçi Bilgileri'!$A$2:$F$750,6,FALSE))</f>
        <v/>
      </c>
      <c r="G259" s="152" t="str">
        <f>IF($A259="","",VLOOKUP($A259,'MAAŞ BORDROSU'!$A$4:$V$573,17,FALSE))</f>
        <v/>
      </c>
    </row>
    <row r="260" spans="1:7" x14ac:dyDescent="0.2">
      <c r="A260" s="151" t="str">
        <f>'İşçi Bilgileri'!A259</f>
        <v/>
      </c>
      <c r="B260" s="151" t="str">
        <f>IF($A260="","",VLOOKUP($A260,'İşçi Bilgileri'!$A$2:$D$750,4,FALSE))</f>
        <v/>
      </c>
      <c r="C260" s="151" t="str">
        <f>CONCATENATE(IF($A260="","",VLOOKUP($A260,'İşçi Bilgileri'!$A$2:$D$750,2,FALSE))," ",IF($A260="","",VLOOKUP($A260,'İşçi Bilgileri'!$A$2:$D$750,3,FALSE)))</f>
        <v xml:space="preserve"> </v>
      </c>
      <c r="D260" s="350">
        <v>35527490</v>
      </c>
      <c r="E260" s="350" t="s">
        <v>177</v>
      </c>
      <c r="F260" s="154" t="str">
        <f>IF($A260="","",VLOOKUP($A260,'İşçi Bilgileri'!$A$2:$F$750,6,FALSE))</f>
        <v/>
      </c>
      <c r="G260" s="152" t="str">
        <f>IF($A260="","",VLOOKUP($A260,'MAAŞ BORDROSU'!$A$4:$V$573,17,FALSE))</f>
        <v/>
      </c>
    </row>
    <row r="261" spans="1:7" x14ac:dyDescent="0.2">
      <c r="A261" s="151" t="str">
        <f>'İşçi Bilgileri'!A260</f>
        <v/>
      </c>
      <c r="B261" s="151" t="str">
        <f>IF($A261="","",VLOOKUP($A261,'İşçi Bilgileri'!$A$2:$D$750,4,FALSE))</f>
        <v/>
      </c>
      <c r="C261" s="151" t="str">
        <f>CONCATENATE(IF($A261="","",VLOOKUP($A261,'İşçi Bilgileri'!$A$2:$D$750,2,FALSE))," ",IF($A261="","",VLOOKUP($A261,'İşçi Bilgileri'!$A$2:$D$750,3,FALSE)))</f>
        <v xml:space="preserve"> </v>
      </c>
      <c r="D261" s="350">
        <v>35527490</v>
      </c>
      <c r="E261" s="350" t="s">
        <v>177</v>
      </c>
      <c r="F261" s="154" t="str">
        <f>IF($A261="","",VLOOKUP($A261,'İşçi Bilgileri'!$A$2:$F$750,6,FALSE))</f>
        <v/>
      </c>
      <c r="G261" s="152" t="str">
        <f>IF($A261="","",VLOOKUP($A261,'MAAŞ BORDROSU'!$A$4:$V$573,17,FALSE))</f>
        <v/>
      </c>
    </row>
    <row r="262" spans="1:7" x14ac:dyDescent="0.2">
      <c r="A262" s="151" t="str">
        <f>'İşçi Bilgileri'!A261</f>
        <v/>
      </c>
      <c r="B262" s="151" t="str">
        <f>IF($A262="","",VLOOKUP($A262,'İşçi Bilgileri'!$A$2:$D$750,4,FALSE))</f>
        <v/>
      </c>
      <c r="C262" s="151" t="str">
        <f>CONCATENATE(IF($A262="","",VLOOKUP($A262,'İşçi Bilgileri'!$A$2:$D$750,2,FALSE))," ",IF($A262="","",VLOOKUP($A262,'İşçi Bilgileri'!$A$2:$D$750,3,FALSE)))</f>
        <v xml:space="preserve"> </v>
      </c>
      <c r="D262" s="350">
        <v>35527490</v>
      </c>
      <c r="E262" s="350" t="s">
        <v>177</v>
      </c>
      <c r="F262" s="154" t="str">
        <f>IF($A262="","",VLOOKUP($A262,'İşçi Bilgileri'!$A$2:$F$750,6,FALSE))</f>
        <v/>
      </c>
      <c r="G262" s="152" t="str">
        <f>IF($A262="","",VLOOKUP($A262,'MAAŞ BORDROSU'!$A$4:$V$573,17,FALSE))</f>
        <v/>
      </c>
    </row>
    <row r="263" spans="1:7" x14ac:dyDescent="0.2">
      <c r="A263" s="151" t="str">
        <f>'İşçi Bilgileri'!A262</f>
        <v/>
      </c>
      <c r="B263" s="151" t="str">
        <f>IF($A263="","",VLOOKUP($A263,'İşçi Bilgileri'!$A$2:$D$750,4,FALSE))</f>
        <v/>
      </c>
      <c r="C263" s="151" t="str">
        <f>CONCATENATE(IF($A263="","",VLOOKUP($A263,'İşçi Bilgileri'!$A$2:$D$750,2,FALSE))," ",IF($A263="","",VLOOKUP($A263,'İşçi Bilgileri'!$A$2:$D$750,3,FALSE)))</f>
        <v xml:space="preserve"> </v>
      </c>
      <c r="D263" s="350">
        <v>35527490</v>
      </c>
      <c r="E263" s="350" t="s">
        <v>177</v>
      </c>
      <c r="F263" s="154" t="str">
        <f>IF($A263="","",VLOOKUP($A263,'İşçi Bilgileri'!$A$2:$F$750,6,FALSE))</f>
        <v/>
      </c>
      <c r="G263" s="152" t="str">
        <f>IF($A263="","",VLOOKUP($A263,'MAAŞ BORDROSU'!$A$4:$V$573,17,FALSE))</f>
        <v/>
      </c>
    </row>
    <row r="264" spans="1:7" x14ac:dyDescent="0.2">
      <c r="A264" s="151" t="str">
        <f>'İşçi Bilgileri'!A263</f>
        <v/>
      </c>
      <c r="B264" s="151" t="str">
        <f>IF($A264="","",VLOOKUP($A264,'İşçi Bilgileri'!$A$2:$D$750,4,FALSE))</f>
        <v/>
      </c>
      <c r="C264" s="151" t="str">
        <f>CONCATENATE(IF($A264="","",VLOOKUP($A264,'İşçi Bilgileri'!$A$2:$D$750,2,FALSE))," ",IF($A264="","",VLOOKUP($A264,'İşçi Bilgileri'!$A$2:$D$750,3,FALSE)))</f>
        <v xml:space="preserve"> </v>
      </c>
      <c r="D264" s="350">
        <v>35527490</v>
      </c>
      <c r="E264" s="350" t="s">
        <v>177</v>
      </c>
      <c r="F264" s="154" t="str">
        <f>IF($A264="","",VLOOKUP($A264,'İşçi Bilgileri'!$A$2:$F$750,6,FALSE))</f>
        <v/>
      </c>
      <c r="G264" s="152" t="str">
        <f>IF($A264="","",VLOOKUP($A264,'MAAŞ BORDROSU'!$A$4:$V$573,17,FALSE))</f>
        <v/>
      </c>
    </row>
    <row r="265" spans="1:7" x14ac:dyDescent="0.2">
      <c r="A265" s="151" t="str">
        <f>'İşçi Bilgileri'!A264</f>
        <v/>
      </c>
      <c r="B265" s="151" t="str">
        <f>IF($A265="","",VLOOKUP($A265,'İşçi Bilgileri'!$A$2:$D$750,4,FALSE))</f>
        <v/>
      </c>
      <c r="C265" s="151" t="str">
        <f>CONCATENATE(IF($A265="","",VLOOKUP($A265,'İşçi Bilgileri'!$A$2:$D$750,2,FALSE))," ",IF($A265="","",VLOOKUP($A265,'İşçi Bilgileri'!$A$2:$D$750,3,FALSE)))</f>
        <v xml:space="preserve"> </v>
      </c>
      <c r="D265" s="350">
        <v>35527490</v>
      </c>
      <c r="E265" s="350" t="s">
        <v>177</v>
      </c>
      <c r="F265" s="154" t="str">
        <f>IF($A265="","",VLOOKUP($A265,'İşçi Bilgileri'!$A$2:$F$750,6,FALSE))</f>
        <v/>
      </c>
      <c r="G265" s="152" t="str">
        <f>IF($A265="","",VLOOKUP($A265,'MAAŞ BORDROSU'!$A$4:$V$573,17,FALSE))</f>
        <v/>
      </c>
    </row>
    <row r="266" spans="1:7" x14ac:dyDescent="0.2">
      <c r="A266" s="151" t="str">
        <f>'İşçi Bilgileri'!A265</f>
        <v/>
      </c>
      <c r="B266" s="151" t="str">
        <f>IF($A266="","",VLOOKUP($A266,'İşçi Bilgileri'!$A$2:$D$750,4,FALSE))</f>
        <v/>
      </c>
      <c r="C266" s="151" t="str">
        <f>CONCATENATE(IF($A266="","",VLOOKUP($A266,'İşçi Bilgileri'!$A$2:$D$750,2,FALSE))," ",IF($A266="","",VLOOKUP($A266,'İşçi Bilgileri'!$A$2:$D$750,3,FALSE)))</f>
        <v xml:space="preserve"> </v>
      </c>
      <c r="D266" s="350">
        <v>35527490</v>
      </c>
      <c r="E266" s="350" t="s">
        <v>177</v>
      </c>
      <c r="F266" s="154" t="str">
        <f>IF($A266="","",VLOOKUP($A266,'İşçi Bilgileri'!$A$2:$F$750,6,FALSE))</f>
        <v/>
      </c>
      <c r="G266" s="152" t="str">
        <f>IF($A266="","",VLOOKUP($A266,'MAAŞ BORDROSU'!$A$4:$V$573,17,FALSE))</f>
        <v/>
      </c>
    </row>
    <row r="267" spans="1:7" x14ac:dyDescent="0.2">
      <c r="A267" s="151" t="str">
        <f>'İşçi Bilgileri'!A266</f>
        <v/>
      </c>
      <c r="B267" s="151" t="str">
        <f>IF($A267="","",VLOOKUP($A267,'İşçi Bilgileri'!$A$2:$D$750,4,FALSE))</f>
        <v/>
      </c>
      <c r="C267" s="151" t="str">
        <f>CONCATENATE(IF($A267="","",VLOOKUP($A267,'İşçi Bilgileri'!$A$2:$D$750,2,FALSE))," ",IF($A267="","",VLOOKUP($A267,'İşçi Bilgileri'!$A$2:$D$750,3,FALSE)))</f>
        <v xml:space="preserve"> </v>
      </c>
      <c r="D267" s="350">
        <v>35527490</v>
      </c>
      <c r="E267" s="350" t="s">
        <v>177</v>
      </c>
      <c r="F267" s="154" t="str">
        <f>IF($A267="","",VLOOKUP($A267,'İşçi Bilgileri'!$A$2:$F$750,6,FALSE))</f>
        <v/>
      </c>
      <c r="G267" s="152" t="str">
        <f>IF($A267="","",VLOOKUP($A267,'MAAŞ BORDROSU'!$A$4:$V$573,17,FALSE))</f>
        <v/>
      </c>
    </row>
    <row r="268" spans="1:7" x14ac:dyDescent="0.2">
      <c r="A268" s="151" t="str">
        <f>'İşçi Bilgileri'!A267</f>
        <v/>
      </c>
      <c r="B268" s="151" t="str">
        <f>IF($A268="","",VLOOKUP($A268,'İşçi Bilgileri'!$A$2:$D$750,4,FALSE))</f>
        <v/>
      </c>
      <c r="C268" s="151" t="str">
        <f>CONCATENATE(IF($A268="","",VLOOKUP($A268,'İşçi Bilgileri'!$A$2:$D$750,2,FALSE))," ",IF($A268="","",VLOOKUP($A268,'İşçi Bilgileri'!$A$2:$D$750,3,FALSE)))</f>
        <v xml:space="preserve"> </v>
      </c>
      <c r="D268" s="350">
        <v>35527490</v>
      </c>
      <c r="E268" s="350" t="s">
        <v>177</v>
      </c>
      <c r="F268" s="154" t="str">
        <f>IF($A268="","",VLOOKUP($A268,'İşçi Bilgileri'!$A$2:$F$750,6,FALSE))</f>
        <v/>
      </c>
      <c r="G268" s="152" t="str">
        <f>IF($A268="","",VLOOKUP($A268,'MAAŞ BORDROSU'!$A$4:$V$573,17,FALSE))</f>
        <v/>
      </c>
    </row>
    <row r="269" spans="1:7" x14ac:dyDescent="0.2">
      <c r="A269" s="151" t="str">
        <f>'İşçi Bilgileri'!A268</f>
        <v/>
      </c>
      <c r="B269" s="151" t="str">
        <f>IF($A269="","",VLOOKUP($A269,'İşçi Bilgileri'!$A$2:$D$750,4,FALSE))</f>
        <v/>
      </c>
      <c r="C269" s="151" t="str">
        <f>CONCATENATE(IF($A269="","",VLOOKUP($A269,'İşçi Bilgileri'!$A$2:$D$750,2,FALSE))," ",IF($A269="","",VLOOKUP($A269,'İşçi Bilgileri'!$A$2:$D$750,3,FALSE)))</f>
        <v xml:space="preserve"> </v>
      </c>
      <c r="D269" s="350">
        <v>35527490</v>
      </c>
      <c r="E269" s="350" t="s">
        <v>177</v>
      </c>
      <c r="F269" s="154" t="str">
        <f>IF($A269="","",VLOOKUP($A269,'İşçi Bilgileri'!$A$2:$F$750,6,FALSE))</f>
        <v/>
      </c>
      <c r="G269" s="152" t="str">
        <f>IF($A269="","",VLOOKUP($A269,'MAAŞ BORDROSU'!$A$4:$V$573,17,FALSE))</f>
        <v/>
      </c>
    </row>
    <row r="270" spans="1:7" s="330" customFormat="1" x14ac:dyDescent="0.2">
      <c r="A270" s="151" t="str">
        <f>'İşçi Bilgileri'!A269</f>
        <v/>
      </c>
      <c r="B270" s="151" t="str">
        <f>IF($A270="","",VLOOKUP($A270,'İşçi Bilgileri'!$A$2:$D$750,4,FALSE))</f>
        <v/>
      </c>
      <c r="C270" s="151" t="str">
        <f>CONCATENATE(IF($A270="","",VLOOKUP($A270,'İşçi Bilgileri'!$A$2:$D$750,2,FALSE))," ",IF($A270="","",VLOOKUP($A270,'İşçi Bilgileri'!$A$2:$D$750,3,FALSE)))</f>
        <v xml:space="preserve"> </v>
      </c>
      <c r="D270" s="350">
        <v>35527490</v>
      </c>
      <c r="E270" s="350" t="s">
        <v>177</v>
      </c>
      <c r="F270" s="154" t="str">
        <f>IF($A270="","",VLOOKUP($A270,'İşçi Bilgileri'!$A$2:$F$750,6,FALSE))</f>
        <v/>
      </c>
      <c r="G270" s="152" t="str">
        <f>IF($A270="","",VLOOKUP($A270,'MAAŞ BORDROSU'!$A$4:$V$573,17,FALSE))</f>
        <v/>
      </c>
    </row>
    <row r="271" spans="1:7" s="330" customFormat="1" x14ac:dyDescent="0.2">
      <c r="A271" s="151" t="str">
        <f>'İşçi Bilgileri'!A270</f>
        <v/>
      </c>
      <c r="B271" s="151" t="str">
        <f>IF($A271="","",VLOOKUP($A271,'İşçi Bilgileri'!$A$2:$D$750,4,FALSE))</f>
        <v/>
      </c>
      <c r="C271" s="151" t="str">
        <f>CONCATENATE(IF($A271="","",VLOOKUP($A271,'İşçi Bilgileri'!$A$2:$D$750,2,FALSE))," ",IF($A271="","",VLOOKUP($A271,'İşçi Bilgileri'!$A$2:$D$750,3,FALSE)))</f>
        <v xml:space="preserve"> </v>
      </c>
      <c r="D271" s="350">
        <v>35527490</v>
      </c>
      <c r="E271" s="350" t="s">
        <v>177</v>
      </c>
      <c r="F271" s="154" t="str">
        <f>IF($A271="","",VLOOKUP($A271,'İşçi Bilgileri'!$A$2:$F$750,6,FALSE))</f>
        <v/>
      </c>
      <c r="G271" s="152" t="str">
        <f>IF($A271="","",VLOOKUP($A271,'MAAŞ BORDROSU'!$A$4:$V$573,17,FALSE))</f>
        <v/>
      </c>
    </row>
    <row r="272" spans="1:7" s="330" customFormat="1" x14ac:dyDescent="0.2">
      <c r="A272" s="151" t="str">
        <f>'İşçi Bilgileri'!A271</f>
        <v/>
      </c>
      <c r="B272" s="151" t="str">
        <f>IF($A272="","",VLOOKUP($A272,'İşçi Bilgileri'!$A$2:$D$750,4,FALSE))</f>
        <v/>
      </c>
      <c r="C272" s="151" t="str">
        <f>CONCATENATE(IF($A272="","",VLOOKUP($A272,'İşçi Bilgileri'!$A$2:$D$750,2,FALSE))," ",IF($A272="","",VLOOKUP($A272,'İşçi Bilgileri'!$A$2:$D$750,3,FALSE)))</f>
        <v xml:space="preserve"> </v>
      </c>
      <c r="D272" s="350">
        <v>35527490</v>
      </c>
      <c r="E272" s="350" t="s">
        <v>177</v>
      </c>
      <c r="F272" s="154" t="str">
        <f>IF($A272="","",VLOOKUP($A272,'İşçi Bilgileri'!$A$2:$F$750,6,FALSE))</f>
        <v/>
      </c>
      <c r="G272" s="152" t="str">
        <f>IF($A272="","",VLOOKUP($A272,'MAAŞ BORDROSU'!$A$4:$V$573,17,FALSE))</f>
        <v/>
      </c>
    </row>
    <row r="273" spans="1:7" s="330" customFormat="1" x14ac:dyDescent="0.2">
      <c r="A273" s="151" t="str">
        <f>'İşçi Bilgileri'!A272</f>
        <v/>
      </c>
      <c r="B273" s="151" t="str">
        <f>IF($A273="","",VLOOKUP($A273,'İşçi Bilgileri'!$A$2:$D$750,4,FALSE))</f>
        <v/>
      </c>
      <c r="C273" s="151" t="str">
        <f>CONCATENATE(IF($A273="","",VLOOKUP($A273,'İşçi Bilgileri'!$A$2:$D$750,2,FALSE))," ",IF($A273="","",VLOOKUP($A273,'İşçi Bilgileri'!$A$2:$D$750,3,FALSE)))</f>
        <v xml:space="preserve"> </v>
      </c>
      <c r="D273" s="350">
        <v>35527490</v>
      </c>
      <c r="E273" s="350" t="s">
        <v>177</v>
      </c>
      <c r="F273" s="154" t="str">
        <f>IF($A273="","",VLOOKUP($A273,'İşçi Bilgileri'!$A$2:$F$750,6,FALSE))</f>
        <v/>
      </c>
      <c r="G273" s="152" t="str">
        <f>IF($A273="","",VLOOKUP($A273,'MAAŞ BORDROSU'!$A$4:$V$573,17,FALSE))</f>
        <v/>
      </c>
    </row>
    <row r="274" spans="1:7" s="330" customFormat="1" x14ac:dyDescent="0.2">
      <c r="A274" s="151" t="str">
        <f>'İşçi Bilgileri'!A273</f>
        <v/>
      </c>
      <c r="B274" s="151" t="str">
        <f>IF($A274="","",VLOOKUP($A274,'İşçi Bilgileri'!$A$2:$D$750,4,FALSE))</f>
        <v/>
      </c>
      <c r="C274" s="151" t="str">
        <f>CONCATENATE(IF($A274="","",VLOOKUP($A274,'İşçi Bilgileri'!$A$2:$D$750,2,FALSE))," ",IF($A274="","",VLOOKUP($A274,'İşçi Bilgileri'!$A$2:$D$750,3,FALSE)))</f>
        <v xml:space="preserve"> </v>
      </c>
      <c r="D274" s="350">
        <v>35527490</v>
      </c>
      <c r="E274" s="350" t="s">
        <v>177</v>
      </c>
      <c r="F274" s="154" t="str">
        <f>IF($A274="","",VLOOKUP($A274,'İşçi Bilgileri'!$A$2:$F$750,6,FALSE))</f>
        <v/>
      </c>
      <c r="G274" s="152" t="str">
        <f>IF($A274="","",VLOOKUP($A274,'MAAŞ BORDROSU'!$A$4:$V$573,17,FALSE))</f>
        <v/>
      </c>
    </row>
    <row r="275" spans="1:7" s="330" customFormat="1" x14ac:dyDescent="0.2">
      <c r="A275" s="151" t="str">
        <f>'İşçi Bilgileri'!A274</f>
        <v/>
      </c>
      <c r="B275" s="151" t="str">
        <f>IF($A275="","",VLOOKUP($A275,'İşçi Bilgileri'!$A$2:$D$750,4,FALSE))</f>
        <v/>
      </c>
      <c r="C275" s="151" t="str">
        <f>CONCATENATE(IF($A275="","",VLOOKUP($A275,'İşçi Bilgileri'!$A$2:$D$750,2,FALSE))," ",IF($A275="","",VLOOKUP($A275,'İşçi Bilgileri'!$A$2:$D$750,3,FALSE)))</f>
        <v xml:space="preserve"> </v>
      </c>
      <c r="D275" s="350">
        <v>35527490</v>
      </c>
      <c r="E275" s="350" t="s">
        <v>177</v>
      </c>
      <c r="F275" s="154" t="str">
        <f>IF($A275="","",VLOOKUP($A275,'İşçi Bilgileri'!$A$2:$F$750,6,FALSE))</f>
        <v/>
      </c>
      <c r="G275" s="152" t="str">
        <f>IF($A275="","",VLOOKUP($A275,'MAAŞ BORDROSU'!$A$4:$V$573,17,FALSE))</f>
        <v/>
      </c>
    </row>
    <row r="276" spans="1:7" s="330" customFormat="1" x14ac:dyDescent="0.2">
      <c r="A276" s="151" t="str">
        <f>'İşçi Bilgileri'!A275</f>
        <v/>
      </c>
      <c r="B276" s="151" t="str">
        <f>IF($A276="","",VLOOKUP($A276,'İşçi Bilgileri'!$A$2:$D$750,4,FALSE))</f>
        <v/>
      </c>
      <c r="C276" s="151" t="str">
        <f>CONCATENATE(IF($A276="","",VLOOKUP($A276,'İşçi Bilgileri'!$A$2:$D$750,2,FALSE))," ",IF($A276="","",VLOOKUP($A276,'İşçi Bilgileri'!$A$2:$D$750,3,FALSE)))</f>
        <v xml:space="preserve"> </v>
      </c>
      <c r="D276" s="350">
        <v>35527490</v>
      </c>
      <c r="E276" s="350" t="s">
        <v>177</v>
      </c>
      <c r="F276" s="154" t="str">
        <f>IF($A276="","",VLOOKUP($A276,'İşçi Bilgileri'!$A$2:$F$750,6,FALSE))</f>
        <v/>
      </c>
      <c r="G276" s="152" t="str">
        <f>IF($A276="","",VLOOKUP($A276,'MAAŞ BORDROSU'!$A$4:$V$573,17,FALSE))</f>
        <v/>
      </c>
    </row>
    <row r="277" spans="1:7" s="330" customFormat="1" x14ac:dyDescent="0.2">
      <c r="A277" s="151" t="str">
        <f>'İşçi Bilgileri'!A276</f>
        <v/>
      </c>
      <c r="B277" s="151" t="str">
        <f>IF($A277="","",VLOOKUP($A277,'İşçi Bilgileri'!$A$2:$D$750,4,FALSE))</f>
        <v/>
      </c>
      <c r="C277" s="151" t="str">
        <f>CONCATENATE(IF($A277="","",VLOOKUP($A277,'İşçi Bilgileri'!$A$2:$D$750,2,FALSE))," ",IF($A277="","",VLOOKUP($A277,'İşçi Bilgileri'!$A$2:$D$750,3,FALSE)))</f>
        <v xml:space="preserve"> </v>
      </c>
      <c r="D277" s="350">
        <v>35527490</v>
      </c>
      <c r="E277" s="350" t="s">
        <v>177</v>
      </c>
      <c r="F277" s="154" t="str">
        <f>IF($A277="","",VLOOKUP($A277,'İşçi Bilgileri'!$A$2:$F$750,6,FALSE))</f>
        <v/>
      </c>
      <c r="G277" s="152" t="str">
        <f>IF($A277="","",VLOOKUP($A277,'MAAŞ BORDROSU'!$A$4:$V$573,17,FALSE))</f>
        <v/>
      </c>
    </row>
    <row r="278" spans="1:7" s="330" customFormat="1" x14ac:dyDescent="0.2">
      <c r="A278" s="151" t="str">
        <f>'İşçi Bilgileri'!A277</f>
        <v/>
      </c>
      <c r="B278" s="151" t="str">
        <f>IF($A278="","",VLOOKUP($A278,'İşçi Bilgileri'!$A$2:$D$750,4,FALSE))</f>
        <v/>
      </c>
      <c r="C278" s="151" t="str">
        <f>CONCATENATE(IF($A278="","",VLOOKUP($A278,'İşçi Bilgileri'!$A$2:$D$750,2,FALSE))," ",IF($A278="","",VLOOKUP($A278,'İşçi Bilgileri'!$A$2:$D$750,3,FALSE)))</f>
        <v xml:space="preserve"> </v>
      </c>
      <c r="D278" s="350">
        <v>35527490</v>
      </c>
      <c r="E278" s="350" t="s">
        <v>177</v>
      </c>
      <c r="F278" s="154" t="str">
        <f>IF($A278="","",VLOOKUP($A278,'İşçi Bilgileri'!$A$2:$F$750,6,FALSE))</f>
        <v/>
      </c>
      <c r="G278" s="152" t="str">
        <f>IF($A278="","",VLOOKUP($A278,'MAAŞ BORDROSU'!$A$4:$V$573,17,FALSE))</f>
        <v/>
      </c>
    </row>
    <row r="279" spans="1:7" s="330" customFormat="1" x14ac:dyDescent="0.2">
      <c r="A279" s="151" t="str">
        <f>'İşçi Bilgileri'!A278</f>
        <v/>
      </c>
      <c r="B279" s="151" t="str">
        <f>IF($A279="","",VLOOKUP($A279,'İşçi Bilgileri'!$A$2:$D$750,4,FALSE))</f>
        <v/>
      </c>
      <c r="C279" s="151" t="str">
        <f>CONCATENATE(IF($A279="","",VLOOKUP($A279,'İşçi Bilgileri'!$A$2:$D$750,2,FALSE))," ",IF($A279="","",VLOOKUP($A279,'İşçi Bilgileri'!$A$2:$D$750,3,FALSE)))</f>
        <v xml:space="preserve"> </v>
      </c>
      <c r="D279" s="350">
        <v>35527490</v>
      </c>
      <c r="E279" s="350" t="s">
        <v>177</v>
      </c>
      <c r="F279" s="154" t="str">
        <f>IF($A279="","",VLOOKUP($A279,'İşçi Bilgileri'!$A$2:$F$750,6,FALSE))</f>
        <v/>
      </c>
      <c r="G279" s="152" t="str">
        <f>IF($A279="","",VLOOKUP($A279,'MAAŞ BORDROSU'!$A$4:$V$573,17,FALSE))</f>
        <v/>
      </c>
    </row>
    <row r="280" spans="1:7" s="330" customFormat="1" x14ac:dyDescent="0.2">
      <c r="A280" s="151" t="str">
        <f>'İşçi Bilgileri'!A279</f>
        <v/>
      </c>
      <c r="B280" s="151" t="str">
        <f>IF($A280="","",VLOOKUP($A280,'İşçi Bilgileri'!$A$2:$D$750,4,FALSE))</f>
        <v/>
      </c>
      <c r="C280" s="151" t="str">
        <f>CONCATENATE(IF($A280="","",VLOOKUP($A280,'İşçi Bilgileri'!$A$2:$D$750,2,FALSE))," ",IF($A280="","",VLOOKUP($A280,'İşçi Bilgileri'!$A$2:$D$750,3,FALSE)))</f>
        <v xml:space="preserve"> </v>
      </c>
      <c r="D280" s="350">
        <v>35527490</v>
      </c>
      <c r="E280" s="350" t="s">
        <v>177</v>
      </c>
      <c r="F280" s="154" t="str">
        <f>IF($A280="","",VLOOKUP($A280,'İşçi Bilgileri'!$A$2:$F$750,6,FALSE))</f>
        <v/>
      </c>
      <c r="G280" s="152" t="str">
        <f>IF($A280="","",VLOOKUP($A280,'MAAŞ BORDROSU'!$A$4:$V$573,17,FALSE))</f>
        <v/>
      </c>
    </row>
    <row r="281" spans="1:7" s="330" customFormat="1" x14ac:dyDescent="0.2">
      <c r="A281" s="151" t="str">
        <f>'İşçi Bilgileri'!A280</f>
        <v/>
      </c>
      <c r="B281" s="151" t="str">
        <f>IF($A281="","",VLOOKUP($A281,'İşçi Bilgileri'!$A$2:$D$750,4,FALSE))</f>
        <v/>
      </c>
      <c r="C281" s="151" t="str">
        <f>CONCATENATE(IF($A281="","",VLOOKUP($A281,'İşçi Bilgileri'!$A$2:$D$750,2,FALSE))," ",IF($A281="","",VLOOKUP($A281,'İşçi Bilgileri'!$A$2:$D$750,3,FALSE)))</f>
        <v xml:space="preserve"> </v>
      </c>
      <c r="D281" s="350">
        <v>35527490</v>
      </c>
      <c r="E281" s="350" t="s">
        <v>177</v>
      </c>
      <c r="F281" s="154" t="str">
        <f>IF($A281="","",VLOOKUP($A281,'İşçi Bilgileri'!$A$2:$F$750,6,FALSE))</f>
        <v/>
      </c>
      <c r="G281" s="152" t="str">
        <f>IF($A281="","",VLOOKUP($A281,'MAAŞ BORDROSU'!$A$4:$V$573,17,FALSE))</f>
        <v/>
      </c>
    </row>
    <row r="282" spans="1:7" s="330" customFormat="1" x14ac:dyDescent="0.2">
      <c r="A282" s="151" t="str">
        <f>'İşçi Bilgileri'!A281</f>
        <v/>
      </c>
      <c r="B282" s="151" t="str">
        <f>IF($A282="","",VLOOKUP($A282,'İşçi Bilgileri'!$A$2:$D$750,4,FALSE))</f>
        <v/>
      </c>
      <c r="C282" s="151" t="str">
        <f>CONCATENATE(IF($A282="","",VLOOKUP($A282,'İşçi Bilgileri'!$A$2:$D$750,2,FALSE))," ",IF($A282="","",VLOOKUP($A282,'İşçi Bilgileri'!$A$2:$D$750,3,FALSE)))</f>
        <v xml:space="preserve"> </v>
      </c>
      <c r="D282" s="350">
        <v>35527490</v>
      </c>
      <c r="E282" s="350" t="s">
        <v>177</v>
      </c>
      <c r="F282" s="154" t="str">
        <f>IF($A282="","",VLOOKUP($A282,'İşçi Bilgileri'!$A$2:$F$750,6,FALSE))</f>
        <v/>
      </c>
      <c r="G282" s="152" t="str">
        <f>IF($A282="","",VLOOKUP($A282,'MAAŞ BORDROSU'!$A$4:$V$573,17,FALSE))</f>
        <v/>
      </c>
    </row>
    <row r="283" spans="1:7" s="330" customFormat="1" x14ac:dyDescent="0.2">
      <c r="A283" s="151" t="str">
        <f>'İşçi Bilgileri'!A282</f>
        <v/>
      </c>
      <c r="B283" s="151" t="str">
        <f>IF($A283="","",VLOOKUP($A283,'İşçi Bilgileri'!$A$2:$D$750,4,FALSE))</f>
        <v/>
      </c>
      <c r="C283" s="151" t="str">
        <f>CONCATENATE(IF($A283="","",VLOOKUP($A283,'İşçi Bilgileri'!$A$2:$D$750,2,FALSE))," ",IF($A283="","",VLOOKUP($A283,'İşçi Bilgileri'!$A$2:$D$750,3,FALSE)))</f>
        <v xml:space="preserve"> </v>
      </c>
      <c r="D283" s="350">
        <v>35527490</v>
      </c>
      <c r="E283" s="350" t="s">
        <v>177</v>
      </c>
      <c r="F283" s="154" t="str">
        <f>IF($A283="","",VLOOKUP($A283,'İşçi Bilgileri'!$A$2:$F$750,6,FALSE))</f>
        <v/>
      </c>
      <c r="G283" s="152" t="str">
        <f>IF($A283="","",VLOOKUP($A283,'MAAŞ BORDROSU'!$A$4:$V$573,17,FALSE))</f>
        <v/>
      </c>
    </row>
    <row r="284" spans="1:7" s="330" customFormat="1" x14ac:dyDescent="0.2">
      <c r="A284" s="151" t="str">
        <f>'İşçi Bilgileri'!A283</f>
        <v/>
      </c>
      <c r="B284" s="151" t="str">
        <f>IF($A284="","",VLOOKUP($A284,'İşçi Bilgileri'!$A$2:$D$750,4,FALSE))</f>
        <v/>
      </c>
      <c r="C284" s="151" t="str">
        <f>CONCATENATE(IF($A284="","",VLOOKUP($A284,'İşçi Bilgileri'!$A$2:$D$750,2,FALSE))," ",IF($A284="","",VLOOKUP($A284,'İşçi Bilgileri'!$A$2:$D$750,3,FALSE)))</f>
        <v xml:space="preserve"> </v>
      </c>
      <c r="D284" s="350">
        <v>35527490</v>
      </c>
      <c r="E284" s="350" t="s">
        <v>177</v>
      </c>
      <c r="F284" s="154" t="str">
        <f>IF($A284="","",VLOOKUP($A284,'İşçi Bilgileri'!$A$2:$F$750,6,FALSE))</f>
        <v/>
      </c>
      <c r="G284" s="152" t="str">
        <f>IF($A284="","",VLOOKUP($A284,'MAAŞ BORDROSU'!$A$4:$V$573,17,FALSE))</f>
        <v/>
      </c>
    </row>
    <row r="285" spans="1:7" s="330" customFormat="1" x14ac:dyDescent="0.2">
      <c r="A285" s="151" t="str">
        <f>'İşçi Bilgileri'!A284</f>
        <v/>
      </c>
      <c r="B285" s="151" t="str">
        <f>IF($A285="","",VLOOKUP($A285,'İşçi Bilgileri'!$A$2:$D$750,4,FALSE))</f>
        <v/>
      </c>
      <c r="C285" s="151" t="str">
        <f>CONCATENATE(IF($A285="","",VLOOKUP($A285,'İşçi Bilgileri'!$A$2:$D$750,2,FALSE))," ",IF($A285="","",VLOOKUP($A285,'İşçi Bilgileri'!$A$2:$D$750,3,FALSE)))</f>
        <v xml:space="preserve"> </v>
      </c>
      <c r="D285" s="350">
        <v>35527490</v>
      </c>
      <c r="E285" s="350" t="s">
        <v>177</v>
      </c>
      <c r="F285" s="154" t="str">
        <f>IF($A285="","",VLOOKUP($A285,'İşçi Bilgileri'!$A$2:$F$750,6,FALSE))</f>
        <v/>
      </c>
      <c r="G285" s="152" t="str">
        <f>IF($A285="","",VLOOKUP($A285,'MAAŞ BORDROSU'!$A$4:$V$573,17,FALSE))</f>
        <v/>
      </c>
    </row>
    <row r="286" spans="1:7" s="330" customFormat="1" x14ac:dyDescent="0.2">
      <c r="A286" s="151" t="str">
        <f>'İşçi Bilgileri'!A285</f>
        <v/>
      </c>
      <c r="B286" s="151" t="str">
        <f>IF($A286="","",VLOOKUP($A286,'İşçi Bilgileri'!$A$2:$D$750,4,FALSE))</f>
        <v/>
      </c>
      <c r="C286" s="151" t="str">
        <f>CONCATENATE(IF($A286="","",VLOOKUP($A286,'İşçi Bilgileri'!$A$2:$D$750,2,FALSE))," ",IF($A286="","",VLOOKUP($A286,'İşçi Bilgileri'!$A$2:$D$750,3,FALSE)))</f>
        <v xml:space="preserve"> </v>
      </c>
      <c r="D286" s="350">
        <v>35527490</v>
      </c>
      <c r="E286" s="350" t="s">
        <v>177</v>
      </c>
      <c r="F286" s="154" t="str">
        <f>IF($A286="","",VLOOKUP($A286,'İşçi Bilgileri'!$A$2:$F$750,6,FALSE))</f>
        <v/>
      </c>
      <c r="G286" s="152" t="str">
        <f>IF($A286="","",VLOOKUP($A286,'MAAŞ BORDROSU'!$A$4:$V$573,17,FALSE))</f>
        <v/>
      </c>
    </row>
    <row r="287" spans="1:7" s="330" customFormat="1" x14ac:dyDescent="0.2">
      <c r="A287" s="151" t="str">
        <f>'İşçi Bilgileri'!A286</f>
        <v/>
      </c>
      <c r="B287" s="151" t="str">
        <f>IF($A287="","",VLOOKUP($A287,'İşçi Bilgileri'!$A$2:$D$750,4,FALSE))</f>
        <v/>
      </c>
      <c r="C287" s="151" t="str">
        <f>CONCATENATE(IF($A287="","",VLOOKUP($A287,'İşçi Bilgileri'!$A$2:$D$750,2,FALSE))," ",IF($A287="","",VLOOKUP($A287,'İşçi Bilgileri'!$A$2:$D$750,3,FALSE)))</f>
        <v xml:space="preserve"> </v>
      </c>
      <c r="D287" s="350">
        <v>35527490</v>
      </c>
      <c r="E287" s="350" t="s">
        <v>177</v>
      </c>
      <c r="F287" s="154" t="str">
        <f>IF($A287="","",VLOOKUP($A287,'İşçi Bilgileri'!$A$2:$F$750,6,FALSE))</f>
        <v/>
      </c>
      <c r="G287" s="152" t="str">
        <f>IF($A287="","",VLOOKUP($A287,'MAAŞ BORDROSU'!$A$4:$V$573,17,FALSE))</f>
        <v/>
      </c>
    </row>
    <row r="288" spans="1:7" s="330" customFormat="1" x14ac:dyDescent="0.2">
      <c r="A288" s="151" t="str">
        <f>'İşçi Bilgileri'!A287</f>
        <v/>
      </c>
      <c r="B288" s="151" t="str">
        <f>IF($A288="","",VLOOKUP($A288,'İşçi Bilgileri'!$A$2:$D$750,4,FALSE))</f>
        <v/>
      </c>
      <c r="C288" s="151" t="str">
        <f>CONCATENATE(IF($A288="","",VLOOKUP($A288,'İşçi Bilgileri'!$A$2:$D$750,2,FALSE))," ",IF($A288="","",VLOOKUP($A288,'İşçi Bilgileri'!$A$2:$D$750,3,FALSE)))</f>
        <v xml:space="preserve"> </v>
      </c>
      <c r="D288" s="350">
        <v>35527490</v>
      </c>
      <c r="E288" s="350" t="s">
        <v>177</v>
      </c>
      <c r="F288" s="154" t="str">
        <f>IF($A288="","",VLOOKUP($A288,'İşçi Bilgileri'!$A$2:$F$750,6,FALSE))</f>
        <v/>
      </c>
      <c r="G288" s="152" t="str">
        <f>IF($A288="","",VLOOKUP($A288,'MAAŞ BORDROSU'!$A$4:$V$573,17,FALSE))</f>
        <v/>
      </c>
    </row>
    <row r="289" spans="1:7" s="330" customFormat="1" x14ac:dyDescent="0.2">
      <c r="A289" s="151" t="str">
        <f>'İşçi Bilgileri'!A288</f>
        <v/>
      </c>
      <c r="B289" s="151" t="str">
        <f>IF($A289="","",VLOOKUP($A289,'İşçi Bilgileri'!$A$2:$D$750,4,FALSE))</f>
        <v/>
      </c>
      <c r="C289" s="151" t="str">
        <f>CONCATENATE(IF($A289="","",VLOOKUP($A289,'İşçi Bilgileri'!$A$2:$D$750,2,FALSE))," ",IF($A289="","",VLOOKUP($A289,'İşçi Bilgileri'!$A$2:$D$750,3,FALSE)))</f>
        <v xml:space="preserve"> </v>
      </c>
      <c r="D289" s="350">
        <v>35527490</v>
      </c>
      <c r="E289" s="350" t="s">
        <v>177</v>
      </c>
      <c r="F289" s="154" t="str">
        <f>IF($A289="","",VLOOKUP($A289,'İşçi Bilgileri'!$A$2:$F$750,6,FALSE))</f>
        <v/>
      </c>
      <c r="G289" s="152" t="str">
        <f>IF($A289="","",VLOOKUP($A289,'MAAŞ BORDROSU'!$A$4:$V$573,17,FALSE))</f>
        <v/>
      </c>
    </row>
    <row r="290" spans="1:7" s="330" customFormat="1" x14ac:dyDescent="0.2">
      <c r="A290" s="151" t="str">
        <f>'İşçi Bilgileri'!A289</f>
        <v/>
      </c>
      <c r="B290" s="151" t="str">
        <f>IF($A290="","",VLOOKUP($A290,'İşçi Bilgileri'!$A$2:$D$750,4,FALSE))</f>
        <v/>
      </c>
      <c r="C290" s="151" t="str">
        <f>CONCATENATE(IF($A290="","",VLOOKUP($A290,'İşçi Bilgileri'!$A$2:$D$750,2,FALSE))," ",IF($A290="","",VLOOKUP($A290,'İşçi Bilgileri'!$A$2:$D$750,3,FALSE)))</f>
        <v xml:space="preserve"> </v>
      </c>
      <c r="D290" s="350">
        <v>35527490</v>
      </c>
      <c r="E290" s="350" t="s">
        <v>177</v>
      </c>
      <c r="F290" s="154" t="str">
        <f>IF($A290="","",VLOOKUP($A290,'İşçi Bilgileri'!$A$2:$F$750,6,FALSE))</f>
        <v/>
      </c>
      <c r="G290" s="152" t="str">
        <f>IF($A290="","",VLOOKUP($A290,'MAAŞ BORDROSU'!$A$4:$V$573,17,FALSE))</f>
        <v/>
      </c>
    </row>
    <row r="291" spans="1:7" s="330" customFormat="1" x14ac:dyDescent="0.2">
      <c r="A291" s="151" t="str">
        <f>'İşçi Bilgileri'!A290</f>
        <v/>
      </c>
      <c r="B291" s="151" t="str">
        <f>IF($A291="","",VLOOKUP($A291,'İşçi Bilgileri'!$A$2:$D$750,4,FALSE))</f>
        <v/>
      </c>
      <c r="C291" s="151" t="str">
        <f>CONCATENATE(IF($A291="","",VLOOKUP($A291,'İşçi Bilgileri'!$A$2:$D$750,2,FALSE))," ",IF($A291="","",VLOOKUP($A291,'İşçi Bilgileri'!$A$2:$D$750,3,FALSE)))</f>
        <v xml:space="preserve"> </v>
      </c>
      <c r="D291" s="350">
        <v>35527490</v>
      </c>
      <c r="E291" s="350" t="s">
        <v>177</v>
      </c>
      <c r="F291" s="154" t="str">
        <f>IF($A291="","",VLOOKUP($A291,'İşçi Bilgileri'!$A$2:$F$750,6,FALSE))</f>
        <v/>
      </c>
      <c r="G291" s="152" t="str">
        <f>IF($A291="","",VLOOKUP($A291,'MAAŞ BORDROSU'!$A$4:$V$573,17,FALSE))</f>
        <v/>
      </c>
    </row>
    <row r="292" spans="1:7" s="330" customFormat="1" x14ac:dyDescent="0.2">
      <c r="A292" s="151" t="str">
        <f>'İşçi Bilgileri'!A291</f>
        <v/>
      </c>
      <c r="B292" s="151" t="str">
        <f>IF($A292="","",VLOOKUP($A292,'İşçi Bilgileri'!$A$2:$D$750,4,FALSE))</f>
        <v/>
      </c>
      <c r="C292" s="151" t="str">
        <f>CONCATENATE(IF($A292="","",VLOOKUP($A292,'İşçi Bilgileri'!$A$2:$D$750,2,FALSE))," ",IF($A292="","",VLOOKUP($A292,'İşçi Bilgileri'!$A$2:$D$750,3,FALSE)))</f>
        <v xml:space="preserve"> </v>
      </c>
      <c r="D292" s="350">
        <v>35527490</v>
      </c>
      <c r="E292" s="350" t="s">
        <v>177</v>
      </c>
      <c r="F292" s="154" t="str">
        <f>IF($A292="","",VLOOKUP($A292,'İşçi Bilgileri'!$A$2:$F$750,6,FALSE))</f>
        <v/>
      </c>
      <c r="G292" s="152" t="str">
        <f>IF($A292="","",VLOOKUP($A292,'MAAŞ BORDROSU'!$A$4:$V$573,17,FALSE))</f>
        <v/>
      </c>
    </row>
    <row r="293" spans="1:7" s="330" customFormat="1" x14ac:dyDescent="0.2">
      <c r="A293" s="151" t="str">
        <f>'İşçi Bilgileri'!A292</f>
        <v/>
      </c>
      <c r="B293" s="151" t="str">
        <f>IF($A293="","",VLOOKUP($A293,'İşçi Bilgileri'!$A$2:$D$750,4,FALSE))</f>
        <v/>
      </c>
      <c r="C293" s="151" t="str">
        <f>CONCATENATE(IF($A293="","",VLOOKUP($A293,'İşçi Bilgileri'!$A$2:$D$750,2,FALSE))," ",IF($A293="","",VLOOKUP($A293,'İşçi Bilgileri'!$A$2:$D$750,3,FALSE)))</f>
        <v xml:space="preserve"> </v>
      </c>
      <c r="D293" s="350">
        <v>35527490</v>
      </c>
      <c r="E293" s="350" t="s">
        <v>177</v>
      </c>
      <c r="F293" s="154" t="str">
        <f>IF($A293="","",VLOOKUP($A293,'İşçi Bilgileri'!$A$2:$F$750,6,FALSE))</f>
        <v/>
      </c>
      <c r="G293" s="152" t="str">
        <f>IF($A293="","",VLOOKUP($A293,'MAAŞ BORDROSU'!$A$4:$V$573,17,FALSE))</f>
        <v/>
      </c>
    </row>
    <row r="294" spans="1:7" s="330" customFormat="1" x14ac:dyDescent="0.2">
      <c r="A294" s="151" t="str">
        <f>'İşçi Bilgileri'!A293</f>
        <v/>
      </c>
      <c r="B294" s="151" t="str">
        <f>IF($A294="","",VLOOKUP($A294,'İşçi Bilgileri'!$A$2:$D$750,4,FALSE))</f>
        <v/>
      </c>
      <c r="C294" s="151" t="str">
        <f>CONCATENATE(IF($A294="","",VLOOKUP($A294,'İşçi Bilgileri'!$A$2:$D$750,2,FALSE))," ",IF($A294="","",VLOOKUP($A294,'İşçi Bilgileri'!$A$2:$D$750,3,FALSE)))</f>
        <v xml:space="preserve"> </v>
      </c>
      <c r="D294" s="350">
        <v>35527490</v>
      </c>
      <c r="E294" s="350" t="s">
        <v>177</v>
      </c>
      <c r="F294" s="154" t="str">
        <f>IF($A294="","",VLOOKUP($A294,'İşçi Bilgileri'!$A$2:$F$750,6,FALSE))</f>
        <v/>
      </c>
      <c r="G294" s="152" t="str">
        <f>IF($A294="","",VLOOKUP($A294,'MAAŞ BORDROSU'!$A$4:$V$573,17,FALSE))</f>
        <v/>
      </c>
    </row>
    <row r="295" spans="1:7" s="330" customFormat="1" x14ac:dyDescent="0.2">
      <c r="A295" s="151" t="str">
        <f>'İşçi Bilgileri'!A294</f>
        <v/>
      </c>
      <c r="B295" s="151" t="str">
        <f>IF($A295="","",VLOOKUP($A295,'İşçi Bilgileri'!$A$2:$D$750,4,FALSE))</f>
        <v/>
      </c>
      <c r="C295" s="151" t="str">
        <f>CONCATENATE(IF($A295="","",VLOOKUP($A295,'İşçi Bilgileri'!$A$2:$D$750,2,FALSE))," ",IF($A295="","",VLOOKUP($A295,'İşçi Bilgileri'!$A$2:$D$750,3,FALSE)))</f>
        <v xml:space="preserve"> </v>
      </c>
      <c r="D295" s="350">
        <v>35527490</v>
      </c>
      <c r="E295" s="350" t="s">
        <v>177</v>
      </c>
      <c r="F295" s="154" t="str">
        <f>IF($A295="","",VLOOKUP($A295,'İşçi Bilgileri'!$A$2:$F$750,6,FALSE))</f>
        <v/>
      </c>
      <c r="G295" s="152" t="str">
        <f>IF($A295="","",VLOOKUP($A295,'MAAŞ BORDROSU'!$A$4:$V$573,17,FALSE))</f>
        <v/>
      </c>
    </row>
    <row r="296" spans="1:7" s="330" customFormat="1" x14ac:dyDescent="0.2">
      <c r="A296" s="151" t="str">
        <f>'İşçi Bilgileri'!A295</f>
        <v/>
      </c>
      <c r="B296" s="151" t="str">
        <f>IF($A296="","",VLOOKUP($A296,'İşçi Bilgileri'!$A$2:$D$750,4,FALSE))</f>
        <v/>
      </c>
      <c r="C296" s="151" t="str">
        <f>CONCATENATE(IF($A296="","",VLOOKUP($A296,'İşçi Bilgileri'!$A$2:$D$750,2,FALSE))," ",IF($A296="","",VLOOKUP($A296,'İşçi Bilgileri'!$A$2:$D$750,3,FALSE)))</f>
        <v xml:space="preserve"> </v>
      </c>
      <c r="D296" s="350">
        <v>35527490</v>
      </c>
      <c r="E296" s="350" t="s">
        <v>177</v>
      </c>
      <c r="F296" s="154" t="str">
        <f>IF($A296="","",VLOOKUP($A296,'İşçi Bilgileri'!$A$2:$F$750,6,FALSE))</f>
        <v/>
      </c>
      <c r="G296" s="152" t="str">
        <f>IF($A296="","",VLOOKUP($A296,'MAAŞ BORDROSU'!$A$4:$V$573,17,FALSE))</f>
        <v/>
      </c>
    </row>
    <row r="297" spans="1:7" s="330" customFormat="1" x14ac:dyDescent="0.2">
      <c r="A297" s="151" t="str">
        <f>'İşçi Bilgileri'!A296</f>
        <v/>
      </c>
      <c r="B297" s="151" t="str">
        <f>IF($A297="","",VLOOKUP($A297,'İşçi Bilgileri'!$A$2:$D$750,4,FALSE))</f>
        <v/>
      </c>
      <c r="C297" s="151" t="str">
        <f>CONCATENATE(IF($A297="","",VLOOKUP($A297,'İşçi Bilgileri'!$A$2:$D$750,2,FALSE))," ",IF($A297="","",VLOOKUP($A297,'İşçi Bilgileri'!$A$2:$D$750,3,FALSE)))</f>
        <v xml:space="preserve"> </v>
      </c>
      <c r="D297" s="350">
        <v>35527490</v>
      </c>
      <c r="E297" s="350" t="s">
        <v>177</v>
      </c>
      <c r="F297" s="154" t="str">
        <f>IF($A297="","",VLOOKUP($A297,'İşçi Bilgileri'!$A$2:$F$750,6,FALSE))</f>
        <v/>
      </c>
      <c r="G297" s="152" t="str">
        <f>IF($A297="","",VLOOKUP($A297,'MAAŞ BORDROSU'!$A$4:$V$573,17,FALSE))</f>
        <v/>
      </c>
    </row>
    <row r="298" spans="1:7" s="330" customFormat="1" x14ac:dyDescent="0.2">
      <c r="A298" s="151" t="str">
        <f>'İşçi Bilgileri'!A297</f>
        <v/>
      </c>
      <c r="B298" s="151" t="str">
        <f>IF($A298="","",VLOOKUP($A298,'İşçi Bilgileri'!$A$2:$D$750,4,FALSE))</f>
        <v/>
      </c>
      <c r="C298" s="151" t="str">
        <f>CONCATENATE(IF($A298="","",VLOOKUP($A298,'İşçi Bilgileri'!$A$2:$D$750,2,FALSE))," ",IF($A298="","",VLOOKUP($A298,'İşçi Bilgileri'!$A$2:$D$750,3,FALSE)))</f>
        <v xml:space="preserve"> </v>
      </c>
      <c r="D298" s="350">
        <v>35527490</v>
      </c>
      <c r="E298" s="350" t="s">
        <v>177</v>
      </c>
      <c r="F298" s="154" t="str">
        <f>IF($A298="","",VLOOKUP($A298,'İşçi Bilgileri'!$A$2:$F$750,6,FALSE))</f>
        <v/>
      </c>
      <c r="G298" s="152" t="str">
        <f>IF($A298="","",VLOOKUP($A298,'MAAŞ BORDROSU'!$A$4:$V$573,17,FALSE))</f>
        <v/>
      </c>
    </row>
    <row r="299" spans="1:7" s="330" customFormat="1" x14ac:dyDescent="0.2">
      <c r="A299" s="151" t="str">
        <f>'İşçi Bilgileri'!A298</f>
        <v/>
      </c>
      <c r="B299" s="151" t="str">
        <f>IF($A299="","",VLOOKUP($A299,'İşçi Bilgileri'!$A$2:$D$750,4,FALSE))</f>
        <v/>
      </c>
      <c r="C299" s="151" t="str">
        <f>CONCATENATE(IF($A299="","",VLOOKUP($A299,'İşçi Bilgileri'!$A$2:$D$750,2,FALSE))," ",IF($A299="","",VLOOKUP($A299,'İşçi Bilgileri'!$A$2:$D$750,3,FALSE)))</f>
        <v xml:space="preserve"> </v>
      </c>
      <c r="D299" s="350">
        <v>35527490</v>
      </c>
      <c r="E299" s="350" t="s">
        <v>177</v>
      </c>
      <c r="F299" s="154" t="str">
        <f>IF($A299="","",VLOOKUP($A299,'İşçi Bilgileri'!$A$2:$F$750,6,FALSE))</f>
        <v/>
      </c>
      <c r="G299" s="152" t="str">
        <f>IF($A299="","",VLOOKUP($A299,'MAAŞ BORDROSU'!$A$4:$V$573,17,FALSE))</f>
        <v/>
      </c>
    </row>
    <row r="300" spans="1:7" s="330" customFormat="1" x14ac:dyDescent="0.2">
      <c r="A300" s="151" t="str">
        <f>'İşçi Bilgileri'!A299</f>
        <v/>
      </c>
      <c r="B300" s="151" t="str">
        <f>IF($A300="","",VLOOKUP($A300,'İşçi Bilgileri'!$A$2:$D$750,4,FALSE))</f>
        <v/>
      </c>
      <c r="C300" s="151" t="str">
        <f>CONCATENATE(IF($A300="","",VLOOKUP($A300,'İşçi Bilgileri'!$A$2:$D$750,2,FALSE))," ",IF($A300="","",VLOOKUP($A300,'İşçi Bilgileri'!$A$2:$D$750,3,FALSE)))</f>
        <v xml:space="preserve"> </v>
      </c>
      <c r="D300" s="350">
        <v>35527490</v>
      </c>
      <c r="E300" s="350" t="s">
        <v>177</v>
      </c>
      <c r="F300" s="154" t="str">
        <f>IF($A300="","",VLOOKUP($A300,'İşçi Bilgileri'!$A$2:$F$750,6,FALSE))</f>
        <v/>
      </c>
      <c r="G300" s="152" t="str">
        <f>IF($A300="","",VLOOKUP($A300,'MAAŞ BORDROSU'!$A$4:$V$573,17,FALSE))</f>
        <v/>
      </c>
    </row>
    <row r="301" spans="1:7" s="330" customFormat="1" x14ac:dyDescent="0.2">
      <c r="A301" s="151" t="str">
        <f>'İşçi Bilgileri'!A300</f>
        <v/>
      </c>
      <c r="B301" s="151" t="str">
        <f>IF($A301="","",VLOOKUP($A301,'İşçi Bilgileri'!$A$2:$D$750,4,FALSE))</f>
        <v/>
      </c>
      <c r="C301" s="151" t="str">
        <f>CONCATENATE(IF($A301="","",VLOOKUP($A301,'İşçi Bilgileri'!$A$2:$D$750,2,FALSE))," ",IF($A301="","",VLOOKUP($A301,'İşçi Bilgileri'!$A$2:$D$750,3,FALSE)))</f>
        <v xml:space="preserve"> </v>
      </c>
      <c r="D301" s="350">
        <v>35527490</v>
      </c>
      <c r="E301" s="350" t="s">
        <v>177</v>
      </c>
      <c r="F301" s="154" t="str">
        <f>IF($A301="","",VLOOKUP($A301,'İşçi Bilgileri'!$A$2:$F$750,6,FALSE))</f>
        <v/>
      </c>
      <c r="G301" s="152" t="str">
        <f>IF($A301="","",VLOOKUP($A301,'MAAŞ BORDROSU'!$A$4:$V$573,17,FALSE))</f>
        <v/>
      </c>
    </row>
    <row r="302" spans="1:7" s="330" customFormat="1" x14ac:dyDescent="0.2">
      <c r="A302" s="151" t="str">
        <f>'İşçi Bilgileri'!A301</f>
        <v/>
      </c>
      <c r="B302" s="151" t="str">
        <f>IF($A302="","",VLOOKUP($A302,'İşçi Bilgileri'!$A$2:$D$750,4,FALSE))</f>
        <v/>
      </c>
      <c r="C302" s="151" t="str">
        <f>CONCATENATE(IF($A302="","",VLOOKUP($A302,'İşçi Bilgileri'!$A$2:$D$750,2,FALSE))," ",IF($A302="","",VLOOKUP($A302,'İşçi Bilgileri'!$A$2:$D$750,3,FALSE)))</f>
        <v xml:space="preserve"> </v>
      </c>
      <c r="D302" s="350">
        <v>35527490</v>
      </c>
      <c r="E302" s="350" t="s">
        <v>177</v>
      </c>
      <c r="F302" s="154" t="str">
        <f>IF($A302="","",VLOOKUP($A302,'İşçi Bilgileri'!$A$2:$F$750,6,FALSE))</f>
        <v/>
      </c>
      <c r="G302" s="152" t="str">
        <f>IF($A302="","",VLOOKUP($A302,'MAAŞ BORDROSU'!$A$4:$V$573,17,FALSE))</f>
        <v/>
      </c>
    </row>
    <row r="303" spans="1:7" s="330" customFormat="1" x14ac:dyDescent="0.2">
      <c r="A303" s="151" t="str">
        <f>'İşçi Bilgileri'!A302</f>
        <v/>
      </c>
      <c r="B303" s="151" t="str">
        <f>IF($A303="","",VLOOKUP($A303,'İşçi Bilgileri'!$A$2:$D$750,4,FALSE))</f>
        <v/>
      </c>
      <c r="C303" s="151" t="str">
        <f>CONCATENATE(IF($A303="","",VLOOKUP($A303,'İşçi Bilgileri'!$A$2:$D$750,2,FALSE))," ",IF($A303="","",VLOOKUP($A303,'İşçi Bilgileri'!$A$2:$D$750,3,FALSE)))</f>
        <v xml:space="preserve"> </v>
      </c>
      <c r="D303" s="350">
        <v>35527490</v>
      </c>
      <c r="E303" s="350" t="s">
        <v>177</v>
      </c>
      <c r="F303" s="154" t="str">
        <f>IF($A303="","",VLOOKUP($A303,'İşçi Bilgileri'!$A$2:$F$750,6,FALSE))</f>
        <v/>
      </c>
      <c r="G303" s="152" t="str">
        <f>IF($A303="","",VLOOKUP($A303,'MAAŞ BORDROSU'!$A$4:$V$573,17,FALSE))</f>
        <v/>
      </c>
    </row>
    <row r="304" spans="1:7" s="330" customFormat="1" x14ac:dyDescent="0.2">
      <c r="A304" s="151" t="str">
        <f>'İşçi Bilgileri'!A303</f>
        <v/>
      </c>
      <c r="B304" s="151" t="str">
        <f>IF($A304="","",VLOOKUP($A304,'İşçi Bilgileri'!$A$2:$D$750,4,FALSE))</f>
        <v/>
      </c>
      <c r="C304" s="151" t="str">
        <f>CONCATENATE(IF($A304="","",VLOOKUP($A304,'İşçi Bilgileri'!$A$2:$D$750,2,FALSE))," ",IF($A304="","",VLOOKUP($A304,'İşçi Bilgileri'!$A$2:$D$750,3,FALSE)))</f>
        <v xml:space="preserve"> </v>
      </c>
      <c r="D304" s="350">
        <v>35527490</v>
      </c>
      <c r="E304" s="350" t="s">
        <v>177</v>
      </c>
      <c r="F304" s="154" t="str">
        <f>IF($A304="","",VLOOKUP($A304,'İşçi Bilgileri'!$A$2:$F$750,6,FALSE))</f>
        <v/>
      </c>
      <c r="G304" s="152" t="str">
        <f>IF($A304="","",VLOOKUP($A304,'MAAŞ BORDROSU'!$A$4:$V$573,17,FALSE))</f>
        <v/>
      </c>
    </row>
    <row r="305" spans="1:7" s="330" customFormat="1" x14ac:dyDescent="0.2">
      <c r="A305" s="151" t="str">
        <f>'İşçi Bilgileri'!A304</f>
        <v/>
      </c>
      <c r="B305" s="151" t="str">
        <f>IF($A305="","",VLOOKUP($A305,'İşçi Bilgileri'!$A$2:$D$750,4,FALSE))</f>
        <v/>
      </c>
      <c r="C305" s="151" t="str">
        <f>CONCATENATE(IF($A305="","",VLOOKUP($A305,'İşçi Bilgileri'!$A$2:$D$750,2,FALSE))," ",IF($A305="","",VLOOKUP($A305,'İşçi Bilgileri'!$A$2:$D$750,3,FALSE)))</f>
        <v xml:space="preserve"> </v>
      </c>
      <c r="D305" s="350">
        <v>35527490</v>
      </c>
      <c r="E305" s="350" t="s">
        <v>177</v>
      </c>
      <c r="F305" s="154" t="str">
        <f>IF($A305="","",VLOOKUP($A305,'İşçi Bilgileri'!$A$2:$F$750,6,FALSE))</f>
        <v/>
      </c>
      <c r="G305" s="152" t="str">
        <f>IF($A305="","",VLOOKUP($A305,'MAAŞ BORDROSU'!$A$4:$V$573,17,FALSE))</f>
        <v/>
      </c>
    </row>
    <row r="306" spans="1:7" s="330" customFormat="1" x14ac:dyDescent="0.2">
      <c r="A306" s="151" t="str">
        <f>'İşçi Bilgileri'!A305</f>
        <v/>
      </c>
      <c r="B306" s="151" t="str">
        <f>IF($A306="","",VLOOKUP($A306,'İşçi Bilgileri'!$A$2:$D$750,4,FALSE))</f>
        <v/>
      </c>
      <c r="C306" s="151" t="str">
        <f>CONCATENATE(IF($A306="","",VLOOKUP($A306,'İşçi Bilgileri'!$A$2:$D$750,2,FALSE))," ",IF($A306="","",VLOOKUP($A306,'İşçi Bilgileri'!$A$2:$D$750,3,FALSE)))</f>
        <v xml:space="preserve"> </v>
      </c>
      <c r="D306" s="350">
        <v>35527490</v>
      </c>
      <c r="E306" s="350" t="s">
        <v>177</v>
      </c>
      <c r="F306" s="154" t="str">
        <f>IF($A306="","",VLOOKUP($A306,'İşçi Bilgileri'!$A$2:$F$750,6,FALSE))</f>
        <v/>
      </c>
      <c r="G306" s="152" t="str">
        <f>IF($A306="","",VLOOKUP($A306,'MAAŞ BORDROSU'!$A$4:$V$573,17,FALSE))</f>
        <v/>
      </c>
    </row>
    <row r="307" spans="1:7" s="330" customFormat="1" x14ac:dyDescent="0.2">
      <c r="A307" s="151" t="str">
        <f>'İşçi Bilgileri'!A306</f>
        <v/>
      </c>
      <c r="B307" s="151" t="str">
        <f>IF($A307="","",VLOOKUP($A307,'İşçi Bilgileri'!$A$2:$D$750,4,FALSE))</f>
        <v/>
      </c>
      <c r="C307" s="151" t="str">
        <f>CONCATENATE(IF($A307="","",VLOOKUP($A307,'İşçi Bilgileri'!$A$2:$D$750,2,FALSE))," ",IF($A307="","",VLOOKUP($A307,'İşçi Bilgileri'!$A$2:$D$750,3,FALSE)))</f>
        <v xml:space="preserve"> </v>
      </c>
      <c r="D307" s="350">
        <v>35527490</v>
      </c>
      <c r="E307" s="350" t="s">
        <v>177</v>
      </c>
      <c r="F307" s="154" t="str">
        <f>IF($A307="","",VLOOKUP($A307,'İşçi Bilgileri'!$A$2:$F$750,6,FALSE))</f>
        <v/>
      </c>
      <c r="G307" s="152" t="str">
        <f>IF($A307="","",VLOOKUP($A307,'MAAŞ BORDROSU'!$A$4:$V$573,17,FALSE))</f>
        <v/>
      </c>
    </row>
    <row r="308" spans="1:7" s="330" customFormat="1" x14ac:dyDescent="0.2">
      <c r="A308" s="151" t="str">
        <f>'İşçi Bilgileri'!A307</f>
        <v/>
      </c>
      <c r="B308" s="151" t="str">
        <f>IF($A308="","",VLOOKUP($A308,'İşçi Bilgileri'!$A$2:$D$750,4,FALSE))</f>
        <v/>
      </c>
      <c r="C308" s="151" t="str">
        <f>CONCATENATE(IF($A308="","",VLOOKUP($A308,'İşçi Bilgileri'!$A$2:$D$750,2,FALSE))," ",IF($A308="","",VLOOKUP($A308,'İşçi Bilgileri'!$A$2:$D$750,3,FALSE)))</f>
        <v xml:space="preserve"> </v>
      </c>
      <c r="D308" s="350">
        <v>35527490</v>
      </c>
      <c r="E308" s="350" t="s">
        <v>177</v>
      </c>
      <c r="F308" s="154" t="str">
        <f>IF($A308="","",VLOOKUP($A308,'İşçi Bilgileri'!$A$2:$F$750,6,FALSE))</f>
        <v/>
      </c>
      <c r="G308" s="152" t="str">
        <f>IF($A308="","",VLOOKUP($A308,'MAAŞ BORDROSU'!$A$4:$V$573,17,FALSE))</f>
        <v/>
      </c>
    </row>
    <row r="309" spans="1:7" s="330" customFormat="1" x14ac:dyDescent="0.2">
      <c r="A309" s="151" t="str">
        <f>'İşçi Bilgileri'!A308</f>
        <v/>
      </c>
      <c r="B309" s="151" t="str">
        <f>IF($A309="","",VLOOKUP($A309,'İşçi Bilgileri'!$A$2:$D$750,4,FALSE))</f>
        <v/>
      </c>
      <c r="C309" s="151" t="str">
        <f>CONCATENATE(IF($A309="","",VLOOKUP($A309,'İşçi Bilgileri'!$A$2:$D$750,2,FALSE))," ",IF($A309="","",VLOOKUP($A309,'İşçi Bilgileri'!$A$2:$D$750,3,FALSE)))</f>
        <v xml:space="preserve"> </v>
      </c>
      <c r="D309" s="350">
        <v>35527490</v>
      </c>
      <c r="E309" s="350" t="s">
        <v>177</v>
      </c>
      <c r="F309" s="154" t="str">
        <f>IF($A309="","",VLOOKUP($A309,'İşçi Bilgileri'!$A$2:$F$750,6,FALSE))</f>
        <v/>
      </c>
      <c r="G309" s="152" t="str">
        <f>IF($A309="","",VLOOKUP($A309,'MAAŞ BORDROSU'!$A$4:$V$573,17,FALSE))</f>
        <v/>
      </c>
    </row>
    <row r="310" spans="1:7" s="330" customFormat="1" x14ac:dyDescent="0.2">
      <c r="A310" s="151" t="str">
        <f>'İşçi Bilgileri'!A309</f>
        <v/>
      </c>
      <c r="B310" s="151" t="str">
        <f>IF($A310="","",VLOOKUP($A310,'İşçi Bilgileri'!$A$2:$D$750,4,FALSE))</f>
        <v/>
      </c>
      <c r="C310" s="151" t="str">
        <f>CONCATENATE(IF($A310="","",VLOOKUP($A310,'İşçi Bilgileri'!$A$2:$D$750,2,FALSE))," ",IF($A310="","",VLOOKUP($A310,'İşçi Bilgileri'!$A$2:$D$750,3,FALSE)))</f>
        <v xml:space="preserve"> </v>
      </c>
      <c r="D310" s="350">
        <v>35527490</v>
      </c>
      <c r="E310" s="350" t="s">
        <v>177</v>
      </c>
      <c r="F310" s="154" t="str">
        <f>IF($A310="","",VLOOKUP($A310,'İşçi Bilgileri'!$A$2:$F$750,6,FALSE))</f>
        <v/>
      </c>
      <c r="G310" s="152" t="str">
        <f>IF($A310="","",VLOOKUP($A310,'MAAŞ BORDROSU'!$A$4:$V$573,17,FALSE))</f>
        <v/>
      </c>
    </row>
    <row r="311" spans="1:7" s="330" customFormat="1" x14ac:dyDescent="0.2">
      <c r="A311" s="151" t="str">
        <f>'İşçi Bilgileri'!A310</f>
        <v/>
      </c>
      <c r="B311" s="151" t="str">
        <f>IF($A311="","",VLOOKUP($A311,'İşçi Bilgileri'!$A$2:$D$750,4,FALSE))</f>
        <v/>
      </c>
      <c r="C311" s="151" t="str">
        <f>CONCATENATE(IF($A311="","",VLOOKUP($A311,'İşçi Bilgileri'!$A$2:$D$750,2,FALSE))," ",IF($A311="","",VLOOKUP($A311,'İşçi Bilgileri'!$A$2:$D$750,3,FALSE)))</f>
        <v xml:space="preserve"> </v>
      </c>
      <c r="D311" s="350">
        <v>35527490</v>
      </c>
      <c r="E311" s="350" t="s">
        <v>177</v>
      </c>
      <c r="F311" s="154" t="str">
        <f>IF($A311="","",VLOOKUP($A311,'İşçi Bilgileri'!$A$2:$F$750,6,FALSE))</f>
        <v/>
      </c>
      <c r="G311" s="152" t="str">
        <f>IF($A311="","",VLOOKUP($A311,'MAAŞ BORDROSU'!$A$4:$V$573,17,FALSE))</f>
        <v/>
      </c>
    </row>
    <row r="312" spans="1:7" s="330" customFormat="1" x14ac:dyDescent="0.2">
      <c r="A312" s="151" t="str">
        <f>'İşçi Bilgileri'!A311</f>
        <v/>
      </c>
      <c r="B312" s="151" t="str">
        <f>IF($A312="","",VLOOKUP($A312,'İşçi Bilgileri'!$A$2:$D$750,4,FALSE))</f>
        <v/>
      </c>
      <c r="C312" s="151" t="str">
        <f>CONCATENATE(IF($A312="","",VLOOKUP($A312,'İşçi Bilgileri'!$A$2:$D$750,2,FALSE))," ",IF($A312="","",VLOOKUP($A312,'İşçi Bilgileri'!$A$2:$D$750,3,FALSE)))</f>
        <v xml:space="preserve"> </v>
      </c>
      <c r="D312" s="350">
        <v>35527490</v>
      </c>
      <c r="E312" s="350" t="s">
        <v>177</v>
      </c>
      <c r="F312" s="154" t="str">
        <f>IF($A312="","",VLOOKUP($A312,'İşçi Bilgileri'!$A$2:$F$750,6,FALSE))</f>
        <v/>
      </c>
      <c r="G312" s="152" t="str">
        <f>IF($A312="","",VLOOKUP($A312,'MAAŞ BORDROSU'!$A$4:$V$573,17,FALSE))</f>
        <v/>
      </c>
    </row>
    <row r="313" spans="1:7" s="330" customFormat="1" x14ac:dyDescent="0.2">
      <c r="A313" s="151" t="str">
        <f>'İşçi Bilgileri'!A312</f>
        <v/>
      </c>
      <c r="B313" s="151" t="str">
        <f>IF($A313="","",VLOOKUP($A313,'İşçi Bilgileri'!$A$2:$D$750,4,FALSE))</f>
        <v/>
      </c>
      <c r="C313" s="151" t="str">
        <f>CONCATENATE(IF($A313="","",VLOOKUP($A313,'İşçi Bilgileri'!$A$2:$D$750,2,FALSE))," ",IF($A313="","",VLOOKUP($A313,'İşçi Bilgileri'!$A$2:$D$750,3,FALSE)))</f>
        <v xml:space="preserve"> </v>
      </c>
      <c r="D313" s="350">
        <v>35527490</v>
      </c>
      <c r="E313" s="350" t="s">
        <v>177</v>
      </c>
      <c r="F313" s="154" t="str">
        <f>IF($A313="","",VLOOKUP($A313,'İşçi Bilgileri'!$A$2:$F$750,6,FALSE))</f>
        <v/>
      </c>
      <c r="G313" s="152" t="str">
        <f>IF($A313="","",VLOOKUP($A313,'MAAŞ BORDROSU'!$A$4:$V$573,17,FALSE))</f>
        <v/>
      </c>
    </row>
    <row r="314" spans="1:7" s="330" customFormat="1" x14ac:dyDescent="0.2">
      <c r="A314" s="151" t="str">
        <f>'İşçi Bilgileri'!A313</f>
        <v/>
      </c>
      <c r="B314" s="151" t="str">
        <f>IF($A314="","",VLOOKUP($A314,'İşçi Bilgileri'!$A$2:$D$750,4,FALSE))</f>
        <v/>
      </c>
      <c r="C314" s="151" t="str">
        <f>CONCATENATE(IF($A314="","",VLOOKUP($A314,'İşçi Bilgileri'!$A$2:$D$750,2,FALSE))," ",IF($A314="","",VLOOKUP($A314,'İşçi Bilgileri'!$A$2:$D$750,3,FALSE)))</f>
        <v xml:space="preserve"> </v>
      </c>
      <c r="D314" s="350">
        <v>35527490</v>
      </c>
      <c r="E314" s="350" t="s">
        <v>177</v>
      </c>
      <c r="F314" s="154" t="str">
        <f>IF($A314="","",VLOOKUP($A314,'İşçi Bilgileri'!$A$2:$F$750,6,FALSE))</f>
        <v/>
      </c>
      <c r="G314" s="152" t="str">
        <f>IF($A314="","",VLOOKUP($A314,'MAAŞ BORDROSU'!$A$4:$V$573,17,FALSE))</f>
        <v/>
      </c>
    </row>
    <row r="315" spans="1:7" s="330" customFormat="1" x14ac:dyDescent="0.2">
      <c r="A315" s="151" t="str">
        <f>'İşçi Bilgileri'!A314</f>
        <v/>
      </c>
      <c r="B315" s="151" t="str">
        <f>IF($A315="","",VLOOKUP($A315,'İşçi Bilgileri'!$A$2:$D$750,4,FALSE))</f>
        <v/>
      </c>
      <c r="C315" s="151" t="str">
        <f>CONCATENATE(IF($A315="","",VLOOKUP($A315,'İşçi Bilgileri'!$A$2:$D$750,2,FALSE))," ",IF($A315="","",VLOOKUP($A315,'İşçi Bilgileri'!$A$2:$D$750,3,FALSE)))</f>
        <v xml:space="preserve"> </v>
      </c>
      <c r="D315" s="350">
        <v>35527490</v>
      </c>
      <c r="E315" s="350" t="s">
        <v>177</v>
      </c>
      <c r="F315" s="154" t="str">
        <f>IF($A315="","",VLOOKUP($A315,'İşçi Bilgileri'!$A$2:$F$750,6,FALSE))</f>
        <v/>
      </c>
      <c r="G315" s="152" t="str">
        <f>IF($A315="","",VLOOKUP($A315,'MAAŞ BORDROSU'!$A$4:$V$573,17,FALSE))</f>
        <v/>
      </c>
    </row>
    <row r="316" spans="1:7" s="330" customFormat="1" x14ac:dyDescent="0.2">
      <c r="A316" s="151" t="str">
        <f>'İşçi Bilgileri'!A315</f>
        <v/>
      </c>
      <c r="B316" s="151" t="str">
        <f>IF($A316="","",VLOOKUP($A316,'İşçi Bilgileri'!$A$2:$D$750,4,FALSE))</f>
        <v/>
      </c>
      <c r="C316" s="151" t="str">
        <f>CONCATENATE(IF($A316="","",VLOOKUP($A316,'İşçi Bilgileri'!$A$2:$D$750,2,FALSE))," ",IF($A316="","",VLOOKUP($A316,'İşçi Bilgileri'!$A$2:$D$750,3,FALSE)))</f>
        <v xml:space="preserve"> </v>
      </c>
      <c r="D316" s="350">
        <v>35527490</v>
      </c>
      <c r="E316" s="350" t="s">
        <v>177</v>
      </c>
      <c r="F316" s="154" t="str">
        <f>IF($A316="","",VLOOKUP($A316,'İşçi Bilgileri'!$A$2:$F$750,6,FALSE))</f>
        <v/>
      </c>
      <c r="G316" s="152" t="str">
        <f>IF($A316="","",VLOOKUP($A316,'MAAŞ BORDROSU'!$A$4:$V$573,17,FALSE))</f>
        <v/>
      </c>
    </row>
    <row r="317" spans="1:7" s="330" customFormat="1" x14ac:dyDescent="0.2">
      <c r="A317" s="151" t="str">
        <f>'İşçi Bilgileri'!A316</f>
        <v/>
      </c>
      <c r="B317" s="151" t="str">
        <f>IF($A317="","",VLOOKUP($A317,'İşçi Bilgileri'!$A$2:$D$750,4,FALSE))</f>
        <v/>
      </c>
      <c r="C317" s="151" t="str">
        <f>CONCATENATE(IF($A317="","",VLOOKUP($A317,'İşçi Bilgileri'!$A$2:$D$750,2,FALSE))," ",IF($A317="","",VLOOKUP($A317,'İşçi Bilgileri'!$A$2:$D$750,3,FALSE)))</f>
        <v xml:space="preserve"> </v>
      </c>
      <c r="D317" s="350">
        <v>35527490</v>
      </c>
      <c r="E317" s="350" t="s">
        <v>177</v>
      </c>
      <c r="F317" s="154" t="str">
        <f>IF($A317="","",VLOOKUP($A317,'İşçi Bilgileri'!$A$2:$F$750,6,FALSE))</f>
        <v/>
      </c>
      <c r="G317" s="152" t="str">
        <f>IF($A317="","",VLOOKUP($A317,'MAAŞ BORDROSU'!$A$4:$V$573,17,FALSE))</f>
        <v/>
      </c>
    </row>
    <row r="318" spans="1:7" s="330" customFormat="1" x14ac:dyDescent="0.2">
      <c r="A318" s="151" t="str">
        <f>'İşçi Bilgileri'!A317</f>
        <v/>
      </c>
      <c r="B318" s="151" t="str">
        <f>IF($A318="","",VLOOKUP($A318,'İşçi Bilgileri'!$A$2:$D$750,4,FALSE))</f>
        <v/>
      </c>
      <c r="C318" s="151" t="str">
        <f>CONCATENATE(IF($A318="","",VLOOKUP($A318,'İşçi Bilgileri'!$A$2:$D$750,2,FALSE))," ",IF($A318="","",VLOOKUP($A318,'İşçi Bilgileri'!$A$2:$D$750,3,FALSE)))</f>
        <v xml:space="preserve"> </v>
      </c>
      <c r="D318" s="350">
        <v>35527490</v>
      </c>
      <c r="E318" s="350" t="s">
        <v>177</v>
      </c>
      <c r="F318" s="154" t="str">
        <f>IF($A318="","",VLOOKUP($A318,'İşçi Bilgileri'!$A$2:$F$750,6,FALSE))</f>
        <v/>
      </c>
      <c r="G318" s="152" t="str">
        <f>IF($A318="","",VLOOKUP($A318,'MAAŞ BORDROSU'!$A$4:$V$573,17,FALSE))</f>
        <v/>
      </c>
    </row>
    <row r="319" spans="1:7" s="330" customFormat="1" x14ac:dyDescent="0.2">
      <c r="A319" s="151" t="str">
        <f>'İşçi Bilgileri'!A318</f>
        <v/>
      </c>
      <c r="B319" s="151" t="str">
        <f>IF($A319="","",VLOOKUP($A319,'İşçi Bilgileri'!$A$2:$D$750,4,FALSE))</f>
        <v/>
      </c>
      <c r="C319" s="151" t="str">
        <f>CONCATENATE(IF($A319="","",VLOOKUP($A319,'İşçi Bilgileri'!$A$2:$D$750,2,FALSE))," ",IF($A319="","",VLOOKUP($A319,'İşçi Bilgileri'!$A$2:$D$750,3,FALSE)))</f>
        <v xml:space="preserve"> </v>
      </c>
      <c r="D319" s="350">
        <v>35527490</v>
      </c>
      <c r="E319" s="350" t="s">
        <v>177</v>
      </c>
      <c r="F319" s="154" t="str">
        <f>IF($A319="","",VLOOKUP($A319,'İşçi Bilgileri'!$A$2:$F$750,6,FALSE))</f>
        <v/>
      </c>
      <c r="G319" s="152" t="str">
        <f>IF($A319="","",VLOOKUP($A319,'MAAŞ BORDROSU'!$A$4:$V$573,17,FALSE))</f>
        <v/>
      </c>
    </row>
    <row r="320" spans="1:7" s="330" customFormat="1" x14ac:dyDescent="0.2">
      <c r="A320" s="151" t="str">
        <f>'İşçi Bilgileri'!A319</f>
        <v/>
      </c>
      <c r="B320" s="151" t="str">
        <f>IF($A320="","",VLOOKUP($A320,'İşçi Bilgileri'!$A$2:$D$750,4,FALSE))</f>
        <v/>
      </c>
      <c r="C320" s="151" t="str">
        <f>CONCATENATE(IF($A320="","",VLOOKUP($A320,'İşçi Bilgileri'!$A$2:$D$750,2,FALSE))," ",IF($A320="","",VLOOKUP($A320,'İşçi Bilgileri'!$A$2:$D$750,3,FALSE)))</f>
        <v xml:space="preserve"> </v>
      </c>
      <c r="D320" s="350">
        <v>35527490</v>
      </c>
      <c r="E320" s="350" t="s">
        <v>177</v>
      </c>
      <c r="F320" s="154" t="str">
        <f>IF($A320="","",VLOOKUP($A320,'İşçi Bilgileri'!$A$2:$F$750,6,FALSE))</f>
        <v/>
      </c>
      <c r="G320" s="152" t="str">
        <f>IF($A320="","",VLOOKUP($A320,'MAAŞ BORDROSU'!$A$4:$V$573,17,FALSE))</f>
        <v/>
      </c>
    </row>
    <row r="321" spans="1:7" s="330" customFormat="1" x14ac:dyDescent="0.2">
      <c r="A321" s="151" t="str">
        <f>'İşçi Bilgileri'!A320</f>
        <v/>
      </c>
      <c r="B321" s="151" t="str">
        <f>IF($A321="","",VLOOKUP($A321,'İşçi Bilgileri'!$A$2:$D$750,4,FALSE))</f>
        <v/>
      </c>
      <c r="C321" s="151" t="str">
        <f>CONCATENATE(IF($A321="","",VLOOKUP($A321,'İşçi Bilgileri'!$A$2:$D$750,2,FALSE))," ",IF($A321="","",VLOOKUP($A321,'İşçi Bilgileri'!$A$2:$D$750,3,FALSE)))</f>
        <v xml:space="preserve"> </v>
      </c>
      <c r="D321" s="350">
        <v>35527490</v>
      </c>
      <c r="E321" s="350" t="s">
        <v>177</v>
      </c>
      <c r="F321" s="154" t="str">
        <f>IF($A321="","",VLOOKUP($A321,'İşçi Bilgileri'!$A$2:$F$750,6,FALSE))</f>
        <v/>
      </c>
      <c r="G321" s="152" t="str">
        <f>IF($A321="","",VLOOKUP($A321,'MAAŞ BORDROSU'!$A$4:$V$573,17,FALSE))</f>
        <v/>
      </c>
    </row>
    <row r="322" spans="1:7" s="330" customFormat="1" x14ac:dyDescent="0.2">
      <c r="A322" s="151" t="str">
        <f>'İşçi Bilgileri'!A321</f>
        <v/>
      </c>
      <c r="B322" s="151" t="str">
        <f>IF($A322="","",VLOOKUP($A322,'İşçi Bilgileri'!$A$2:$D$750,4,FALSE))</f>
        <v/>
      </c>
      <c r="C322" s="151" t="str">
        <f>CONCATENATE(IF($A322="","",VLOOKUP($A322,'İşçi Bilgileri'!$A$2:$D$750,2,FALSE))," ",IF($A322="","",VLOOKUP($A322,'İşçi Bilgileri'!$A$2:$D$750,3,FALSE)))</f>
        <v xml:space="preserve"> </v>
      </c>
      <c r="D322" s="350">
        <v>35527490</v>
      </c>
      <c r="E322" s="350" t="s">
        <v>177</v>
      </c>
      <c r="F322" s="154" t="str">
        <f>IF($A322="","",VLOOKUP($A322,'İşçi Bilgileri'!$A$2:$F$750,6,FALSE))</f>
        <v/>
      </c>
      <c r="G322" s="152" t="str">
        <f>IF($A322="","",VLOOKUP($A322,'MAAŞ BORDROSU'!$A$4:$V$573,17,FALSE))</f>
        <v/>
      </c>
    </row>
    <row r="323" spans="1:7" s="330" customFormat="1" x14ac:dyDescent="0.2">
      <c r="A323" s="151" t="str">
        <f>'İşçi Bilgileri'!A322</f>
        <v/>
      </c>
      <c r="B323" s="151" t="str">
        <f>IF($A323="","",VLOOKUP($A323,'İşçi Bilgileri'!$A$2:$D$750,4,FALSE))</f>
        <v/>
      </c>
      <c r="C323" s="151" t="str">
        <f>CONCATENATE(IF($A323="","",VLOOKUP($A323,'İşçi Bilgileri'!$A$2:$D$750,2,FALSE))," ",IF($A323="","",VLOOKUP($A323,'İşçi Bilgileri'!$A$2:$D$750,3,FALSE)))</f>
        <v xml:space="preserve"> </v>
      </c>
      <c r="D323" s="350">
        <v>35527490</v>
      </c>
      <c r="E323" s="350" t="s">
        <v>177</v>
      </c>
      <c r="F323" s="154" t="str">
        <f>IF($A323="","",VLOOKUP($A323,'İşçi Bilgileri'!$A$2:$F$750,6,FALSE))</f>
        <v/>
      </c>
      <c r="G323" s="152" t="str">
        <f>IF($A323="","",VLOOKUP($A323,'MAAŞ BORDROSU'!$A$4:$V$573,17,FALSE))</f>
        <v/>
      </c>
    </row>
    <row r="324" spans="1:7" s="330" customFormat="1" x14ac:dyDescent="0.2">
      <c r="A324" s="151" t="str">
        <f>'İşçi Bilgileri'!A323</f>
        <v/>
      </c>
      <c r="B324" s="151" t="str">
        <f>IF($A324="","",VLOOKUP($A324,'İşçi Bilgileri'!$A$2:$D$750,4,FALSE))</f>
        <v/>
      </c>
      <c r="C324" s="151" t="str">
        <f>CONCATENATE(IF($A324="","",VLOOKUP($A324,'İşçi Bilgileri'!$A$2:$D$750,2,FALSE))," ",IF($A324="","",VLOOKUP($A324,'İşçi Bilgileri'!$A$2:$D$750,3,FALSE)))</f>
        <v xml:space="preserve"> </v>
      </c>
      <c r="D324" s="350">
        <v>35527490</v>
      </c>
      <c r="E324" s="350" t="s">
        <v>177</v>
      </c>
      <c r="F324" s="154" t="str">
        <f>IF($A324="","",VLOOKUP($A324,'İşçi Bilgileri'!$A$2:$F$750,6,FALSE))</f>
        <v/>
      </c>
      <c r="G324" s="152" t="str">
        <f>IF($A324="","",VLOOKUP($A324,'MAAŞ BORDROSU'!$A$4:$V$573,17,FALSE))</f>
        <v/>
      </c>
    </row>
    <row r="325" spans="1:7" s="330" customFormat="1" x14ac:dyDescent="0.2">
      <c r="A325" s="151" t="str">
        <f>'İşçi Bilgileri'!A324</f>
        <v/>
      </c>
      <c r="B325" s="151" t="str">
        <f>IF($A325="","",VLOOKUP($A325,'İşçi Bilgileri'!$A$2:$D$750,4,FALSE))</f>
        <v/>
      </c>
      <c r="C325" s="151" t="str">
        <f>CONCATENATE(IF($A325="","",VLOOKUP($A325,'İşçi Bilgileri'!$A$2:$D$750,2,FALSE))," ",IF($A325="","",VLOOKUP($A325,'İşçi Bilgileri'!$A$2:$D$750,3,FALSE)))</f>
        <v xml:space="preserve"> </v>
      </c>
      <c r="D325" s="350">
        <v>35527490</v>
      </c>
      <c r="E325" s="350" t="s">
        <v>177</v>
      </c>
      <c r="F325" s="154" t="str">
        <f>IF($A325="","",VLOOKUP($A325,'İşçi Bilgileri'!$A$2:$F$750,6,FALSE))</f>
        <v/>
      </c>
      <c r="G325" s="152" t="str">
        <f>IF($A325="","",VLOOKUP($A325,'MAAŞ BORDROSU'!$A$4:$V$573,17,FALSE))</f>
        <v/>
      </c>
    </row>
    <row r="326" spans="1:7" s="330" customFormat="1" x14ac:dyDescent="0.2">
      <c r="A326" s="151" t="str">
        <f>'İşçi Bilgileri'!A325</f>
        <v/>
      </c>
      <c r="B326" s="151" t="str">
        <f>IF($A326="","",VLOOKUP($A326,'İşçi Bilgileri'!$A$2:$D$750,4,FALSE))</f>
        <v/>
      </c>
      <c r="C326" s="151" t="str">
        <f>CONCATENATE(IF($A326="","",VLOOKUP($A326,'İşçi Bilgileri'!$A$2:$D$750,2,FALSE))," ",IF($A326="","",VLOOKUP($A326,'İşçi Bilgileri'!$A$2:$D$750,3,FALSE)))</f>
        <v xml:space="preserve"> </v>
      </c>
      <c r="D326" s="350">
        <v>35527490</v>
      </c>
      <c r="E326" s="350" t="s">
        <v>177</v>
      </c>
      <c r="F326" s="154" t="str">
        <f>IF($A326="","",VLOOKUP($A326,'İşçi Bilgileri'!$A$2:$F$750,6,FALSE))</f>
        <v/>
      </c>
      <c r="G326" s="152" t="str">
        <f>IF($A326="","",VLOOKUP($A326,'MAAŞ BORDROSU'!$A$4:$V$573,17,FALSE))</f>
        <v/>
      </c>
    </row>
    <row r="327" spans="1:7" s="330" customFormat="1" x14ac:dyDescent="0.2">
      <c r="A327" s="151" t="str">
        <f>'İşçi Bilgileri'!A326</f>
        <v/>
      </c>
      <c r="B327" s="151" t="str">
        <f>IF($A327="","",VLOOKUP($A327,'İşçi Bilgileri'!$A$2:$D$750,4,FALSE))</f>
        <v/>
      </c>
      <c r="C327" s="151" t="str">
        <f>CONCATENATE(IF($A327="","",VLOOKUP($A327,'İşçi Bilgileri'!$A$2:$D$750,2,FALSE))," ",IF($A327="","",VLOOKUP($A327,'İşçi Bilgileri'!$A$2:$D$750,3,FALSE)))</f>
        <v xml:space="preserve"> </v>
      </c>
      <c r="D327" s="350">
        <v>35527490</v>
      </c>
      <c r="E327" s="350" t="s">
        <v>177</v>
      </c>
      <c r="F327" s="154" t="str">
        <f>IF($A327="","",VLOOKUP($A327,'İşçi Bilgileri'!$A$2:$F$750,6,FALSE))</f>
        <v/>
      </c>
      <c r="G327" s="152" t="str">
        <f>IF($A327="","",VLOOKUP($A327,'MAAŞ BORDROSU'!$A$4:$V$573,17,FALSE))</f>
        <v/>
      </c>
    </row>
    <row r="328" spans="1:7" s="330" customFormat="1" x14ac:dyDescent="0.2">
      <c r="A328" s="151" t="str">
        <f>'İşçi Bilgileri'!A327</f>
        <v/>
      </c>
      <c r="B328" s="151" t="str">
        <f>IF($A328="","",VLOOKUP($A328,'İşçi Bilgileri'!$A$2:$D$750,4,FALSE))</f>
        <v/>
      </c>
      <c r="C328" s="151" t="str">
        <f>CONCATENATE(IF($A328="","",VLOOKUP($A328,'İşçi Bilgileri'!$A$2:$D$750,2,FALSE))," ",IF($A328="","",VLOOKUP($A328,'İşçi Bilgileri'!$A$2:$D$750,3,FALSE)))</f>
        <v xml:space="preserve"> </v>
      </c>
      <c r="D328" s="350">
        <v>35527490</v>
      </c>
      <c r="E328" s="350" t="s">
        <v>177</v>
      </c>
      <c r="F328" s="154" t="str">
        <f>IF($A328="","",VLOOKUP($A328,'İşçi Bilgileri'!$A$2:$F$750,6,FALSE))</f>
        <v/>
      </c>
      <c r="G328" s="152" t="str">
        <f>IF($A328="","",VLOOKUP($A328,'MAAŞ BORDROSU'!$A$4:$V$573,17,FALSE))</f>
        <v/>
      </c>
    </row>
    <row r="329" spans="1:7" s="330" customFormat="1" x14ac:dyDescent="0.2">
      <c r="A329" s="151" t="str">
        <f>'İşçi Bilgileri'!A328</f>
        <v/>
      </c>
      <c r="B329" s="151" t="str">
        <f>IF($A329="","",VLOOKUP($A329,'İşçi Bilgileri'!$A$2:$D$750,4,FALSE))</f>
        <v/>
      </c>
      <c r="C329" s="151" t="str">
        <f>CONCATENATE(IF($A329="","",VLOOKUP($A329,'İşçi Bilgileri'!$A$2:$D$750,2,FALSE))," ",IF($A329="","",VLOOKUP($A329,'İşçi Bilgileri'!$A$2:$D$750,3,FALSE)))</f>
        <v xml:space="preserve"> </v>
      </c>
      <c r="D329" s="350">
        <v>35527490</v>
      </c>
      <c r="E329" s="350" t="s">
        <v>177</v>
      </c>
      <c r="F329" s="154" t="str">
        <f>IF($A329="","",VLOOKUP($A329,'İşçi Bilgileri'!$A$2:$F$750,6,FALSE))</f>
        <v/>
      </c>
      <c r="G329" s="152" t="str">
        <f>IF($A329="","",VLOOKUP($A329,'MAAŞ BORDROSU'!$A$4:$V$573,17,FALSE))</f>
        <v/>
      </c>
    </row>
    <row r="330" spans="1:7" s="330" customFormat="1" x14ac:dyDescent="0.2">
      <c r="A330" s="151" t="str">
        <f>'İşçi Bilgileri'!A329</f>
        <v/>
      </c>
      <c r="B330" s="151" t="str">
        <f>IF($A330="","",VLOOKUP($A330,'İşçi Bilgileri'!$A$2:$D$750,4,FALSE))</f>
        <v/>
      </c>
      <c r="C330" s="151" t="str">
        <f>CONCATENATE(IF($A330="","",VLOOKUP($A330,'İşçi Bilgileri'!$A$2:$D$750,2,FALSE))," ",IF($A330="","",VLOOKUP($A330,'İşçi Bilgileri'!$A$2:$D$750,3,FALSE)))</f>
        <v xml:space="preserve"> </v>
      </c>
      <c r="D330" s="350">
        <v>35527490</v>
      </c>
      <c r="E330" s="350" t="s">
        <v>177</v>
      </c>
      <c r="F330" s="154" t="str">
        <f>IF($A330="","",VLOOKUP($A330,'İşçi Bilgileri'!$A$2:$F$750,6,FALSE))</f>
        <v/>
      </c>
      <c r="G330" s="152" t="str">
        <f>IF($A330="","",VLOOKUP($A330,'MAAŞ BORDROSU'!$A$4:$V$573,17,FALSE))</f>
        <v/>
      </c>
    </row>
    <row r="331" spans="1:7" s="330" customFormat="1" x14ac:dyDescent="0.2">
      <c r="A331" s="151" t="str">
        <f>'İşçi Bilgileri'!A330</f>
        <v/>
      </c>
      <c r="B331" s="151" t="str">
        <f>IF($A331="","",VLOOKUP($A331,'İşçi Bilgileri'!$A$2:$D$750,4,FALSE))</f>
        <v/>
      </c>
      <c r="C331" s="151" t="str">
        <f>CONCATENATE(IF($A331="","",VLOOKUP($A331,'İşçi Bilgileri'!$A$2:$D$750,2,FALSE))," ",IF($A331="","",VLOOKUP($A331,'İşçi Bilgileri'!$A$2:$D$750,3,FALSE)))</f>
        <v xml:space="preserve"> </v>
      </c>
      <c r="D331" s="350">
        <v>35527490</v>
      </c>
      <c r="E331" s="350" t="s">
        <v>177</v>
      </c>
      <c r="F331" s="154" t="str">
        <f>IF($A331="","",VLOOKUP($A331,'İşçi Bilgileri'!$A$2:$F$750,6,FALSE))</f>
        <v/>
      </c>
      <c r="G331" s="152" t="str">
        <f>IF($A331="","",VLOOKUP($A331,'MAAŞ BORDROSU'!$A$4:$V$573,17,FALSE))</f>
        <v/>
      </c>
    </row>
    <row r="332" spans="1:7" s="330" customFormat="1" x14ac:dyDescent="0.2">
      <c r="A332" s="151" t="str">
        <f>'İşçi Bilgileri'!A331</f>
        <v/>
      </c>
      <c r="B332" s="151" t="str">
        <f>IF($A332="","",VLOOKUP($A332,'İşçi Bilgileri'!$A$2:$D$750,4,FALSE))</f>
        <v/>
      </c>
      <c r="C332" s="151" t="str">
        <f>CONCATENATE(IF($A332="","",VLOOKUP($A332,'İşçi Bilgileri'!$A$2:$D$750,2,FALSE))," ",IF($A332="","",VLOOKUP($A332,'İşçi Bilgileri'!$A$2:$D$750,3,FALSE)))</f>
        <v xml:space="preserve"> </v>
      </c>
      <c r="D332" s="350">
        <v>35527490</v>
      </c>
      <c r="E332" s="350" t="s">
        <v>177</v>
      </c>
      <c r="F332" s="154" t="str">
        <f>IF($A332="","",VLOOKUP($A332,'İşçi Bilgileri'!$A$2:$F$750,6,FALSE))</f>
        <v/>
      </c>
      <c r="G332" s="152" t="str">
        <f>IF($A332="","",VLOOKUP($A332,'MAAŞ BORDROSU'!$A$4:$V$573,17,FALSE))</f>
        <v/>
      </c>
    </row>
    <row r="333" spans="1:7" x14ac:dyDescent="0.2">
      <c r="A333" s="151" t="str">
        <f>'İşçi Bilgileri'!A332</f>
        <v/>
      </c>
      <c r="B333" s="151" t="str">
        <f>IF($A333="","",VLOOKUP($A333,'İşçi Bilgileri'!$A$2:$D$750,4,FALSE))</f>
        <v/>
      </c>
      <c r="C333" s="151" t="str">
        <f>CONCATENATE(IF($A333="","",VLOOKUP($A333,'İşçi Bilgileri'!$A$2:$D$750,2,FALSE))," ",IF($A333="","",VLOOKUP($A333,'İşçi Bilgileri'!$A$2:$D$750,3,FALSE)))</f>
        <v xml:space="preserve"> </v>
      </c>
      <c r="D333" s="350">
        <v>35527490</v>
      </c>
      <c r="E333" s="350" t="s">
        <v>177</v>
      </c>
      <c r="F333" s="154" t="str">
        <f>IF($A333="","",VLOOKUP($A333,'İşçi Bilgileri'!$A$2:$F$750,6,FALSE))</f>
        <v/>
      </c>
      <c r="G333" s="152" t="str">
        <f>IF($A333="","",VLOOKUP($A333,'MAAŞ BORDROSU'!$A$4:$V$573,17,FALSE))</f>
        <v/>
      </c>
    </row>
    <row r="334" spans="1:7" x14ac:dyDescent="0.2">
      <c r="A334" s="151" t="str">
        <f>'İşçi Bilgileri'!A333</f>
        <v/>
      </c>
      <c r="B334" s="151" t="str">
        <f>IF($A334="","",VLOOKUP($A334,'İşçi Bilgileri'!$A$2:$D$750,4,FALSE))</f>
        <v/>
      </c>
      <c r="C334" s="151" t="str">
        <f>CONCATENATE(IF($A334="","",VLOOKUP($A334,'İşçi Bilgileri'!$A$2:$D$750,2,FALSE))," ",IF($A334="","",VLOOKUP($A334,'İşçi Bilgileri'!$A$2:$D$750,3,FALSE)))</f>
        <v xml:space="preserve"> </v>
      </c>
      <c r="D334" s="350">
        <v>35527490</v>
      </c>
      <c r="E334" s="350" t="s">
        <v>177</v>
      </c>
      <c r="F334" s="154" t="str">
        <f>IF($A334="","",VLOOKUP($A334,'İşçi Bilgileri'!$A$2:$F$750,6,FALSE))</f>
        <v/>
      </c>
      <c r="G334" s="152" t="str">
        <f>IF($A334="","",VLOOKUP($A334,'MAAŞ BORDROSU'!$A$4:$V$573,17,FALSE))</f>
        <v/>
      </c>
    </row>
    <row r="335" spans="1:7" x14ac:dyDescent="0.2">
      <c r="A335" s="151" t="str">
        <f>'İşçi Bilgileri'!A334</f>
        <v/>
      </c>
      <c r="B335" s="151" t="str">
        <f>IF($A335="","",VLOOKUP($A335,'İşçi Bilgileri'!$A$2:$D$750,4,FALSE))</f>
        <v/>
      </c>
      <c r="C335" s="151" t="str">
        <f>CONCATENATE(IF($A335="","",VLOOKUP($A335,'İşçi Bilgileri'!$A$2:$D$750,2,FALSE))," ",IF($A335="","",VLOOKUP($A335,'İşçi Bilgileri'!$A$2:$D$750,3,FALSE)))</f>
        <v xml:space="preserve"> </v>
      </c>
      <c r="D335" s="350">
        <v>35527490</v>
      </c>
      <c r="E335" s="350" t="s">
        <v>177</v>
      </c>
      <c r="F335" s="154" t="str">
        <f>IF($A335="","",VLOOKUP($A335,'İşçi Bilgileri'!$A$2:$F$750,6,FALSE))</f>
        <v/>
      </c>
      <c r="G335" s="152" t="str">
        <f>IF($A335="","",VLOOKUP($A335,'MAAŞ BORDROSU'!$A$4:$V$573,17,FALSE))</f>
        <v/>
      </c>
    </row>
    <row r="336" spans="1:7" x14ac:dyDescent="0.2">
      <c r="A336" s="151" t="str">
        <f>'İşçi Bilgileri'!A335</f>
        <v/>
      </c>
      <c r="B336" s="151" t="str">
        <f>IF($A336="","",VLOOKUP($A336,'İşçi Bilgileri'!$A$2:$D$750,4,FALSE))</f>
        <v/>
      </c>
      <c r="C336" s="151" t="str">
        <f>CONCATENATE(IF($A336="","",VLOOKUP($A336,'İşçi Bilgileri'!$A$2:$D$750,2,FALSE))," ",IF($A336="","",VLOOKUP($A336,'İşçi Bilgileri'!$A$2:$D$750,3,FALSE)))</f>
        <v xml:space="preserve"> </v>
      </c>
      <c r="D336" s="350">
        <v>35527490</v>
      </c>
      <c r="E336" s="350" t="s">
        <v>177</v>
      </c>
      <c r="F336" s="154" t="str">
        <f>IF($A336="","",VLOOKUP($A336,'İşçi Bilgileri'!$A$2:$F$750,6,FALSE))</f>
        <v/>
      </c>
      <c r="G336" s="152" t="str">
        <f>IF($A336="","",VLOOKUP($A336,'MAAŞ BORDROSU'!$A$4:$V$573,17,FALSE))</f>
        <v/>
      </c>
    </row>
    <row r="337" spans="1:7" x14ac:dyDescent="0.2">
      <c r="A337" s="151" t="str">
        <f>'İşçi Bilgileri'!A336</f>
        <v/>
      </c>
      <c r="B337" s="151" t="str">
        <f>IF($A337="","",VLOOKUP($A337,'İşçi Bilgileri'!$A$2:$D$750,4,FALSE))</f>
        <v/>
      </c>
      <c r="C337" s="151" t="str">
        <f>CONCATENATE(IF($A337="","",VLOOKUP($A337,'İşçi Bilgileri'!$A$2:$D$750,2,FALSE))," ",IF($A337="","",VLOOKUP($A337,'İşçi Bilgileri'!$A$2:$D$750,3,FALSE)))</f>
        <v xml:space="preserve"> </v>
      </c>
      <c r="D337" s="350">
        <v>35527490</v>
      </c>
      <c r="E337" s="350" t="s">
        <v>177</v>
      </c>
      <c r="F337" s="154" t="str">
        <f>IF($A337="","",VLOOKUP($A337,'İşçi Bilgileri'!$A$2:$F$750,6,FALSE))</f>
        <v/>
      </c>
      <c r="G337" s="152" t="str">
        <f>IF($A337="","",VLOOKUP($A337,'MAAŞ BORDROSU'!$A$4:$V$573,17,FALSE))</f>
        <v/>
      </c>
    </row>
    <row r="338" spans="1:7" x14ac:dyDescent="0.2">
      <c r="A338" s="151" t="str">
        <f>'İşçi Bilgileri'!A337</f>
        <v/>
      </c>
      <c r="B338" s="151" t="str">
        <f>IF($A338="","",VLOOKUP($A338,'İşçi Bilgileri'!$A$2:$D$750,4,FALSE))</f>
        <v/>
      </c>
      <c r="C338" s="151" t="str">
        <f>CONCATENATE(IF($A338="","",VLOOKUP($A338,'İşçi Bilgileri'!$A$2:$D$750,2,FALSE))," ",IF($A338="","",VLOOKUP($A338,'İşçi Bilgileri'!$A$2:$D$750,3,FALSE)))</f>
        <v xml:space="preserve"> </v>
      </c>
      <c r="D338" s="350">
        <v>35527490</v>
      </c>
      <c r="E338" s="350" t="s">
        <v>177</v>
      </c>
      <c r="F338" s="154" t="str">
        <f>IF($A338="","",VLOOKUP($A338,'İşçi Bilgileri'!$A$2:$F$750,6,FALSE))</f>
        <v/>
      </c>
      <c r="G338" s="152" t="str">
        <f>IF($A338="","",VLOOKUP($A338,'MAAŞ BORDROSU'!$A$4:$V$573,17,FALSE))</f>
        <v/>
      </c>
    </row>
    <row r="339" spans="1:7" x14ac:dyDescent="0.2">
      <c r="A339" s="151" t="str">
        <f>'İşçi Bilgileri'!A338</f>
        <v/>
      </c>
      <c r="B339" s="151" t="str">
        <f>IF($A339="","",VLOOKUP($A339,'İşçi Bilgileri'!$A$2:$D$750,4,FALSE))</f>
        <v/>
      </c>
      <c r="C339" s="151" t="str">
        <f>CONCATENATE(IF($A339="","",VLOOKUP($A339,'İşçi Bilgileri'!$A$2:$D$750,2,FALSE))," ",IF($A339="","",VLOOKUP($A339,'İşçi Bilgileri'!$A$2:$D$750,3,FALSE)))</f>
        <v xml:space="preserve"> </v>
      </c>
      <c r="D339" s="350">
        <v>35527490</v>
      </c>
      <c r="E339" s="350" t="s">
        <v>177</v>
      </c>
      <c r="F339" s="154" t="str">
        <f>IF($A339="","",VLOOKUP($A339,'İşçi Bilgileri'!$A$2:$F$750,6,FALSE))</f>
        <v/>
      </c>
      <c r="G339" s="152" t="str">
        <f>IF($A339="","",VLOOKUP($A339,'MAAŞ BORDROSU'!$A$4:$V$573,17,FALSE))</f>
        <v/>
      </c>
    </row>
    <row r="340" spans="1:7" x14ac:dyDescent="0.2">
      <c r="A340" s="151" t="str">
        <f>'İşçi Bilgileri'!A339</f>
        <v/>
      </c>
      <c r="B340" s="151" t="str">
        <f>IF($A340="","",VLOOKUP($A340,'İşçi Bilgileri'!$A$2:$D$750,4,FALSE))</f>
        <v/>
      </c>
      <c r="C340" s="151" t="str">
        <f>CONCATENATE(IF($A340="","",VLOOKUP($A340,'İşçi Bilgileri'!$A$2:$D$750,2,FALSE))," ",IF($A340="","",VLOOKUP($A340,'İşçi Bilgileri'!$A$2:$D$750,3,FALSE)))</f>
        <v xml:space="preserve"> </v>
      </c>
      <c r="D340" s="350">
        <v>35527490</v>
      </c>
      <c r="E340" s="350" t="s">
        <v>177</v>
      </c>
      <c r="F340" s="154" t="str">
        <f>IF($A340="","",VLOOKUP($A340,'İşçi Bilgileri'!$A$2:$F$750,6,FALSE))</f>
        <v/>
      </c>
      <c r="G340" s="152" t="str">
        <f>IF($A340="","",VLOOKUP($A340,'MAAŞ BORDROSU'!$A$4:$V$573,17,FALSE))</f>
        <v/>
      </c>
    </row>
    <row r="341" spans="1:7" s="330" customFormat="1" x14ac:dyDescent="0.2">
      <c r="A341" s="355"/>
      <c r="B341" s="355"/>
      <c r="C341" s="355"/>
      <c r="D341" s="350">
        <v>35527490</v>
      </c>
      <c r="E341" s="350" t="s">
        <v>177</v>
      </c>
      <c r="F341" s="356"/>
      <c r="G341" s="357"/>
    </row>
    <row r="342" spans="1:7" s="330" customFormat="1" x14ac:dyDescent="0.2">
      <c r="A342" s="355"/>
      <c r="B342" s="355"/>
      <c r="C342" s="355"/>
      <c r="D342" s="350">
        <v>35527490</v>
      </c>
      <c r="E342" s="350" t="s">
        <v>177</v>
      </c>
      <c r="F342" s="356"/>
      <c r="G342" s="357"/>
    </row>
    <row r="343" spans="1:7" s="330" customFormat="1" x14ac:dyDescent="0.2">
      <c r="A343" s="355"/>
      <c r="B343" s="355"/>
      <c r="C343" s="355"/>
      <c r="D343" s="350">
        <v>35527490</v>
      </c>
      <c r="E343" s="350" t="s">
        <v>177</v>
      </c>
      <c r="F343" s="356"/>
      <c r="G343" s="357"/>
    </row>
    <row r="344" spans="1:7" s="330" customFormat="1" x14ac:dyDescent="0.2">
      <c r="A344" s="355"/>
      <c r="B344" s="355"/>
      <c r="C344" s="355"/>
      <c r="D344" s="350">
        <v>35527490</v>
      </c>
      <c r="E344" s="350" t="s">
        <v>177</v>
      </c>
      <c r="F344" s="356"/>
      <c r="G344" s="357"/>
    </row>
    <row r="345" spans="1:7" s="330" customFormat="1" x14ac:dyDescent="0.2">
      <c r="A345" s="355"/>
      <c r="B345" s="355"/>
      <c r="C345" s="355"/>
      <c r="D345" s="350">
        <v>35527490</v>
      </c>
      <c r="E345" s="350" t="s">
        <v>177</v>
      </c>
      <c r="F345" s="356"/>
      <c r="G345" s="357"/>
    </row>
    <row r="346" spans="1:7" s="330" customFormat="1" x14ac:dyDescent="0.2">
      <c r="A346" s="355"/>
      <c r="B346" s="355"/>
      <c r="C346" s="355"/>
      <c r="D346" s="350">
        <v>35527490</v>
      </c>
      <c r="E346" s="350" t="s">
        <v>177</v>
      </c>
      <c r="F346" s="356"/>
      <c r="G346" s="357"/>
    </row>
    <row r="347" spans="1:7" s="330" customFormat="1" x14ac:dyDescent="0.2">
      <c r="A347" s="355"/>
      <c r="B347" s="355"/>
      <c r="C347" s="355"/>
      <c r="D347" s="350">
        <v>35527490</v>
      </c>
      <c r="E347" s="350" t="s">
        <v>177</v>
      </c>
      <c r="F347" s="356"/>
      <c r="G347" s="357"/>
    </row>
    <row r="348" spans="1:7" s="330" customFormat="1" x14ac:dyDescent="0.2">
      <c r="A348" s="355"/>
      <c r="B348" s="355"/>
      <c r="C348" s="355"/>
      <c r="D348" s="350">
        <v>35527490</v>
      </c>
      <c r="E348" s="350" t="s">
        <v>177</v>
      </c>
      <c r="F348" s="356"/>
      <c r="G348" s="357"/>
    </row>
    <row r="349" spans="1:7" s="330" customFormat="1" x14ac:dyDescent="0.2">
      <c r="A349" s="355"/>
      <c r="B349" s="355"/>
      <c r="C349" s="355"/>
      <c r="D349" s="350">
        <v>35527490</v>
      </c>
      <c r="E349" s="350" t="s">
        <v>177</v>
      </c>
      <c r="F349" s="356"/>
      <c r="G349" s="357"/>
    </row>
    <row r="350" spans="1:7" s="330" customFormat="1" x14ac:dyDescent="0.2">
      <c r="A350" s="355"/>
      <c r="B350" s="355"/>
      <c r="C350" s="355"/>
      <c r="D350" s="350">
        <v>35527490</v>
      </c>
      <c r="E350" s="350" t="s">
        <v>177</v>
      </c>
      <c r="F350" s="356"/>
      <c r="G350" s="357"/>
    </row>
    <row r="351" spans="1:7" s="330" customFormat="1" x14ac:dyDescent="0.2">
      <c r="A351" s="355"/>
      <c r="B351" s="355"/>
      <c r="C351" s="355"/>
      <c r="D351" s="350">
        <v>35527490</v>
      </c>
      <c r="E351" s="350" t="s">
        <v>177</v>
      </c>
      <c r="F351" s="356"/>
      <c r="G351" s="357"/>
    </row>
    <row r="352" spans="1:7" s="330" customFormat="1" x14ac:dyDescent="0.2">
      <c r="A352" s="355"/>
      <c r="B352" s="355"/>
      <c r="C352" s="355"/>
      <c r="D352" s="350">
        <v>35527490</v>
      </c>
      <c r="E352" s="350" t="s">
        <v>177</v>
      </c>
      <c r="F352" s="356"/>
      <c r="G352" s="357"/>
    </row>
    <row r="353" spans="1:7" s="330" customFormat="1" x14ac:dyDescent="0.2">
      <c r="A353" s="355"/>
      <c r="B353" s="355"/>
      <c r="C353" s="355"/>
      <c r="D353" s="350">
        <v>35527490</v>
      </c>
      <c r="E353" s="350" t="s">
        <v>177</v>
      </c>
      <c r="F353" s="356"/>
      <c r="G353" s="357"/>
    </row>
    <row r="354" spans="1:7" s="330" customFormat="1" x14ac:dyDescent="0.2">
      <c r="A354" s="355"/>
      <c r="B354" s="355"/>
      <c r="C354" s="355"/>
      <c r="D354" s="350">
        <v>35527490</v>
      </c>
      <c r="E354" s="350" t="s">
        <v>177</v>
      </c>
      <c r="F354" s="356"/>
      <c r="G354" s="357"/>
    </row>
    <row r="355" spans="1:7" s="330" customFormat="1" x14ac:dyDescent="0.2">
      <c r="A355" s="355"/>
      <c r="B355" s="355"/>
      <c r="C355" s="355"/>
      <c r="D355" s="350">
        <v>35527490</v>
      </c>
      <c r="E355" s="350" t="s">
        <v>177</v>
      </c>
      <c r="F355" s="356"/>
      <c r="G355" s="357"/>
    </row>
    <row r="356" spans="1:7" s="330" customFormat="1" x14ac:dyDescent="0.2">
      <c r="A356" s="355"/>
      <c r="B356" s="355"/>
      <c r="C356" s="355"/>
      <c r="D356" s="350">
        <v>35527490</v>
      </c>
      <c r="E356" s="350" t="s">
        <v>177</v>
      </c>
      <c r="F356" s="356"/>
      <c r="G356" s="357"/>
    </row>
    <row r="357" spans="1:7" s="330" customFormat="1" x14ac:dyDescent="0.2">
      <c r="A357" s="355"/>
      <c r="B357" s="355"/>
      <c r="C357" s="355"/>
      <c r="D357" s="350">
        <v>35527490</v>
      </c>
      <c r="E357" s="350" t="s">
        <v>177</v>
      </c>
      <c r="F357" s="356"/>
      <c r="G357" s="357"/>
    </row>
    <row r="358" spans="1:7" s="330" customFormat="1" x14ac:dyDescent="0.2">
      <c r="A358" s="355"/>
      <c r="B358" s="355"/>
      <c r="C358" s="355"/>
      <c r="D358" s="350">
        <v>35527490</v>
      </c>
      <c r="E358" s="350" t="s">
        <v>177</v>
      </c>
      <c r="F358" s="356"/>
      <c r="G358" s="357"/>
    </row>
    <row r="359" spans="1:7" s="330" customFormat="1" x14ac:dyDescent="0.2">
      <c r="A359" s="355"/>
      <c r="B359" s="355"/>
      <c r="C359" s="355"/>
      <c r="D359" s="350">
        <v>35527490</v>
      </c>
      <c r="E359" s="350" t="s">
        <v>177</v>
      </c>
      <c r="F359" s="356"/>
      <c r="G359" s="357"/>
    </row>
    <row r="360" spans="1:7" s="330" customFormat="1" x14ac:dyDescent="0.2">
      <c r="A360" s="355"/>
      <c r="B360" s="355"/>
      <c r="C360" s="355"/>
      <c r="D360" s="350">
        <v>35527490</v>
      </c>
      <c r="E360" s="350" t="s">
        <v>177</v>
      </c>
      <c r="F360" s="356"/>
      <c r="G360" s="357"/>
    </row>
    <row r="361" spans="1:7" s="330" customFormat="1" x14ac:dyDescent="0.2">
      <c r="A361" s="355"/>
      <c r="B361" s="355"/>
      <c r="C361" s="355"/>
      <c r="D361" s="350">
        <v>35527490</v>
      </c>
      <c r="E361" s="350" t="s">
        <v>177</v>
      </c>
      <c r="F361" s="356"/>
      <c r="G361" s="357"/>
    </row>
    <row r="362" spans="1:7" s="330" customFormat="1" x14ac:dyDescent="0.2">
      <c r="A362" s="355"/>
      <c r="B362" s="355"/>
      <c r="C362" s="355"/>
      <c r="D362" s="350">
        <v>35527490</v>
      </c>
      <c r="E362" s="350" t="s">
        <v>177</v>
      </c>
      <c r="F362" s="356"/>
      <c r="G362" s="357"/>
    </row>
    <row r="363" spans="1:7" s="330" customFormat="1" x14ac:dyDescent="0.2">
      <c r="A363" s="355"/>
      <c r="B363" s="355"/>
      <c r="C363" s="355"/>
      <c r="D363" s="350">
        <v>35527490</v>
      </c>
      <c r="E363" s="350" t="s">
        <v>177</v>
      </c>
      <c r="F363" s="356"/>
      <c r="G363" s="357"/>
    </row>
    <row r="364" spans="1:7" s="330" customFormat="1" x14ac:dyDescent="0.2">
      <c r="A364" s="355"/>
      <c r="B364" s="355"/>
      <c r="C364" s="355"/>
      <c r="D364" s="350">
        <v>35527490</v>
      </c>
      <c r="E364" s="350" t="s">
        <v>177</v>
      </c>
      <c r="F364" s="356"/>
      <c r="G364" s="357"/>
    </row>
    <row r="365" spans="1:7" s="330" customFormat="1" x14ac:dyDescent="0.2">
      <c r="A365" s="355"/>
      <c r="B365" s="355"/>
      <c r="C365" s="355"/>
      <c r="D365" s="350">
        <v>35527490</v>
      </c>
      <c r="E365" s="350" t="s">
        <v>177</v>
      </c>
      <c r="F365" s="356"/>
      <c r="G365" s="357"/>
    </row>
    <row r="366" spans="1:7" s="330" customFormat="1" x14ac:dyDescent="0.2">
      <c r="A366" s="355"/>
      <c r="B366" s="355"/>
      <c r="C366" s="355"/>
      <c r="D366" s="350">
        <v>35527490</v>
      </c>
      <c r="E366" s="350" t="s">
        <v>177</v>
      </c>
      <c r="F366" s="356"/>
      <c r="G366" s="357"/>
    </row>
    <row r="367" spans="1:7" s="330" customFormat="1" x14ac:dyDescent="0.2">
      <c r="A367" s="355"/>
      <c r="B367" s="355"/>
      <c r="C367" s="355"/>
      <c r="D367" s="350">
        <v>35527490</v>
      </c>
      <c r="E367" s="350" t="s">
        <v>177</v>
      </c>
      <c r="F367" s="356"/>
      <c r="G367" s="357"/>
    </row>
    <row r="368" spans="1:7" s="330" customFormat="1" x14ac:dyDescent="0.2">
      <c r="A368" s="355"/>
      <c r="B368" s="355"/>
      <c r="C368" s="355"/>
      <c r="D368" s="350">
        <v>35527490</v>
      </c>
      <c r="E368" s="350" t="s">
        <v>177</v>
      </c>
      <c r="F368" s="356"/>
      <c r="G368" s="357"/>
    </row>
    <row r="369" spans="1:7" s="330" customFormat="1" x14ac:dyDescent="0.2">
      <c r="A369" s="355"/>
      <c r="B369" s="355"/>
      <c r="C369" s="355"/>
      <c r="D369" s="350">
        <v>35527490</v>
      </c>
      <c r="E369" s="350" t="s">
        <v>177</v>
      </c>
      <c r="F369" s="356"/>
      <c r="G369" s="357"/>
    </row>
    <row r="370" spans="1:7" s="330" customFormat="1" x14ac:dyDescent="0.2">
      <c r="A370" s="355"/>
      <c r="B370" s="355"/>
      <c r="C370" s="355"/>
      <c r="D370" s="350">
        <v>35527490</v>
      </c>
      <c r="E370" s="350" t="s">
        <v>177</v>
      </c>
      <c r="F370" s="356"/>
      <c r="G370" s="357"/>
    </row>
    <row r="371" spans="1:7" s="330" customFormat="1" x14ac:dyDescent="0.2">
      <c r="A371" s="355"/>
      <c r="B371" s="355"/>
      <c r="C371" s="355"/>
      <c r="D371" s="350">
        <v>35527490</v>
      </c>
      <c r="E371" s="350" t="s">
        <v>177</v>
      </c>
      <c r="F371" s="356"/>
      <c r="G371" s="357"/>
    </row>
    <row r="372" spans="1:7" s="330" customFormat="1" x14ac:dyDescent="0.2">
      <c r="A372" s="355"/>
      <c r="B372" s="355"/>
      <c r="C372" s="355"/>
      <c r="D372" s="350">
        <v>35527490</v>
      </c>
      <c r="E372" s="350" t="s">
        <v>177</v>
      </c>
      <c r="F372" s="356"/>
      <c r="G372" s="357"/>
    </row>
    <row r="373" spans="1:7" s="330" customFormat="1" x14ac:dyDescent="0.2">
      <c r="A373" s="355"/>
      <c r="B373" s="355"/>
      <c r="C373" s="355"/>
      <c r="D373" s="350">
        <v>35527490</v>
      </c>
      <c r="E373" s="350" t="s">
        <v>177</v>
      </c>
      <c r="F373" s="356"/>
      <c r="G373" s="357"/>
    </row>
    <row r="374" spans="1:7" s="330" customFormat="1" x14ac:dyDescent="0.2">
      <c r="A374" s="355"/>
      <c r="B374" s="355"/>
      <c r="C374" s="355"/>
      <c r="D374" s="350">
        <v>35527490</v>
      </c>
      <c r="E374" s="350" t="s">
        <v>177</v>
      </c>
      <c r="F374" s="356"/>
      <c r="G374" s="357"/>
    </row>
    <row r="375" spans="1:7" s="330" customFormat="1" x14ac:dyDescent="0.2">
      <c r="A375" s="355"/>
      <c r="B375" s="355"/>
      <c r="C375" s="355"/>
      <c r="D375" s="350">
        <v>35527490</v>
      </c>
      <c r="E375" s="350" t="s">
        <v>177</v>
      </c>
      <c r="F375" s="356"/>
      <c r="G375" s="357"/>
    </row>
    <row r="376" spans="1:7" s="330" customFormat="1" x14ac:dyDescent="0.2">
      <c r="A376" s="355"/>
      <c r="B376" s="355"/>
      <c r="C376" s="355"/>
      <c r="D376" s="350">
        <v>35527490</v>
      </c>
      <c r="E376" s="350" t="s">
        <v>177</v>
      </c>
      <c r="F376" s="356"/>
      <c r="G376" s="357"/>
    </row>
    <row r="377" spans="1:7" s="330" customFormat="1" x14ac:dyDescent="0.2">
      <c r="A377" s="355"/>
      <c r="B377" s="355"/>
      <c r="C377" s="355"/>
      <c r="D377" s="350">
        <v>35527490</v>
      </c>
      <c r="E377" s="350" t="s">
        <v>177</v>
      </c>
      <c r="F377" s="356"/>
      <c r="G377" s="357"/>
    </row>
    <row r="378" spans="1:7" s="330" customFormat="1" x14ac:dyDescent="0.2">
      <c r="A378" s="355"/>
      <c r="B378" s="355"/>
      <c r="C378" s="355"/>
      <c r="D378" s="350">
        <v>35527490</v>
      </c>
      <c r="E378" s="350" t="s">
        <v>177</v>
      </c>
      <c r="F378" s="356"/>
      <c r="G378" s="357"/>
    </row>
    <row r="379" spans="1:7" s="330" customFormat="1" x14ac:dyDescent="0.2">
      <c r="A379" s="355"/>
      <c r="B379" s="355"/>
      <c r="C379" s="355"/>
      <c r="D379" s="350">
        <v>35527490</v>
      </c>
      <c r="E379" s="350" t="s">
        <v>177</v>
      </c>
      <c r="F379" s="356"/>
      <c r="G379" s="357"/>
    </row>
    <row r="380" spans="1:7" x14ac:dyDescent="0.2">
      <c r="A380" s="151" t="str">
        <f>'İşçi Bilgileri'!A340</f>
        <v/>
      </c>
      <c r="B380" s="151" t="str">
        <f>IF($A380="","",VLOOKUP($A380,'İşçi Bilgileri'!$A$2:$D$750,4,FALSE))</f>
        <v/>
      </c>
      <c r="C380" s="151" t="str">
        <f>CONCATENATE(IF($A380="","",VLOOKUP($A380,'İşçi Bilgileri'!$A$2:$D$750,2,FALSE))," ",IF($A380="","",VLOOKUP($A380,'İşçi Bilgileri'!$A$2:$D$750,3,FALSE)))</f>
        <v xml:space="preserve"> </v>
      </c>
      <c r="D380" s="350">
        <v>35527490</v>
      </c>
      <c r="E380" s="350" t="s">
        <v>177</v>
      </c>
      <c r="F380" s="154" t="str">
        <f>IF($A380="","",VLOOKUP($A380,'İşçi Bilgileri'!$A$2:$F$750,6,FALSE))</f>
        <v/>
      </c>
      <c r="G380" s="152" t="str">
        <f>IF($A380="","",VLOOKUP($A380,'MAAŞ BORDROSU'!$A$4:$V$573,17,FALSE))</f>
        <v/>
      </c>
    </row>
    <row r="381" spans="1:7" x14ac:dyDescent="0.2">
      <c r="A381" s="151" t="str">
        <f>'İşçi Bilgileri'!A341</f>
        <v/>
      </c>
      <c r="B381" s="151" t="str">
        <f>IF($A381="","",VLOOKUP($A381,'İşçi Bilgileri'!$A$2:$D$750,4,FALSE))</f>
        <v/>
      </c>
      <c r="C381" s="151" t="str">
        <f>CONCATENATE(IF($A381="","",VLOOKUP($A381,'İşçi Bilgileri'!$A$2:$D$750,2,FALSE))," ",IF($A381="","",VLOOKUP($A381,'İşçi Bilgileri'!$A$2:$D$750,3,FALSE)))</f>
        <v xml:space="preserve"> </v>
      </c>
      <c r="D381" s="350">
        <v>35527490</v>
      </c>
      <c r="E381" s="350" t="s">
        <v>177</v>
      </c>
      <c r="F381" s="154" t="str">
        <f>IF($A381="","",VLOOKUP($A381,'İşçi Bilgileri'!$A$2:$F$750,6,FALSE))</f>
        <v/>
      </c>
      <c r="G381" s="152" t="str">
        <f>IF($A381="","",VLOOKUP($A381,'MAAŞ BORDROSU'!$A$4:$V$573,17,FALSE))</f>
        <v/>
      </c>
    </row>
    <row r="382" spans="1:7" x14ac:dyDescent="0.2">
      <c r="A382" s="151" t="str">
        <f>'İşçi Bilgileri'!A342</f>
        <v/>
      </c>
      <c r="B382" s="151" t="str">
        <f>IF($A382="","",VLOOKUP($A382,'İşçi Bilgileri'!$A$2:$D$750,4,FALSE))</f>
        <v/>
      </c>
      <c r="C382" s="151" t="str">
        <f>CONCATENATE(IF($A382="","",VLOOKUP($A382,'İşçi Bilgileri'!$A$2:$D$750,2,FALSE))," ",IF($A382="","",VLOOKUP($A382,'İşçi Bilgileri'!$A$2:$D$750,3,FALSE)))</f>
        <v xml:space="preserve"> </v>
      </c>
      <c r="D382" s="350">
        <v>35527490</v>
      </c>
      <c r="E382" s="350" t="s">
        <v>177</v>
      </c>
      <c r="F382" s="154" t="str">
        <f>IF($A382="","",VLOOKUP($A382,'İşçi Bilgileri'!$A$2:$F$750,6,FALSE))</f>
        <v/>
      </c>
      <c r="G382" s="152" t="str">
        <f>IF($A382="","",VLOOKUP($A382,'MAAŞ BORDROSU'!$A$4:$V$573,17,FALSE))</f>
        <v/>
      </c>
    </row>
    <row r="383" spans="1:7" x14ac:dyDescent="0.2">
      <c r="A383" s="151" t="str">
        <f>'İşçi Bilgileri'!A343</f>
        <v/>
      </c>
      <c r="B383" s="151" t="str">
        <f>IF($A383="","",VLOOKUP($A383,'İşçi Bilgileri'!$A$2:$D$750,4,FALSE))</f>
        <v/>
      </c>
      <c r="C383" s="151" t="str">
        <f>CONCATENATE(IF($A383="","",VLOOKUP($A383,'İşçi Bilgileri'!$A$2:$D$750,2,FALSE))," ",IF($A383="","",VLOOKUP($A383,'İşçi Bilgileri'!$A$2:$D$750,3,FALSE)))</f>
        <v xml:space="preserve"> </v>
      </c>
      <c r="D383" s="350">
        <v>35527490</v>
      </c>
      <c r="E383" s="350" t="s">
        <v>177</v>
      </c>
      <c r="F383" s="154" t="str">
        <f>IF($A383="","",VLOOKUP($A383,'İşçi Bilgileri'!$A$2:$F$750,6,FALSE))</f>
        <v/>
      </c>
      <c r="G383" s="152" t="str">
        <f>IF($A383="","",VLOOKUP($A383,'MAAŞ BORDROSU'!$A$4:$V$573,17,FALSE))</f>
        <v/>
      </c>
    </row>
    <row r="384" spans="1:7" x14ac:dyDescent="0.2">
      <c r="A384" s="151" t="str">
        <f>'İşçi Bilgileri'!A344</f>
        <v/>
      </c>
      <c r="B384" s="151" t="str">
        <f>IF($A384="","",VLOOKUP($A384,'İşçi Bilgileri'!$A$2:$D$750,4,FALSE))</f>
        <v/>
      </c>
      <c r="C384" s="151" t="str">
        <f>CONCATENATE(IF($A384="","",VLOOKUP($A384,'İşçi Bilgileri'!$A$2:$D$750,2,FALSE))," ",IF($A384="","",VLOOKUP($A384,'İşçi Bilgileri'!$A$2:$D$750,3,FALSE)))</f>
        <v xml:space="preserve"> </v>
      </c>
      <c r="D384" s="350">
        <v>35527490</v>
      </c>
      <c r="E384" s="350" t="s">
        <v>177</v>
      </c>
      <c r="F384" s="154" t="str">
        <f>IF($A384="","",VLOOKUP($A384,'İşçi Bilgileri'!$A$2:$F$750,6,FALSE))</f>
        <v/>
      </c>
      <c r="G384" s="152" t="str">
        <f>IF($A384="","",VLOOKUP($A384,'MAAŞ BORDROSU'!$A$4:$V$573,17,FALSE))</f>
        <v/>
      </c>
    </row>
    <row r="385" spans="1:7" x14ac:dyDescent="0.2">
      <c r="A385" s="151" t="str">
        <f>'İşçi Bilgileri'!A345</f>
        <v/>
      </c>
      <c r="B385" s="151" t="str">
        <f>IF($A385="","",VLOOKUP($A385,'İşçi Bilgileri'!$A$2:$D$750,4,FALSE))</f>
        <v/>
      </c>
      <c r="C385" s="151" t="str">
        <f>CONCATENATE(IF($A385="","",VLOOKUP($A385,'İşçi Bilgileri'!$A$2:$D$750,2,FALSE))," ",IF($A385="","",VLOOKUP($A385,'İşçi Bilgileri'!$A$2:$D$750,3,FALSE)))</f>
        <v xml:space="preserve"> </v>
      </c>
      <c r="D385" s="350">
        <v>35527490</v>
      </c>
      <c r="E385" s="350" t="s">
        <v>177</v>
      </c>
      <c r="F385" s="154" t="str">
        <f>IF($A385="","",VLOOKUP($A385,'İşçi Bilgileri'!$A$2:$F$750,6,FALSE))</f>
        <v/>
      </c>
      <c r="G385" s="152" t="str">
        <f>IF($A385="","",VLOOKUP($A385,'MAAŞ BORDROSU'!$A$4:$V$573,17,FALSE))</f>
        <v/>
      </c>
    </row>
    <row r="386" spans="1:7" x14ac:dyDescent="0.2">
      <c r="A386" s="151" t="str">
        <f>'İşçi Bilgileri'!A346</f>
        <v/>
      </c>
      <c r="B386" s="151" t="str">
        <f>IF($A386="","",VLOOKUP($A386,'İşçi Bilgileri'!$A$2:$D$750,4,FALSE))</f>
        <v/>
      </c>
      <c r="C386" s="151" t="str">
        <f>CONCATENATE(IF($A386="","",VLOOKUP($A386,'İşçi Bilgileri'!$A$2:$D$750,2,FALSE))," ",IF($A386="","",VLOOKUP($A386,'İşçi Bilgileri'!$A$2:$D$750,3,FALSE)))</f>
        <v xml:space="preserve"> </v>
      </c>
      <c r="D386" s="350">
        <v>35527490</v>
      </c>
      <c r="E386" s="350" t="s">
        <v>177</v>
      </c>
      <c r="F386" s="154" t="str">
        <f>IF($A386="","",VLOOKUP($A386,'İşçi Bilgileri'!$A$2:$F$750,6,FALSE))</f>
        <v/>
      </c>
      <c r="G386" s="152" t="str">
        <f>IF($A386="","",VLOOKUP($A386,'MAAŞ BORDROSU'!$A$4:$V$573,17,FALSE))</f>
        <v/>
      </c>
    </row>
    <row r="387" spans="1:7" x14ac:dyDescent="0.2">
      <c r="A387" s="151" t="str">
        <f>'İşçi Bilgileri'!A347</f>
        <v/>
      </c>
      <c r="B387" s="151" t="str">
        <f>IF($A387="","",VLOOKUP($A387,'İşçi Bilgileri'!$A$2:$D$750,4,FALSE))</f>
        <v/>
      </c>
      <c r="C387" s="151" t="str">
        <f>CONCATENATE(IF($A387="","",VLOOKUP($A387,'İşçi Bilgileri'!$A$2:$D$750,2,FALSE))," ",IF($A387="","",VLOOKUP($A387,'İşçi Bilgileri'!$A$2:$D$750,3,FALSE)))</f>
        <v xml:space="preserve"> </v>
      </c>
      <c r="D387" s="350">
        <v>35527490</v>
      </c>
      <c r="E387" s="350" t="s">
        <v>177</v>
      </c>
      <c r="F387" s="154" t="str">
        <f>IF($A387="","",VLOOKUP($A387,'İşçi Bilgileri'!$A$2:$F$750,6,FALSE))</f>
        <v/>
      </c>
      <c r="G387" s="152" t="str">
        <f>IF($A387="","",VLOOKUP($A387,'MAAŞ BORDROSU'!$A$4:$V$573,17,FALSE))</f>
        <v/>
      </c>
    </row>
    <row r="388" spans="1:7" x14ac:dyDescent="0.2">
      <c r="A388" s="151" t="str">
        <f>'İşçi Bilgileri'!A348</f>
        <v/>
      </c>
      <c r="B388" s="151" t="str">
        <f>IF($A388="","",VLOOKUP($A388,'İşçi Bilgileri'!$A$2:$D$750,4,FALSE))</f>
        <v/>
      </c>
      <c r="C388" s="151" t="str">
        <f>CONCATENATE(IF($A388="","",VLOOKUP($A388,'İşçi Bilgileri'!$A$2:$D$750,2,FALSE))," ",IF($A388="","",VLOOKUP($A388,'İşçi Bilgileri'!$A$2:$D$750,3,FALSE)))</f>
        <v xml:space="preserve"> </v>
      </c>
      <c r="D388" s="350">
        <v>35527490</v>
      </c>
      <c r="E388" s="350" t="s">
        <v>177</v>
      </c>
      <c r="F388" s="154" t="str">
        <f>IF($A388="","",VLOOKUP($A388,'İşçi Bilgileri'!$A$2:$F$750,6,FALSE))</f>
        <v/>
      </c>
      <c r="G388" s="152" t="str">
        <f>IF($A388="","",VLOOKUP($A388,'MAAŞ BORDROSU'!$A$4:$V$573,17,FALSE))</f>
        <v/>
      </c>
    </row>
    <row r="389" spans="1:7" x14ac:dyDescent="0.2">
      <c r="A389" s="151" t="str">
        <f>'İşçi Bilgileri'!A349</f>
        <v/>
      </c>
      <c r="B389" s="151" t="str">
        <f>IF($A389="","",VLOOKUP($A389,'İşçi Bilgileri'!$A$2:$D$750,4,FALSE))</f>
        <v/>
      </c>
      <c r="C389" s="151" t="str">
        <f>CONCATENATE(IF($A389="","",VLOOKUP($A389,'İşçi Bilgileri'!$A$2:$D$750,2,FALSE))," ",IF($A389="","",VLOOKUP($A389,'İşçi Bilgileri'!$A$2:$D$750,3,FALSE)))</f>
        <v xml:space="preserve"> </v>
      </c>
      <c r="D389" s="350">
        <v>35527490</v>
      </c>
      <c r="E389" s="350" t="s">
        <v>177</v>
      </c>
      <c r="F389" s="154" t="str">
        <f>IF($A389="","",VLOOKUP($A389,'İşçi Bilgileri'!$A$2:$F$750,6,FALSE))</f>
        <v/>
      </c>
      <c r="G389" s="152" t="str">
        <f>IF($A389="","",VLOOKUP($A389,'MAAŞ BORDROSU'!$A$4:$V$573,17,FALSE))</f>
        <v/>
      </c>
    </row>
    <row r="390" spans="1:7" x14ac:dyDescent="0.2">
      <c r="A390" s="151" t="str">
        <f>'İşçi Bilgileri'!A350</f>
        <v/>
      </c>
      <c r="B390" s="151" t="str">
        <f>IF($A390="","",VLOOKUP($A390,'İşçi Bilgileri'!$A$2:$D$750,4,FALSE))</f>
        <v/>
      </c>
      <c r="C390" s="151" t="str">
        <f>CONCATENATE(IF($A390="","",VLOOKUP($A390,'İşçi Bilgileri'!$A$2:$D$750,2,FALSE))," ",IF($A390="","",VLOOKUP($A390,'İşçi Bilgileri'!$A$2:$D$750,3,FALSE)))</f>
        <v xml:space="preserve"> </v>
      </c>
      <c r="D390" s="350">
        <v>35527490</v>
      </c>
      <c r="E390" s="350" t="s">
        <v>177</v>
      </c>
      <c r="F390" s="154" t="str">
        <f>IF($A390="","",VLOOKUP($A390,'İşçi Bilgileri'!$A$2:$F$750,6,FALSE))</f>
        <v/>
      </c>
      <c r="G390" s="152" t="str">
        <f>IF($A390="","",VLOOKUP($A390,'MAAŞ BORDROSU'!$A$4:$V$573,17,FALSE))</f>
        <v/>
      </c>
    </row>
    <row r="391" spans="1:7" x14ac:dyDescent="0.2">
      <c r="A391" s="151" t="str">
        <f>'İşçi Bilgileri'!A351</f>
        <v/>
      </c>
      <c r="B391" s="151" t="str">
        <f>IF($A391="","",VLOOKUP($A391,'İşçi Bilgileri'!$A$2:$D$750,4,FALSE))</f>
        <v/>
      </c>
      <c r="C391" s="151" t="str">
        <f>CONCATENATE(IF($A391="","",VLOOKUP($A391,'İşçi Bilgileri'!$A$2:$D$750,2,FALSE))," ",IF($A391="","",VLOOKUP($A391,'İşçi Bilgileri'!$A$2:$D$750,3,FALSE)))</f>
        <v xml:space="preserve"> </v>
      </c>
      <c r="D391" s="350">
        <v>35527490</v>
      </c>
      <c r="E391" s="350" t="s">
        <v>177</v>
      </c>
      <c r="F391" s="154" t="str">
        <f>IF($A391="","",VLOOKUP($A391,'İşçi Bilgileri'!$A$2:$F$750,6,FALSE))</f>
        <v/>
      </c>
      <c r="G391" s="152" t="str">
        <f>IF($A391="","",VLOOKUP($A391,'MAAŞ BORDROSU'!$A$4:$V$573,17,FALSE))</f>
        <v/>
      </c>
    </row>
    <row r="392" spans="1:7" x14ac:dyDescent="0.2">
      <c r="A392" s="151" t="str">
        <f>'İşçi Bilgileri'!A352</f>
        <v/>
      </c>
      <c r="B392" s="151" t="str">
        <f>IF($A392="","",VLOOKUP($A392,'İşçi Bilgileri'!$A$2:$D$750,4,FALSE))</f>
        <v/>
      </c>
      <c r="C392" s="151" t="str">
        <f>CONCATENATE(IF($A392="","",VLOOKUP($A392,'İşçi Bilgileri'!$A$2:$D$750,2,FALSE))," ",IF($A392="","",VLOOKUP($A392,'İşçi Bilgileri'!$A$2:$D$750,3,FALSE)))</f>
        <v xml:space="preserve"> </v>
      </c>
      <c r="D392" s="350">
        <v>35527490</v>
      </c>
      <c r="E392" s="350" t="s">
        <v>177</v>
      </c>
      <c r="F392" s="154" t="str">
        <f>IF($A392="","",VLOOKUP($A392,'İşçi Bilgileri'!$A$2:$F$750,6,FALSE))</f>
        <v/>
      </c>
      <c r="G392" s="152" t="str">
        <f>IF($A392="","",VLOOKUP($A392,'MAAŞ BORDROSU'!$A$4:$V$573,17,FALSE))</f>
        <v/>
      </c>
    </row>
    <row r="393" spans="1:7" x14ac:dyDescent="0.2">
      <c r="A393" s="211" t="str">
        <f>'İşçi Bilgileri'!A290</f>
        <v/>
      </c>
      <c r="B393" s="211" t="str">
        <f>IF($A393="","",VLOOKUP($A393,'İşçi Bilgileri'!$A$2:$D$750,4,FALSE))</f>
        <v/>
      </c>
      <c r="C393" s="211" t="str">
        <f>CONCATENATE(IF($A393="","",VLOOKUP($A393,'İşçi Bilgileri'!$A$2:$D$750,2,FALSE))," ",IF($A393="","",VLOOKUP($A393,'İşçi Bilgileri'!$A$2:$D$750,3,FALSE)))</f>
        <v xml:space="preserve"> </v>
      </c>
      <c r="D393" s="217"/>
      <c r="E393" s="243"/>
      <c r="F393" s="244" t="s">
        <v>16</v>
      </c>
      <c r="G393" s="245">
        <f>SUM(G3:G392)</f>
        <v>0</v>
      </c>
    </row>
    <row r="394" spans="1:7" x14ac:dyDescent="0.2">
      <c r="A394" s="241"/>
      <c r="B394" s="242"/>
      <c r="C394" s="242"/>
      <c r="D394" s="217"/>
      <c r="E394" s="243"/>
      <c r="F394" s="244"/>
      <c r="G394" s="245"/>
    </row>
    <row r="395" spans="1:7" ht="15" x14ac:dyDescent="0.2">
      <c r="A395" s="205"/>
      <c r="B395" s="206" t="s">
        <v>150</v>
      </c>
      <c r="C395" s="213"/>
      <c r="D395" s="206" t="s">
        <v>151</v>
      </c>
      <c r="E395" s="213"/>
      <c r="F395" s="206" t="s">
        <v>121</v>
      </c>
      <c r="G395" s="214"/>
    </row>
    <row r="396" spans="1:7" ht="23.25" customHeight="1" x14ac:dyDescent="0.2">
      <c r="A396" s="207"/>
      <c r="B396" s="208"/>
      <c r="D396" s="208"/>
      <c r="F396" s="200"/>
      <c r="G396" s="215"/>
    </row>
    <row r="397" spans="1:7" ht="15" x14ac:dyDescent="0.2">
      <c r="A397" s="207"/>
      <c r="B397" s="208"/>
      <c r="D397" s="208"/>
      <c r="F397" s="200"/>
      <c r="G397" s="215"/>
    </row>
    <row r="398" spans="1:7" ht="15" x14ac:dyDescent="0.2">
      <c r="A398" s="209"/>
      <c r="B398" s="348" t="s">
        <v>169</v>
      </c>
      <c r="D398" s="348" t="s">
        <v>165</v>
      </c>
      <c r="F398" s="348" t="s">
        <v>167</v>
      </c>
      <c r="G398" s="215"/>
    </row>
    <row r="399" spans="1:7" ht="15" x14ac:dyDescent="0.2">
      <c r="A399" s="210"/>
      <c r="B399" s="349" t="s">
        <v>170</v>
      </c>
      <c r="C399" s="212"/>
      <c r="D399" s="349" t="s">
        <v>166</v>
      </c>
      <c r="E399" s="212"/>
      <c r="F399" s="349" t="s">
        <v>168</v>
      </c>
      <c r="G399" s="216"/>
    </row>
  </sheetData>
  <mergeCells count="1">
    <mergeCell ref="A1:G1"/>
  </mergeCells>
  <dataValidations count="1">
    <dataValidation type="textLength" operator="lessThan" allowBlank="1" showInputMessage="1" showErrorMessage="1" errorTitle="UYARI" error="Müşteri numaranız maksimum 8 rakamdan oluşmalıdır." sqref="D3:D394">
      <formula1>9</formula1>
    </dataValidation>
  </dataValidations>
  <pageMargins left="0.7" right="0.7" top="0.75" bottom="0.75" header="0.3" footer="0.3"/>
  <pageSetup paperSize="9" scale="75" fitToHeight="0"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10</vt:i4>
      </vt:variant>
      <vt:variant>
        <vt:lpstr>Adlandırılmış Aralıklar</vt:lpstr>
      </vt:variant>
      <vt:variant>
        <vt:i4>8</vt:i4>
      </vt:variant>
    </vt:vector>
  </HeadingPairs>
  <TitlesOfParts>
    <vt:vector size="18" baseType="lpstr">
      <vt:lpstr>VERİLER</vt:lpstr>
      <vt:lpstr>İşçi Bilgileri</vt:lpstr>
      <vt:lpstr>ANA SAYFA</vt:lpstr>
      <vt:lpstr>Hakediş Raporu</vt:lpstr>
      <vt:lpstr>Puantaj</vt:lpstr>
      <vt:lpstr>MAAŞ BORDROSU</vt:lpstr>
      <vt:lpstr>Harcama Pusulası</vt:lpstr>
      <vt:lpstr>Hakediş Raporu GSS</vt:lpstr>
      <vt:lpstr>Harcama Pusulası GSS</vt:lpstr>
      <vt:lpstr>banka listesi son</vt:lpstr>
      <vt:lpstr>'ANA SAYFA'!Yazdırma_Alanı</vt:lpstr>
      <vt:lpstr>'Hakediş Raporu'!Yazdırma_Alanı</vt:lpstr>
      <vt:lpstr>'Hakediş Raporu GSS'!Yazdırma_Alanı</vt:lpstr>
      <vt:lpstr>'Harcama Pusulası'!Yazdırma_Alanı</vt:lpstr>
      <vt:lpstr>'Harcama Pusulası GSS'!Yazdırma_Alanı</vt:lpstr>
      <vt:lpstr>'İşçi Bilgileri'!Yazdırma_Alanı</vt:lpstr>
      <vt:lpstr>'MAAŞ BORDROSU'!Yazdırma_Alanı</vt:lpstr>
      <vt:lpstr>Puantaj!Yazdırma_Alanı</vt:lpstr>
    </vt:vector>
  </TitlesOfParts>
  <Company>ISKUR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ISKUR</dc:creator>
  <cp:lastModifiedBy>AYBU</cp:lastModifiedBy>
  <cp:lastPrinted>2025-06-12T12:11:13Z</cp:lastPrinted>
  <dcterms:created xsi:type="dcterms:W3CDTF">2009-11-04T07:58:56Z</dcterms:created>
  <dcterms:modified xsi:type="dcterms:W3CDTF">2026-03-03T09:42:00Z</dcterms:modified>
</cp:coreProperties>
</file>